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Data_Dictionary" sheetId="2" r:id="rId2"/>
    <sheet name="Assumptions" sheetId="3" r:id="rId3"/>
    <sheet name="Seasonal_Analysis" sheetId="4" r:id="rId4"/>
    <sheet name="Monthly_Summary" sheetId="5" r:id="rId5"/>
    <sheet name="Weekly_Summary" sheetId="6" r:id="rId6"/>
    <sheet name="Daily_Summary" sheetId="7" r:id="rId7"/>
    <sheet name="Product_Performance" sheetId="8" r:id="rId8"/>
    <sheet name="Hourly_Profile" sheetId="9" r:id="rId9"/>
    <sheet name="Iced_vs_Hot_Mix" sheetId="10" r:id="rId10"/>
    <sheet name="Customer_Segments" sheetId="11" r:id="rId11"/>
    <sheet name="Customer_Frequency" sheetId="12" r:id="rId12"/>
    <sheet name="Forecast_Benchmark" sheetId="13" r:id="rId13"/>
    <sheet name="Signal_to_Noise" sheetId="14" r:id="rId14"/>
    <sheet name="Promotion_Calendar" sheetId="15" r:id="rId15"/>
    <sheet name="Price_Cost_Changes" sheetId="16" r:id="rId16"/>
    <sheet name="Product_Master" sheetId="17" r:id="rId17"/>
    <sheet name="Ground_Truth" sheetId="18" r:id="rId18"/>
  </sheets>
  <definedNames>
    <definedName name="_xlnm._FilterDatabase" localSheetId="2" hidden="1">Assumptions!$A$1:$C$35</definedName>
    <definedName name="_xlnm._FilterDatabase" localSheetId="11" hidden="1">Customer_Frequency!$A$1:$C$9</definedName>
    <definedName name="_xlnm._FilterDatabase" localSheetId="10" hidden="1">Customer_Segments!$A$1:$H$7</definedName>
    <definedName name="_xlnm._FilterDatabase" localSheetId="6" hidden="1">Daily_Summary!$A$1:$AH$1097</definedName>
    <definedName name="_xlnm._FilterDatabase" localSheetId="1" hidden="1">Data_Dictionary!$A$1:$E$35</definedName>
    <definedName name="_xlnm._FilterDatabase" localSheetId="12" hidden="1">Forecast_Benchmark!$A$1:$B$9</definedName>
    <definedName name="_xlnm._FilterDatabase" localSheetId="17" hidden="1">Ground_Truth!$A$1:$AK$1097</definedName>
    <definedName name="_xlnm._FilterDatabase" localSheetId="8" hidden="1">Hourly_Profile!$A$1:$H$22</definedName>
    <definedName name="_xlnm._FilterDatabase" localSheetId="9" hidden="1">Iced_vs_Hot_Mix!$A$1:$E$13</definedName>
    <definedName name="_xlnm._FilterDatabase" localSheetId="4" hidden="1">Monthly_Summary!$A$1:$AD$37</definedName>
    <definedName name="_xlnm._FilterDatabase" localSheetId="15" hidden="1">Price_Cost_Changes!$A$1:$E$28</definedName>
    <definedName name="_xlnm._FilterDatabase" localSheetId="16" hidden="1">Product_Master!$A$1:$K$41</definedName>
    <definedName name="_xlnm._FilterDatabase" localSheetId="7" hidden="1">Product_Performance!$A$1:$AA$41</definedName>
    <definedName name="_xlnm._FilterDatabase" localSheetId="14" hidden="1">Promotion_Calendar!$A$1:$J$15</definedName>
    <definedName name="_xlnm._FilterDatabase" localSheetId="3" hidden="1">Seasonal_Analysis!$A$1:$J$63</definedName>
    <definedName name="_xlnm._FilterDatabase" localSheetId="13" hidden="1">Signal_to_Noise!$A$1:$B$7</definedName>
    <definedName name="_xlnm._FilterDatabase" localSheetId="0" hidden="1">Validation!$A$1:$C$19</definedName>
    <definedName name="_xlnm._FilterDatabase" localSheetId="5" hidden="1">Weekly_Summary!$A$1:$T$158</definedName>
  </definedNames>
  <calcPr calcId="124519" fullCalcOnLoad="1"/>
</workbook>
</file>

<file path=xl/sharedStrings.xml><?xml version="1.0" encoding="utf-8"?>
<sst xmlns="http://schemas.openxmlformats.org/spreadsheetml/2006/main" count="10533" uniqueCount="1767">
  <si>
    <t>Check</t>
  </si>
  <si>
    <t>Result</t>
  </si>
  <si>
    <t>Detail</t>
  </si>
  <si>
    <t>Gross_Sales = Quantity x Unit_Price (exact, every line)</t>
  </si>
  <si>
    <t>Net_Sales = Gross_Sales - Discount - Return_Amount (exact)</t>
  </si>
  <si>
    <t>COGS = Quantity x Unit_Cost (exact)</t>
  </si>
  <si>
    <t>Gross_Profit = Net_Sales - COGS (exact)</t>
  </si>
  <si>
    <t>No negative Net_Sales</t>
  </si>
  <si>
    <t>No negative Gross_Sales / Discount / Quantity</t>
  </si>
  <si>
    <t>Discount never exceeds Gross_Sales</t>
  </si>
  <si>
    <t>Quantity is an integer</t>
  </si>
  <si>
    <t>COGS &gt; Net_Sales only on refunded or loyalty-free lines</t>
  </si>
  <si>
    <t>Every calendar day 2023-01-01..2025-12-31 has transactions</t>
  </si>
  <si>
    <t>Transaction_ID + Line_No is unique</t>
  </si>
  <si>
    <t>Each Transaction_ID has a single Date and Customer</t>
  </si>
  <si>
    <t>Each product has a stable price (distinct prices = scheduled price changes + 1)</t>
  </si>
  <si>
    <t>A customer is 'New' at most once and only on the first visit</t>
  </si>
  <si>
    <t>Guest orders have no Customer_ID, identified orders always do</t>
  </si>
  <si>
    <t>Missing values confined to Time / Payment_Method / Order_Channel / Customer_ID (guests)</t>
  </si>
  <si>
    <t>Daily Net_Profit = Gross_Profit - Payment_Fee - Delivery_Commission - Total_Opex</t>
  </si>
  <si>
    <t>Daily AOV = Net_Sales / Orders</t>
  </si>
  <si>
    <t>PASS</t>
  </si>
  <si>
    <t>15,834 lines (3.31%); all are returns or free loyalty drinks</t>
  </si>
  <si>
    <t>1096 of 1096 days</t>
  </si>
  <si>
    <t>max distinct prices per product: 2</t>
  </si>
  <si>
    <t>Time: 0.07%; Customer_ID: 30.67%; Payment_Method: 0.36%; Order_Channel: 0.26%</t>
  </si>
  <si>
    <t>Column</t>
  </si>
  <si>
    <t>Type</t>
  </si>
  <si>
    <t>Example</t>
  </si>
  <si>
    <t>Description</t>
  </si>
  <si>
    <t>Derivation / Formula</t>
  </si>
  <si>
    <t>Transaction_ID</t>
  </si>
  <si>
    <t>Line_No</t>
  </si>
  <si>
    <t>Date</t>
  </si>
  <si>
    <t>Time</t>
  </si>
  <si>
    <t>Day_Name</t>
  </si>
  <si>
    <t>Week_Number</t>
  </si>
  <si>
    <t>Month</t>
  </si>
  <si>
    <t>Month_Name</t>
  </si>
  <si>
    <t>Quarter</t>
  </si>
  <si>
    <t>Year</t>
  </si>
  <si>
    <t>Is_Weekend</t>
  </si>
  <si>
    <t>Is_Holiday</t>
  </si>
  <si>
    <t>Season</t>
  </si>
  <si>
    <t>Event</t>
  </si>
  <si>
    <t>School_Period</t>
  </si>
  <si>
    <t>Customer_ID</t>
  </si>
  <si>
    <t>Customer_Type</t>
  </si>
  <si>
    <t>Product_ID</t>
  </si>
  <si>
    <t>Product_Name</t>
  </si>
  <si>
    <t>Category</t>
  </si>
  <si>
    <t>Quantity</t>
  </si>
  <si>
    <t>Unit_Price</t>
  </si>
  <si>
    <t>Gross_Sales</t>
  </si>
  <si>
    <t>Discount</t>
  </si>
  <si>
    <t>Promotion</t>
  </si>
  <si>
    <t>Return_Amount</t>
  </si>
  <si>
    <t>Net_Sales</t>
  </si>
  <si>
    <t>Unit_Cost</t>
  </si>
  <si>
    <t>COGS</t>
  </si>
  <si>
    <t>Gross_Profit</t>
  </si>
  <si>
    <t>Payment_Method</t>
  </si>
  <si>
    <t>Order_Channel</t>
  </si>
  <si>
    <t>Payment_Fee</t>
  </si>
  <si>
    <t>Delivery_Commission</t>
  </si>
  <si>
    <t>string</t>
  </si>
  <si>
    <t>int</t>
  </si>
  <si>
    <t>date</t>
  </si>
  <si>
    <t>time</t>
  </si>
  <si>
    <t>0/1</t>
  </si>
  <si>
    <t>SAR</t>
  </si>
  <si>
    <t>TXN-0000001</t>
  </si>
  <si>
    <t>1</t>
  </si>
  <si>
    <t>2023-01-01</t>
  </si>
  <si>
    <t>06:37:11</t>
  </si>
  <si>
    <t>Sunday</t>
  </si>
  <si>
    <t>52</t>
  </si>
  <si>
    <t>January</t>
  </si>
  <si>
    <t>2023</t>
  </si>
  <si>
    <t>0</t>
  </si>
  <si>
    <t>Winter</t>
  </si>
  <si>
    <t>No Event</t>
  </si>
  <si>
    <t>In Session</t>
  </si>
  <si>
    <t>C000149</t>
  </si>
  <si>
    <t>Returning</t>
  </si>
  <si>
    <t>P006</t>
  </si>
  <si>
    <t>Flat White</t>
  </si>
  <si>
    <t>Espresso Drinks</t>
  </si>
  <si>
    <t>16.52</t>
  </si>
  <si>
    <t>0.0</t>
  </si>
  <si>
    <t>No Promotion</t>
  </si>
  <si>
    <t>3.4</t>
  </si>
  <si>
    <t>13.12</t>
  </si>
  <si>
    <t>mada</t>
  </si>
  <si>
    <t>In-Store</t>
  </si>
  <si>
    <t>0.13</t>
  </si>
  <si>
    <t>Order (receipt) identifier, sequential in time. One order = one or more rows (lines).</t>
  </si>
  <si>
    <t>Line number within the order (1..n).</t>
  </si>
  <si>
    <t>Business date (YYYY-MM-DD). Sales after midnight (until 03:00 in Ramadan, 01:00 Thu-Sat) belong to the previous business date, as in a real POS end-of-day.</t>
  </si>
  <si>
    <t>Clock time of the order (HH:MM:SS). Missing for orders keyed in manually during the 2024-10-15 POS outage and for ~0.05 % random sync errors.</t>
  </si>
  <si>
    <t>Day of week name. Saudi work week is Sunday-Thursday.</t>
  </si>
  <si>
    <t>ISO-8601 week number (Monday start). Weekly summaries use Sunday-start Saudi weeks.</t>
  </si>
  <si>
    <t>Month number 1-12.</t>
  </si>
  <si>
    <t>Month name.</t>
  </si>
  <si>
    <t>Calendar quarter 1-4.</t>
  </si>
  <si>
    <t>Calendar year.</t>
  </si>
  <si>
    <t>1 on Friday and Saturday (Saudi weekend).</t>
  </si>
  <si>
    <t>1 on official public holidays: Founding Day, National Day (+ bridge days), Eid Al-Fitr days 1-4, Day of Arafah and Eid Al-Adha days 1-4.</t>
  </si>
  <si>
    <t>Meteorological season: Winter (Dec-Feb), Spring (Mar-May), Summer (Jun-Aug), Autumn (Sep-Nov).</t>
  </si>
  <si>
    <t>Known business events active that day, ' | ' separated (Ramadan, Eid, national days, promotions, post-promotion dip, Salary Week = payday to +4 days). 'No Event' otherwise. Weather and operational anomalies are deliberately NOT labelled.</t>
  </si>
  <si>
    <t>In Session / Exams / Term Break / Summer Vacation (approximate Saudi MoE calendar).</t>
  </si>
  <si>
    <t>Loyalty member ID (Cnnnnnn) or corporate account (CORP-nn). Empty for Guest (non-member) orders - this is structural, not an error.</t>
  </si>
  <si>
    <t>New = member's first ever order; Returning = member seen before (members registered before 2023 are Returning on their first 2023 visit); Guest = not identified.</t>
  </si>
  <si>
    <t>Product code P001-P040.</t>
  </si>
  <si>
    <t>Product name.</t>
  </si>
  <si>
    <t>Espresso Drinks, Iced Coffee, Specialty Coffee, Tea &amp; Matcha, Other Beverages, Bakery, Desserts, Sandwiches, Seasonal.</t>
  </si>
  <si>
    <t>Units of the product on this line (&gt;= 1). Corporate bulk orders carry 5-20.</t>
  </si>
  <si>
    <t>VAT-exclusive selling price per unit on that date (menu price / 1.15, rounded to 0.01). Stable with scheduled price changes.</t>
  </si>
  <si>
    <t>Revenue before discounts.</t>
  </si>
  <si>
    <t>Discount granted on the line (promotion, loyalty free drink, corporate agreement).</t>
  </si>
  <si>
    <t>Name of the discount applied to the line or 'No Promotion'.</t>
  </si>
  <si>
    <t>Refund value when the line was returned/refunded (wrong order, quality complaint). Product is still consumed/wasted so COGS remains.</t>
  </si>
  <si>
    <t>Net revenue of the line.</t>
  </si>
  <si>
    <t>Standard cost per unit (ingredients + packaging) on that date.</t>
  </si>
  <si>
    <t>Cost of goods sold for the line.</t>
  </si>
  <si>
    <t>Gross profit of the line after discounts and refunds.</t>
  </si>
  <si>
    <t>mada, Apple Pay, Credit Card, Cash, STC Pay, Delivery App (aggregator-paid), Corporate Invoice. ~0.35 % missing (sync errors) + POS-outage orders.</t>
  </si>
  <si>
    <t>In-Store, Drive-Thru, Mobile App (launched 2023-09-10), Delivery App. ~0.25 % missing.</t>
  </si>
  <si>
    <t>Card/wallet processing fee on the line.</t>
  </si>
  <si>
    <t>Aggregator commission on delivery orders.</t>
  </si>
  <si>
    <t>TXN-nnnnnnn, assigned after sorting orders by business date and time</t>
  </si>
  <si>
    <t>Transaction_ID + Line_No is the primary key</t>
  </si>
  <si>
    <t>Calendar 2023-01-01..2025-12-31, no gaps</t>
  </si>
  <si>
    <t>Sampled from the segment's intraday profile</t>
  </si>
  <si>
    <t>From Date</t>
  </si>
  <si>
    <t>Date.isocalendar().week</t>
  </si>
  <si>
    <t>Day_Name in {Friday, Saturday}</t>
  </si>
  <si>
    <t>Umm al-Qura calendar</t>
  </si>
  <si>
    <t>From Month</t>
  </si>
  <si>
    <t>Calendar + promotion calendar</t>
  </si>
  <si>
    <t>config.SCHOOL_PERIODS</t>
  </si>
  <si>
    <t>Persistent customer pool; same ID re-appears across visits</t>
  </si>
  <si>
    <t>Customer simulation</t>
  </si>
  <si>
    <t>product_master.csv</t>
  </si>
  <si>
    <t>Count of identical items in the basket</t>
  </si>
  <si>
    <t>price_cost_change_log.csv</t>
  </si>
  <si>
    <t>promotion_calendar.csv</t>
  </si>
  <si>
    <t>Base cost x scheduled cost changes</t>
  </si>
  <si>
    <t>Customer preference + time-varying mix</t>
  </si>
  <si>
    <t>Segment/time-dependent</t>
  </si>
  <si>
    <t>Area</t>
  </si>
  <si>
    <t>Assumption</t>
  </si>
  <si>
    <t>Value / Formula</t>
  </si>
  <si>
    <t>Business</t>
  </si>
  <si>
    <t>Demand structure</t>
  </si>
  <si>
    <t>Noise</t>
  </si>
  <si>
    <t>Trend</t>
  </si>
  <si>
    <t>Weekly</t>
  </si>
  <si>
    <t>Daily</t>
  </si>
  <si>
    <t>Monthly</t>
  </si>
  <si>
    <t>Climate</t>
  </si>
  <si>
    <t>Product mix</t>
  </si>
  <si>
    <t>Ramadan</t>
  </si>
  <si>
    <t>Eid</t>
  </si>
  <si>
    <t>Holidays</t>
  </si>
  <si>
    <t>Salary</t>
  </si>
  <si>
    <t>School</t>
  </si>
  <si>
    <t>Promotions</t>
  </si>
  <si>
    <t>Prices</t>
  </si>
  <si>
    <t>Customers</t>
  </si>
  <si>
    <t>Channels</t>
  </si>
  <si>
    <t>Data quality</t>
  </si>
  <si>
    <t>Outliers</t>
  </si>
  <si>
    <t>Anomalies</t>
  </si>
  <si>
    <t>Structural breaks</t>
  </si>
  <si>
    <t>Profit</t>
  </si>
  <si>
    <t>Single premium specialty coffee shop, north Riyadh, with drive-thru, opened 2021</t>
  </si>
  <si>
    <t>Prices are stored VAT-exclusive (VAT 15 %); menu prices are round VAT-inclusive numbers</t>
  </si>
  <si>
    <t>Daily orders are the sum of 5 latent demand segments with their own weekly, hourly and seasonal behaviour</t>
  </si>
  <si>
    <t>Expected orders are multiplicative in components</t>
  </si>
  <si>
    <t>Realised orders are Poisson around a log-normally perturbed mean (over-dispersed counts)</t>
  </si>
  <si>
    <t>Decelerating organic growth on log scale</t>
  </si>
  <si>
    <t>Slow-moving regime (strong / weak spells)</t>
  </si>
  <si>
    <t>Calendar-month shocks: some months beat / miss expectations</t>
  </si>
  <si>
    <t>Saudi week: Sun-Thu work/school, Fri-Sat weekend; Thursday night is the strongest social night</t>
  </si>
  <si>
    <t>Weekend effect is NOT a fixed % - it is the result of segments with opposite weekly patterns</t>
  </si>
  <si>
    <t>Opening hours: Sun-Wed 06:00-24:00, Thu 06:00-01:00, Fri 06:00-11:30 &amp; 12:50-01:00 (Jumu'ah), Sat 07:00-01:00</t>
  </si>
  <si>
    <t>Intraday demand per segment = sum of Gaussian bumps (morning commute ~07:25, afternoon students ~14:35, evening ~20:35, Thu late night)</t>
  </si>
  <si>
    <t>Smooth month behaviour curve (cosine interpolated between month mid-points)</t>
  </si>
  <si>
    <t>Riyadh daily mean temperature = climatology + AR(1) anomaly</t>
  </si>
  <si>
    <t>Leisure demand rises with outdoor comfort, families/leisure dip with summer travel abroad, delivery rises with heat</t>
  </si>
  <si>
    <t>Iced share of drinks follows temperature</t>
  </si>
  <si>
    <t>Shop closed during fasting hours; demand shifts to night; fewer commuters/students, more leisure/family/delivery</t>
  </si>
  <si>
    <t>Baskets are larger (group gatherings, desserts, dallah)</t>
  </si>
  <si>
    <t>Eid day 1 is quiet in the morning (prayer, family visits) and strong in the evening; days 2-3 strongest; city empties afterwards (travel)</t>
  </si>
  <si>
    <t>National Day / Founding Day behave like a weekend plus celebration uplift and a promotion</t>
  </si>
  <si>
    <t>Government payday on the 27th (Thursday if it falls on Fri/Sat); spending lift decays, end-of-cycle squeeze</t>
  </si>
  <si>
    <t>Students vanish in summer and term breaks; exams raise late-night study visits</t>
  </si>
  <si>
    <t>Promotions lift traffic, raise new-customer acquisition and cut margin; White Friday borrows from the following week</t>
  </si>
  <si>
    <t>Hour-specific promotion: Summer Iced Happy Hour (2024, 2025 only - 2023 is the control year)</t>
  </si>
  <si>
    <t>Stable base prices, 5 scheduled price changes and 5 cost changes; demand elasticity on relative price</t>
  </si>
  <si>
    <t>Persistent members with heterogeneous visit rates</t>
  </si>
  <si>
    <t>Members re-order their favourite drink 55 % of the time (switching to the iced counterpart when hot)</t>
  </si>
  <si>
    <t>Loyalty: every 10 stamped drinks earns a free drink</t>
  </si>
  <si>
    <t>Mobile app adoption follows a saturating curve after launch</t>
  </si>
  <si>
    <t>Missing values only where they occur in real POS data</t>
  </si>
  <si>
    <t>Corporate bulk orders (5-20 units per line) ~1.7-2.3 per month, plus 2 per year before national days</t>
  </si>
  <si>
    <t>Unlabelled: sandstorms, rain days, machine breakdown, power outage, POS outage, Riyadh Season event nights</t>
  </si>
  <si>
    <t>Office tower opening (Oct-23), app launch (Sep-23), viral video (Feb-24), competitor (Apr-24), road works (Aug-25)</t>
  </si>
  <si>
    <t>Net Profit = Gross Profit - payment fees - delivery commissions - operating expenses</t>
  </si>
  <si>
    <t>Medium size: ~215 orders/day in 2023 rising to ~250 in 2025</t>
  </si>
  <si>
    <t>Unit_Price = menu/1.15</t>
  </si>
  <si>
    <t>Commuter, Student, Leisure, Family, Delivery</t>
  </si>
  <si>
    <t>lambda[d,s] = base_s x Trend x Regime x MonthShock x MonthBehaviour x DOW x Climate x School x Salary x Ramadan x Holiday x Promo x Structural x Anomaly</t>
  </si>
  <si>
    <t>N ~ Poisson(lambda x exp(e_d + e_ds)), e_d ~ N(0, 0.055), e_ds ~ N(0, 0.045)</t>
  </si>
  <si>
    <t>log Trend = 0.068 t - 0.002 t^2 (t in years)</t>
  </si>
  <si>
    <t>AR(1) on log scale: x_t = 0.97 x_{t-1} + N(0, 0.008); SD ~ 3.3 %</t>
  </si>
  <si>
    <t>exp(N(0, 0.022)) per month + designed surprises Oct-23 +4 %, Jun-24 -5 %, Dec-24 +5 %, Feb-25 +3 %, Aug-25 -4 %</t>
  </si>
  <si>
    <t>Segment DOW tables (e.g. Commuter Fri 0.22, Leisure Thu 1.45, Family Fri 1.90)</t>
  </si>
  <si>
    <t>Commuters/students collapse on Fri-Sat while leisure/families surge; mix varies with season</t>
  </si>
  <si>
    <t>Ramadan 15:00-18:00 (takeaway) &amp; 19:30-03:00</t>
  </si>
  <si>
    <t>Bump centres jitter N(0, 0.15 h) and heights x exp(N(0, 0.08)) daily so no two days are identical</t>
  </si>
  <si>
    <t>Jan 1.03, Feb 1.02, Mar 1.00, Apr 0.99, May 0.98, Jun 0.97, Jul 0.96, Aug 0.97, Sep 1.00, Oct 1.01, Nov 1.02, Dec 1.04</t>
  </si>
  <si>
    <t>Monthly means 14.5..36.8 C; anomaly a_t = 0.8 a_{t-1} + N(0, 1.2)</t>
  </si>
  <si>
    <t>Leisure x (0.84 + 0.28 exp(-((T-22)/9)^2)) x (1 - 0.14 travel); Delivery x (1 + 0.014 (T-26)); travel = Gaussian centred 24 Jul</t>
  </si>
  <si>
    <t>share_iced = 0.20 + 0.66 / (1 + exp(-(T_eff - 25)/4.5)), T_eff = T + hour shift</t>
  </si>
  <si>
    <t>Commuter 0.30, Student 0.45, Leisure 1.40, Family 1.25, Delivery 1.55 x intra-month curve (start 0.85 -&gt; 1.0, last 10 nights x0.93, Eid eve x1.27)</t>
  </si>
  <si>
    <t>Drinks per order x1.2, food x1.25, desserts weight x1.6, Saudi Qahwa x2.2</t>
  </si>
  <si>
    <t>e.g. Eid Al-Fitr day 2: Leisure x1.30, Family x1.45 on a weekend baseline; post-Eid days x0.6-0.95</t>
  </si>
  <si>
    <t>National Day: Leisure x1.30, Family x1.25 on a Saturday baseline + National Day Offer 20 %</t>
  </si>
  <si>
    <t>salary = 1 + 0.09 exp(-k/2.5) - 0.045 clip((k-14)/12, 0, 1); sensitivity Leisure/Family/Delivery 1.0, Student 0.5, Commuter 0.3</t>
  </si>
  <si>
    <t>Student: Summer 0.20, Break 0.45, Exams 1.10 (+ 22:50 bump)</t>
  </si>
  <si>
    <t>White Friday 20 % off: Delivery x1.35, Leisure x1.25; next 7 days x0.93-0.96</t>
  </si>
  <si>
    <t>25 % off iced drinks Sun-Thu 14:00-17:00; segment demand in window x1.2-1.45</t>
  </si>
  <si>
    <t>weight x (price/initial price)^-0.8</t>
  </si>
  <si>
    <t>visit weight ~ Gamma(0.7-1.0, 1); 35 % of new members never return; lifetime ~ Exp(220-420 days)</t>
  </si>
  <si>
    <t>Favourite drawn at sign-up from segment preferences</t>
  </si>
  <si>
    <t>Cheapest drink on the order discounted 100 % for one unit</t>
  </si>
  <si>
    <t>app share = 0.03 + 0.15 (1 - exp(-days/240))</t>
  </si>
  <si>
    <t>Payment 0.35 %, Channel 0.25 %, Time 0.05 % + POS outage orders; Customer_ID empty for guests</t>
  </si>
  <si>
    <t>Payment = Corporate Invoice, 10 % discount</t>
  </si>
  <si>
    <t>See ground_truth_daily_components.csv</t>
  </si>
  <si>
    <t>See METHODOLOGY.md section 6</t>
  </si>
  <si>
    <t>Opex: staff (62k/67.5k/72k SAR per month, +12 % in Ramadan), rent (420k/420k/455k per year), utilities 210 + 11 x max(0, T-22), marketing 110 + promo budgets, other 190 + one-offs</t>
  </si>
  <si>
    <t>Factor</t>
  </si>
  <si>
    <t>Level</t>
  </si>
  <si>
    <t>Days</t>
  </si>
  <si>
    <t>Model_Component_Multiplier</t>
  </si>
  <si>
    <t>Expected_Orders_Lift</t>
  </si>
  <si>
    <t>Observed_Orders_Lift</t>
  </si>
  <si>
    <t>Observed_Net_Sales_Lift</t>
  </si>
  <si>
    <t>Observed_AOV_Lift</t>
  </si>
  <si>
    <t>Observed_Gross_Profit_Lift</t>
  </si>
  <si>
    <t>Note</t>
  </si>
  <si>
    <t>Day of week</t>
  </si>
  <si>
    <t>Holidays &amp; Eid</t>
  </si>
  <si>
    <t>Salary cycle (payday = 27th)</t>
  </si>
  <si>
    <t>Unlabelled anomalies (ground truth only)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</si>
  <si>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</si>
  <si>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</si>
  <si>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</si>
  <si>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</si>
  <si>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</si>
  <si>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</si>
  <si>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</si>
  <si>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</si>
  <si>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</si>
  <si>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</si>
  <si>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</si>
  <si>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</si>
  <si>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</si>
  <si>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</si>
  <si>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</si>
  <si>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</si>
  <si>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</si>
  <si>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Ramadan days</t>
  </si>
  <si>
    <t>Nights 1-3</t>
  </si>
  <si>
    <t>Nights 4-19</t>
  </si>
  <si>
    <t>Last 10 nights (excl. Eid eve)</t>
  </si>
  <si>
    <t>Eid Al-Fitr eve (last night)</t>
  </si>
  <si>
    <t>Ramadan 2023</t>
  </si>
  <si>
    <t>Ramadan 2024</t>
  </si>
  <si>
    <t>Ramadan 2025</t>
  </si>
  <si>
    <t>Ramadan eve (night before)</t>
  </si>
  <si>
    <t>Eid Al-Fitr day 1</t>
  </si>
  <si>
    <t>Eid Al-Fitr day 2</t>
  </si>
  <si>
    <t>Eid Al-Fitr day 3</t>
  </si>
  <si>
    <t>Eid Al-Fitr day 4</t>
  </si>
  <si>
    <t>Post-Eid Al-Fitr (days 5-7)</t>
  </si>
  <si>
    <t>Day of Arafah</t>
  </si>
  <si>
    <t>Eid Al-Adha day 1</t>
  </si>
  <si>
    <t>Eid Al-Adha day 2</t>
  </si>
  <si>
    <t>Eid Al-Adha day 3</t>
  </si>
  <si>
    <t>Eid Al-Adha day 4</t>
  </si>
  <si>
    <t>Post-Eid Al-Adha (days 5-7)</t>
  </si>
  <si>
    <t>Saudi National Day (Sep 23)</t>
  </si>
  <si>
    <t>National Day Eve</t>
  </si>
  <si>
    <t>Saudi Founding Day (Feb 22)</t>
  </si>
  <si>
    <t>Bridge holiday</t>
  </si>
  <si>
    <t>Payday to +2 days</t>
  </si>
  <si>
    <t>+3 to +6 days</t>
  </si>
  <si>
    <t>+7 to +13 days</t>
  </si>
  <si>
    <t>+14 to +20 days</t>
  </si>
  <si>
    <t>+21 days to next payday (squeeze)</t>
  </si>
  <si>
    <t>White Friday</t>
  </si>
  <si>
    <t>Post-White Friday</t>
  </si>
  <si>
    <t>Back to School 15%</t>
  </si>
  <si>
    <t>App Launch 25% Off</t>
  </si>
  <si>
    <t>National Day Offer</t>
  </si>
  <si>
    <t>Founding Day Offer</t>
  </si>
  <si>
    <t>Ramadan Nights Desserts 10%</t>
  </si>
  <si>
    <t>Monday Boost 15% (Monday weekly index vs normal Mondays)</t>
  </si>
  <si>
    <t>Summer Iced Happy Hour (14:00-17:00 share of orders)</t>
  </si>
  <si>
    <t>Sandstorm</t>
  </si>
  <si>
    <t>Rain</t>
  </si>
  <si>
    <t>Nearby Riyadh Season event</t>
  </si>
  <si>
    <t>Espresso machine breakdown</t>
  </si>
  <si>
    <t>Power outage</t>
  </si>
  <si>
    <t>Ratio to centred 7-day moving average; Ramadan/holiday/promo weeks excluded</t>
  </si>
  <si>
    <t>Winter peak, Riyadh Season, comfortable outdoor seating. Component = month behaviour x climate</t>
  </si>
  <si>
    <t>Winter; Founding Day; exams/term break. Component = month behaviour x climate</t>
  </si>
  <si>
    <t>Spring; Ramadan in 2024-2025 (fewer, larger orders). Component = month behaviour x climate</t>
  </si>
  <si>
    <t>Ramadan/Eid Al-Fitr 2023-2024; warming. Component = month behaviour x climate</t>
  </si>
  <si>
    <t>Heat rising; exam season approaches. Component = month behaviour x climate</t>
  </si>
  <si>
    <t>Exams end, summer travel begins; Eid Al-Adha. Component = month behaviour x climate</t>
  </si>
  <si>
    <t>Peak heat &amp; travel abroad; students away. Component = month behaviour x climate</t>
  </si>
  <si>
    <t>Summer trough; back-to-school end of month. Component = month behaviour x climate</t>
  </si>
  <si>
    <t>Schools back; National Day. Component = month behaviour x climate</t>
  </si>
  <si>
    <t>Autumn recovery; Riyadh Season starts; Pumpkin Spice. Component = month behaviour x climate</t>
  </si>
  <si>
    <t>Cooler; White Friday promotion. Component = month behaviour x climate</t>
  </si>
  <si>
    <t>Winter peak; Riyadh Season events; Pistachio Latte. Component = month behaviour x climate</t>
  </si>
  <si>
    <t>Demand shifts to night; fewer but larger orders</t>
  </si>
  <si>
    <t>Includes National Day Offer promotion</t>
  </si>
  <si>
    <t>Includes Founding Day Offer promotion</t>
  </si>
  <si>
    <t>Ratio to centred 29-day moving average; normal days only</t>
  </si>
  <si>
    <t>Avg discount on promoted lines 20%</t>
  </si>
  <si>
    <t>Post-promotion pull-forward dip</t>
  </si>
  <si>
    <t>Avg discount on promoted lines 15%</t>
  </si>
  <si>
    <t>Avg discount on promoted lines 25%</t>
  </si>
  <si>
    <t>Avg discount on promoted lines 10%</t>
  </si>
  <si>
    <t>Jan-Feb 2025 only; avg discount on promoted lines 15%. The promo also lifts the 7-day MA slightly, so this estimator understates the lift a little</t>
  </si>
  <si>
    <t>Hour-level promo: window share 15.7% in 2023 (no promo) vs 19.9% / 20.2% in 2024 / 2025; designed hourly boost x1.45 (students, leisure, delivery)</t>
  </si>
  <si>
    <t>Not flagged in the transaction file - a robust model should treat these as outliers</t>
  </si>
  <si>
    <t>Orders</t>
  </si>
  <si>
    <t>Items_Sold</t>
  </si>
  <si>
    <t>Total_Opex</t>
  </si>
  <si>
    <t>Net_Profit</t>
  </si>
  <si>
    <t>New_Customers</t>
  </si>
  <si>
    <t>AOV</t>
  </si>
  <si>
    <t>Items_per_Order</t>
  </si>
  <si>
    <t>Gross_Margin_%</t>
  </si>
  <si>
    <t>Net_Margin_%</t>
  </si>
  <si>
    <t>Discount_Rate_%</t>
  </si>
  <si>
    <t>Avg_Daily_Orders</t>
  </si>
  <si>
    <t>Avg_Daily_Net_Sales</t>
  </si>
  <si>
    <t>Active_Customers</t>
  </si>
  <si>
    <t>MoM_Net_Sales_%</t>
  </si>
  <si>
    <t>YoY_Net_Sales_%</t>
  </si>
  <si>
    <t>Expected_Orders_(structural)</t>
  </si>
  <si>
    <t>Orders_vs_Structural_Expectation_%</t>
  </si>
  <si>
    <t>Performance_Flag</t>
  </si>
  <si>
    <t>In line</t>
  </si>
  <si>
    <t>Outperformed</t>
  </si>
  <si>
    <t>Underperformed</t>
  </si>
  <si>
    <t>Week_Start</t>
  </si>
  <si>
    <t>Days_In_Week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</si>
  <si>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</si>
  <si>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</si>
  <si>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</si>
  <si>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</si>
  <si>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</si>
  <si>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</si>
  <si>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</si>
  <si>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</si>
  <si>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</si>
  <si>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</si>
  <si>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</si>
  <si>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</si>
  <si>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</si>
  <si>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</si>
  <si>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</si>
  <si>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</si>
  <si>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</si>
  <si>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</si>
  <si>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</si>
  <si>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</si>
  <si>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</si>
  <si>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</si>
  <si>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</si>
  <si>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</si>
  <si>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</si>
  <si>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</si>
  <si>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</si>
  <si>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</si>
  <si>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</si>
  <si>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</si>
  <si>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</si>
  <si>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</si>
  <si>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</si>
  <si>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</si>
  <si>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</si>
  <si>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</si>
  <si>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</si>
  <si>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</si>
  <si>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</si>
  <si>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</si>
  <si>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</si>
  <si>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</si>
  <si>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</si>
  <si>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</si>
  <si>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</si>
  <si>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</si>
  <si>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</si>
  <si>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</si>
  <si>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</si>
  <si>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</si>
  <si>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</si>
  <si>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</si>
  <si>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</si>
  <si>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</si>
  <si>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</si>
  <si>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</si>
  <si>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</si>
  <si>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</si>
  <si>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</si>
  <si>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</si>
  <si>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</si>
  <si>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</si>
  <si>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</si>
  <si>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</si>
  <si>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</si>
  <si>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</si>
  <si>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</si>
  <si>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</si>
  <si>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</si>
  <si>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</si>
  <si>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</si>
  <si>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</si>
  <si>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</si>
  <si>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</si>
  <si>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</si>
  <si>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</si>
  <si>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</si>
  <si>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</si>
  <si>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</si>
  <si>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</si>
  <si>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</si>
  <si>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</si>
  <si>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</si>
  <si>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</si>
  <si>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</si>
  <si>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</si>
  <si>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</si>
  <si>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</si>
  <si>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</si>
  <si>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</si>
  <si>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</si>
  <si>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</si>
  <si>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</si>
  <si>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</si>
  <si>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</si>
  <si>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</si>
  <si>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</si>
  <si>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</si>
  <si>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</si>
  <si>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</si>
  <si>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</si>
  <si>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</si>
  <si>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</si>
  <si>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</si>
  <si>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</si>
  <si>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</si>
  <si>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</si>
  <si>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</si>
  <si>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</si>
  <si>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</si>
  <si>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</si>
  <si>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</si>
  <si>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</si>
  <si>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</si>
  <si>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</si>
  <si>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</si>
  <si>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</si>
  <si>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</si>
  <si>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</si>
  <si>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</si>
  <si>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</si>
  <si>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</si>
  <si>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</si>
  <si>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</si>
  <si>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</si>
  <si>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</si>
  <si>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</si>
  <si>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</si>
  <si>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</si>
  <si>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</si>
  <si>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</si>
  <si>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</si>
  <si>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</si>
  <si>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</si>
  <si>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</si>
  <si>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</si>
  <si>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</si>
  <si>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</si>
  <si>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</si>
  <si>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</si>
  <si>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</si>
  <si>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</si>
  <si>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</si>
  <si>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</si>
  <si>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</si>
  <si>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</si>
  <si>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</si>
  <si>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</si>
  <si>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</si>
  <si>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</si>
  <si>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</si>
  <si>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</si>
  <si>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</si>
  <si>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</si>
  <si>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</si>
  <si>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</si>
  <si>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Avg_Temp_C</t>
  </si>
  <si>
    <t>Days_Since_Payday</t>
  </si>
  <si>
    <t>Unique_Customers</t>
  </si>
  <si>
    <t>Guest_Orders</t>
  </si>
  <si>
    <t>Delivery_Orders</t>
  </si>
  <si>
    <t>Staff_Cost</t>
  </si>
  <si>
    <t>Rent</t>
  </si>
  <si>
    <t>Utilities</t>
  </si>
  <si>
    <t>Marketing</t>
  </si>
  <si>
    <t>Other_Opex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</si>
  <si>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</si>
  <si>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</si>
  <si>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</si>
  <si>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</si>
  <si>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</si>
  <si>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</si>
  <si>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</si>
  <si>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</si>
  <si>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</si>
  <si>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</si>
  <si>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</si>
  <si>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</si>
  <si>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</si>
  <si>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</si>
  <si>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</si>
  <si>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</si>
  <si>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</si>
  <si>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</si>
  <si>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</si>
  <si>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</si>
  <si>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</si>
  <si>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</si>
  <si>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</si>
  <si>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</si>
  <si>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</si>
  <si>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</si>
  <si>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</si>
  <si>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</si>
  <si>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</si>
  <si>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</si>
  <si>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</si>
  <si>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</si>
  <si>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</si>
  <si>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</si>
  <si>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</si>
  <si>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</si>
  <si>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</si>
  <si>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</si>
  <si>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</si>
  <si>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</si>
  <si>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</si>
  <si>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</si>
  <si>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</si>
  <si>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</si>
  <si>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</si>
  <si>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</si>
  <si>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</si>
  <si>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</si>
  <si>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</si>
  <si>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</si>
  <si>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</si>
  <si>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</si>
  <si>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2023-03-03</t>
  </si>
  <si>
    <t>2023-03-04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</si>
  <si>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</si>
  <si>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</si>
  <si>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</si>
  <si>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</si>
  <si>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</si>
  <si>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</si>
  <si>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</si>
  <si>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</si>
  <si>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</si>
  <si>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</si>
  <si>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</si>
  <si>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</si>
  <si>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</si>
  <si>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</si>
  <si>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</si>
  <si>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</si>
  <si>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</si>
  <si>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</si>
  <si>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</si>
  <si>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</si>
  <si>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</si>
  <si>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</si>
  <si>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</si>
  <si>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</si>
  <si>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</si>
  <si>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</si>
  <si>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</si>
  <si>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</si>
  <si>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2023-04-07</t>
  </si>
  <si>
    <t>2023-04-08</t>
  </si>
  <si>
    <t>2023-04-10</t>
  </si>
  <si>
    <t>2023-04-11</t>
  </si>
  <si>
    <t>2023-04-12</t>
  </si>
  <si>
    <t>2023-04-13</t>
  </si>
  <si>
    <t>2023-04-14</t>
  </si>
  <si>
    <t>2023-04-15</t>
  </si>
  <si>
    <t>2023-04-17</t>
  </si>
  <si>
    <t>2023-04-18</t>
  </si>
  <si>
    <t>2023-04-19</t>
  </si>
  <si>
    <t>2023-04-20</t>
  </si>
  <si>
    <t>2023-04-21</t>
  </si>
  <si>
    <t>2023-04-22</t>
  </si>
  <si>
    <t>2023-04-24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</si>
  <si>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</si>
  <si>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</si>
  <si>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</si>
  <si>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</si>
  <si>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</si>
  <si>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</si>
  <si>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</si>
  <si>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</si>
  <si>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</si>
  <si>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</si>
  <si>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</si>
  <si>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</si>
  <si>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</si>
  <si>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</si>
  <si>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</si>
  <si>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</si>
  <si>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2023-05-13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</si>
  <si>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</si>
  <si>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</si>
  <si>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</si>
  <si>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</si>
  <si>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</si>
  <si>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</si>
  <si>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</si>
  <si>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</si>
  <si>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</si>
  <si>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</si>
  <si>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</si>
  <si>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</si>
  <si>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</si>
  <si>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</si>
  <si>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</si>
  <si>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2023-06-01</t>
  </si>
  <si>
    <t>2023-06-02</t>
  </si>
  <si>
    <t>2023-06-03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</si>
  <si>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</si>
  <si>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</si>
  <si>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</si>
  <si>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</si>
  <si>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</si>
  <si>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</si>
  <si>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</si>
  <si>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</si>
  <si>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</si>
  <si>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</si>
  <si>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</si>
  <si>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</si>
  <si>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</si>
  <si>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</si>
  <si>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</si>
  <si>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</si>
  <si>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</si>
  <si>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</si>
  <si>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</si>
  <si>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</si>
  <si>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</si>
  <si>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</si>
  <si>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</si>
  <si>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</si>
  <si>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</si>
  <si>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</si>
  <si>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</si>
  <si>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</si>
  <si>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</si>
  <si>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</si>
  <si>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</si>
  <si>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</si>
  <si>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</si>
  <si>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</si>
  <si>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</si>
  <si>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</si>
  <si>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</si>
  <si>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</si>
  <si>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</si>
  <si>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</si>
  <si>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</si>
  <si>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</si>
  <si>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</si>
  <si>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</si>
  <si>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</si>
  <si>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</si>
  <si>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</si>
  <si>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</si>
  <si>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</si>
  <si>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</si>
  <si>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</si>
  <si>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</si>
  <si>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</si>
  <si>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</si>
  <si>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</si>
  <si>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</si>
  <si>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</si>
  <si>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</si>
  <si>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</si>
  <si>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</si>
  <si>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</si>
  <si>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</si>
  <si>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</si>
  <si>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</si>
  <si>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</si>
  <si>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</si>
  <si>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</si>
  <si>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</si>
  <si>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</si>
  <si>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</si>
  <si>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</si>
  <si>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</si>
  <si>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</si>
  <si>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</si>
  <si>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</si>
  <si>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</si>
  <si>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2023-09-01</t>
  </si>
  <si>
    <t>2023-09-02</t>
  </si>
  <si>
    <t>2023-09-04</t>
  </si>
  <si>
    <t>2023-09-05</t>
  </si>
  <si>
    <t>2023-09-06</t>
  </si>
  <si>
    <t>2023-09-07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</si>
  <si>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</si>
  <si>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</si>
  <si>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</si>
  <si>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</si>
  <si>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</si>
  <si>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</si>
  <si>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</si>
  <si>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</si>
  <si>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</si>
  <si>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</si>
  <si>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</si>
  <si>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</si>
  <si>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</si>
  <si>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</si>
  <si>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</si>
  <si>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</si>
  <si>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2023-09-27</t>
  </si>
  <si>
    <t>2023-09-28</t>
  </si>
  <si>
    <t>2023-09-29</t>
  </si>
  <si>
    <t>2023-09-30</t>
  </si>
  <si>
    <t>2023-10-02</t>
  </si>
  <si>
    <t>2023-10-03</t>
  </si>
  <si>
    <t>2023-10-04</t>
  </si>
  <si>
    <t>2023-10-05</t>
  </si>
  <si>
    <t>2023-10-06</t>
  </si>
  <si>
    <t>2023-10-07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</si>
  <si>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</si>
  <si>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</si>
  <si>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</si>
  <si>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</si>
  <si>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</si>
  <si>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</si>
  <si>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</si>
  <si>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</si>
  <si>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</si>
  <si>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</si>
  <si>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</si>
  <si>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</si>
  <si>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</si>
  <si>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</si>
  <si>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</si>
  <si>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</si>
  <si>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</si>
  <si>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</si>
  <si>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</si>
  <si>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</si>
  <si>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</si>
  <si>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</si>
  <si>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</si>
  <si>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</si>
  <si>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</si>
  <si>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</si>
  <si>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</si>
  <si>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</si>
  <si>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</si>
  <si>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2023-11-11</t>
  </si>
  <si>
    <t>2023-11-13</t>
  </si>
  <si>
    <t>2023-11-14</t>
  </si>
  <si>
    <t>2023-11-15</t>
  </si>
  <si>
    <t>2023-11-16</t>
  </si>
  <si>
    <t>2023-11-17</t>
  </si>
  <si>
    <t>2023-11-18</t>
  </si>
  <si>
    <t>2023-11-20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</si>
  <si>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</si>
  <si>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</si>
  <si>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</si>
  <si>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</si>
  <si>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</si>
  <si>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</si>
  <si>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</si>
  <si>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</si>
  <si>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</si>
  <si>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</si>
  <si>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</si>
  <si>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</si>
  <si>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</si>
  <si>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</si>
  <si>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</si>
  <si>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</si>
  <si>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</si>
  <si>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</si>
  <si>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</si>
  <si>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</si>
  <si>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</si>
  <si>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</si>
  <si>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</si>
  <si>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</si>
  <si>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</si>
  <si>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</si>
  <si>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</si>
  <si>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</si>
  <si>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</si>
  <si>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</si>
  <si>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</si>
  <si>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</si>
  <si>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</si>
  <si>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</si>
  <si>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</si>
  <si>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</si>
  <si>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</si>
  <si>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</si>
  <si>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</si>
  <si>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</si>
  <si>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</si>
  <si>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</si>
  <si>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</si>
  <si>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</si>
  <si>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</si>
  <si>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</si>
  <si>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</si>
  <si>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</si>
  <si>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</si>
  <si>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</si>
  <si>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</si>
  <si>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</si>
  <si>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</si>
  <si>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</si>
  <si>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</si>
  <si>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</si>
  <si>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</si>
  <si>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</si>
  <si>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</si>
  <si>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</si>
  <si>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</si>
  <si>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</si>
  <si>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</si>
  <si>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</si>
  <si>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</si>
  <si>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2024-02-05</t>
  </si>
  <si>
    <t>2024-02-06</t>
  </si>
  <si>
    <t>2024-02-07</t>
  </si>
  <si>
    <t>2024-02-08</t>
  </si>
  <si>
    <t>2024-02-09</t>
  </si>
  <si>
    <t>2024-02-10</t>
  </si>
  <si>
    <t>2024-02-12</t>
  </si>
  <si>
    <t>2024-02-13</t>
  </si>
  <si>
    <t>2024-02-14</t>
  </si>
  <si>
    <t>2024-02-15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</si>
  <si>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</si>
  <si>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</si>
  <si>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</si>
  <si>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</si>
  <si>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</si>
  <si>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</si>
  <si>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</si>
  <si>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</si>
  <si>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</si>
  <si>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</si>
  <si>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</si>
  <si>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</si>
  <si>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</si>
  <si>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</si>
  <si>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</si>
  <si>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</si>
  <si>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</si>
  <si>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</si>
  <si>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</si>
  <si>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</si>
  <si>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</si>
  <si>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</si>
  <si>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</si>
  <si>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</si>
  <si>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</si>
  <si>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</si>
  <si>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</si>
  <si>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</si>
  <si>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</si>
  <si>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</si>
  <si>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</si>
  <si>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</si>
  <si>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</si>
  <si>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</si>
  <si>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</si>
  <si>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</si>
  <si>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</si>
  <si>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</si>
  <si>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</si>
  <si>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</si>
  <si>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</si>
  <si>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</si>
  <si>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</si>
  <si>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</si>
  <si>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</si>
  <si>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</si>
  <si>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</si>
  <si>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</si>
  <si>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</si>
  <si>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</si>
  <si>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</si>
  <si>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</si>
  <si>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</si>
  <si>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2024-04-18</t>
  </si>
  <si>
    <t>2024-04-19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</si>
  <si>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</si>
  <si>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</si>
  <si>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</si>
  <si>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</si>
  <si>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</si>
  <si>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</si>
  <si>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</si>
  <si>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2024-04-29</t>
  </si>
  <si>
    <t>2024-04-30</t>
  </si>
  <si>
    <t>2024-05-01</t>
  </si>
  <si>
    <t>2024-05-02</t>
  </si>
  <si>
    <t>2024-05-03</t>
  </si>
  <si>
    <t>2024-05-04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</si>
  <si>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</si>
  <si>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</si>
  <si>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</si>
  <si>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</si>
  <si>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</si>
  <si>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</si>
  <si>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</si>
  <si>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</si>
  <si>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</si>
  <si>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</si>
  <si>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</si>
  <si>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</si>
  <si>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</si>
  <si>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</si>
  <si>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</si>
  <si>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</si>
  <si>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</si>
  <si>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</si>
  <si>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</si>
  <si>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</si>
  <si>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</si>
  <si>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</si>
  <si>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</si>
  <si>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</si>
  <si>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</si>
  <si>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</si>
  <si>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</si>
  <si>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</si>
  <si>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</si>
  <si>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</si>
  <si>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</si>
  <si>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</si>
  <si>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</si>
  <si>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</si>
  <si>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</si>
  <si>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</si>
  <si>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</si>
  <si>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</si>
  <si>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</si>
  <si>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</si>
  <si>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</si>
  <si>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</si>
  <si>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</si>
  <si>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</si>
  <si>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</si>
  <si>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</si>
  <si>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</si>
  <si>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</si>
  <si>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</si>
  <si>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</si>
  <si>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</si>
  <si>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</si>
  <si>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</si>
  <si>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</si>
  <si>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</si>
  <si>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</si>
  <si>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</si>
  <si>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</si>
  <si>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</si>
  <si>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</si>
  <si>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</si>
  <si>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</si>
  <si>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</si>
  <si>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</si>
  <si>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</si>
  <si>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</si>
  <si>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</si>
  <si>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</si>
  <si>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</si>
  <si>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</si>
  <si>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</si>
  <si>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</si>
  <si>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</si>
  <si>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</si>
  <si>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</si>
  <si>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</si>
  <si>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</si>
  <si>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</si>
  <si>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</si>
  <si>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</si>
  <si>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</si>
  <si>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</si>
  <si>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</si>
  <si>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</si>
  <si>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</si>
  <si>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</si>
  <si>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</si>
  <si>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</si>
  <si>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</si>
  <si>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</si>
  <si>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</si>
  <si>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</si>
  <si>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</si>
  <si>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</si>
  <si>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</si>
  <si>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</si>
  <si>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</si>
  <si>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</si>
  <si>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</si>
  <si>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</si>
  <si>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</si>
  <si>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</si>
  <si>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</si>
  <si>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</si>
  <si>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</si>
  <si>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</si>
  <si>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</si>
  <si>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</si>
  <si>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2024-09-09</t>
  </si>
  <si>
    <t>2024-09-10</t>
  </si>
  <si>
    <t>2024-09-11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</si>
  <si>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</si>
  <si>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</si>
  <si>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</si>
  <si>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</si>
  <si>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</si>
  <si>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</si>
  <si>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</si>
  <si>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</si>
  <si>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</si>
  <si>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</si>
  <si>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</si>
  <si>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</si>
  <si>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</si>
  <si>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</si>
  <si>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</si>
  <si>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</si>
  <si>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</si>
  <si>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</si>
  <si>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</si>
  <si>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</si>
  <si>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</si>
  <si>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2024-10-07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</si>
  <si>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</si>
  <si>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</si>
  <si>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</si>
  <si>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</si>
  <si>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</si>
  <si>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</si>
  <si>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</si>
  <si>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</si>
  <si>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</si>
  <si>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</si>
  <si>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</si>
  <si>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</si>
  <si>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</si>
  <si>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</si>
  <si>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</si>
  <si>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</si>
  <si>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</si>
  <si>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</si>
  <si>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</si>
  <si>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</si>
  <si>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</si>
  <si>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</si>
  <si>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</si>
  <si>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</si>
  <si>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</si>
  <si>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</si>
  <si>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</si>
  <si>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</si>
  <si>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</si>
  <si>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</si>
  <si>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</si>
  <si>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</si>
  <si>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</si>
  <si>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</si>
  <si>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</si>
  <si>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</si>
  <si>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</si>
  <si>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</si>
  <si>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</si>
  <si>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</si>
  <si>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</si>
  <si>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</si>
  <si>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</si>
  <si>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</si>
  <si>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</si>
  <si>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</si>
  <si>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</si>
  <si>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</si>
  <si>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</si>
  <si>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</si>
  <si>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</si>
  <si>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</si>
  <si>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</si>
  <si>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</si>
  <si>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</si>
  <si>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</si>
  <si>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</si>
  <si>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</si>
  <si>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</si>
  <si>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</si>
  <si>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</si>
  <si>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</si>
  <si>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</si>
  <si>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</si>
  <si>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</si>
  <si>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</si>
  <si>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</si>
  <si>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</si>
  <si>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</si>
  <si>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</si>
  <si>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</si>
  <si>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</si>
  <si>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</si>
  <si>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2025-01-01</t>
  </si>
  <si>
    <t>2025-01-02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</si>
  <si>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</si>
  <si>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</si>
  <si>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</si>
  <si>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</si>
  <si>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</si>
  <si>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</si>
  <si>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</si>
  <si>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2025-01-11</t>
  </si>
  <si>
    <t>2025-01-13</t>
  </si>
  <si>
    <t>2025-01-14</t>
  </si>
  <si>
    <t>2025-01-15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</si>
  <si>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</si>
  <si>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</si>
  <si>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</si>
  <si>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</si>
  <si>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</si>
  <si>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</si>
  <si>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</si>
  <si>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</si>
  <si>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</si>
  <si>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</si>
  <si>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</si>
  <si>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</si>
  <si>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</si>
  <si>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</si>
  <si>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</si>
  <si>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</si>
  <si>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</si>
  <si>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</si>
  <si>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</si>
  <si>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</si>
  <si>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</si>
  <si>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</si>
  <si>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</si>
  <si>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</si>
  <si>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</si>
  <si>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</si>
  <si>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</si>
  <si>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2025-02-17</t>
  </si>
  <si>
    <t>2025-02-18</t>
  </si>
  <si>
    <t>2025-02-19</t>
  </si>
  <si>
    <t>2025-02-20</t>
  </si>
  <si>
    <t>2025-02-21</t>
  </si>
  <si>
    <t>2025-02-22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</si>
  <si>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</si>
  <si>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</si>
  <si>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</si>
  <si>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</si>
  <si>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</si>
  <si>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</si>
  <si>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</si>
  <si>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</si>
  <si>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</si>
  <si>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</si>
  <si>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</si>
  <si>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</si>
  <si>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</si>
  <si>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</si>
  <si>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</si>
  <si>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</si>
  <si>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</si>
  <si>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</si>
  <si>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</si>
  <si>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</si>
  <si>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</si>
  <si>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</si>
  <si>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</si>
  <si>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</si>
  <si>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</si>
  <si>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</si>
  <si>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</si>
  <si>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</si>
  <si>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</si>
  <si>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</si>
  <si>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</si>
  <si>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</si>
  <si>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</si>
  <si>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2025-04-03</t>
  </si>
  <si>
    <t>2025-04-04</t>
  </si>
  <si>
    <t>2025-04-05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</si>
  <si>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</si>
  <si>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</si>
  <si>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</si>
  <si>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</si>
  <si>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</si>
  <si>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</si>
  <si>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</si>
  <si>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</si>
  <si>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</si>
  <si>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</si>
  <si>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</si>
  <si>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</si>
  <si>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</si>
  <si>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</si>
  <si>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</si>
  <si>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</si>
  <si>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</si>
  <si>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</si>
  <si>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2025-04-28</t>
  </si>
  <si>
    <t>2025-04-29</t>
  </si>
  <si>
    <t>2025-04-30</t>
  </si>
  <si>
    <t>2025-05-01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</si>
  <si>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</si>
  <si>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</si>
  <si>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</si>
  <si>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</si>
  <si>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</si>
  <si>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</si>
  <si>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</si>
  <si>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</si>
  <si>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</si>
  <si>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</si>
  <si>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</si>
  <si>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</si>
  <si>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</si>
  <si>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</si>
  <si>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</si>
  <si>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</si>
  <si>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</si>
  <si>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</si>
  <si>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</si>
  <si>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</si>
  <si>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</si>
  <si>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</si>
  <si>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</si>
  <si>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</si>
  <si>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</si>
  <si>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</si>
  <si>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</si>
  <si>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</si>
  <si>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</si>
  <si>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</si>
  <si>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</si>
  <si>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</si>
  <si>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</si>
  <si>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</si>
  <si>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</si>
  <si>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</si>
  <si>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</si>
  <si>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</si>
  <si>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</si>
  <si>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</si>
  <si>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</si>
  <si>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</si>
  <si>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</si>
  <si>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</si>
  <si>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</si>
  <si>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</si>
  <si>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</si>
  <si>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</si>
  <si>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</si>
  <si>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</si>
  <si>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</si>
  <si>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</si>
  <si>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</si>
  <si>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</si>
  <si>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</si>
  <si>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</si>
  <si>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</si>
  <si>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</si>
  <si>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</si>
  <si>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</si>
  <si>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</si>
  <si>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</si>
  <si>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</si>
  <si>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</si>
  <si>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</si>
  <si>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</si>
  <si>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</si>
  <si>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</si>
  <si>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</si>
  <si>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</si>
  <si>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</si>
  <si>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</si>
  <si>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</si>
  <si>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</si>
  <si>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</si>
  <si>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</si>
  <si>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</si>
  <si>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</si>
  <si>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</si>
  <si>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</si>
  <si>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</si>
  <si>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</si>
  <si>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</si>
  <si>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</si>
  <si>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</si>
  <si>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</si>
  <si>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</si>
  <si>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</si>
  <si>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</si>
  <si>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</si>
  <si>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</si>
  <si>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</si>
  <si>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</si>
  <si>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</si>
  <si>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</si>
  <si>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</si>
  <si>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</si>
  <si>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</si>
  <si>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</si>
  <si>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</si>
  <si>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</si>
  <si>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</si>
  <si>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</si>
  <si>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</si>
  <si>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</si>
  <si>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</si>
  <si>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</si>
  <si>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</si>
  <si>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</si>
  <si>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</si>
  <si>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</si>
  <si>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</si>
  <si>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</si>
  <si>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</si>
  <si>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</si>
  <si>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</si>
  <si>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</si>
  <si>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</si>
  <si>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</si>
  <si>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</si>
  <si>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</si>
  <si>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</si>
  <si>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</si>
  <si>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</si>
  <si>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</si>
  <si>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</si>
  <si>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</si>
  <si>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</si>
  <si>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</si>
  <si>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</si>
  <si>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</si>
  <si>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</si>
  <si>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</si>
  <si>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</si>
  <si>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</si>
  <si>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</si>
  <si>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</si>
  <si>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</si>
  <si>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</si>
  <si>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</si>
  <si>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</si>
  <si>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</si>
  <si>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</si>
  <si>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</si>
  <si>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</si>
  <si>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</si>
  <si>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</si>
  <si>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</si>
  <si>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</si>
  <si>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</si>
  <si>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</si>
  <si>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</si>
  <si>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</si>
  <si>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</si>
  <si>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</si>
  <si>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</si>
  <si>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</si>
  <si>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</si>
  <si>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</si>
  <si>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</si>
  <si>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</si>
  <si>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</si>
  <si>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</si>
  <si>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</si>
  <si>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</si>
  <si>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</si>
  <si>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</si>
  <si>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</si>
  <si>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</si>
  <si>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</si>
  <si>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</si>
  <si>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</si>
  <si>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</si>
  <si>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</si>
  <si>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</si>
  <si>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</si>
  <si>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</si>
  <si>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</si>
  <si>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</si>
  <si>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</si>
  <si>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</si>
  <si>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</si>
  <si>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</si>
  <si>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</si>
  <si>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</si>
  <si>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</si>
  <si>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</si>
  <si>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</si>
  <si>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</si>
  <si>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</si>
  <si>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</si>
  <si>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</si>
  <si>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</si>
  <si>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</si>
  <si>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</si>
  <si>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</si>
  <si>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</si>
  <si>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</si>
  <si>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</si>
  <si>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</si>
  <si>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</si>
  <si>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</si>
  <si>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</si>
  <si>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</si>
  <si>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</si>
  <si>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</si>
  <si>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</si>
  <si>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</si>
  <si>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</si>
  <si>
    <t>Spring</t>
  </si>
  <si>
    <t>Summer</t>
  </si>
  <si>
    <t>Autumn</t>
  </si>
  <si>
    <t>Exams</t>
  </si>
  <si>
    <t>Term Break</t>
  </si>
  <si>
    <t>Summer Vacation</t>
  </si>
  <si>
    <t>Salary Week</t>
  </si>
  <si>
    <t>Saudi Founding Day | Founding Day Offer</t>
  </si>
  <si>
    <t>Founding Day Holiday | Founding Day Offer</t>
  </si>
  <si>
    <t>Ramadan Eve</t>
  </si>
  <si>
    <t>Ramadan | Ramadan Nights Desserts 10%</t>
  </si>
  <si>
    <t>Ramadan | Ramadan Nights Desserts 10% | Salary Week</t>
  </si>
  <si>
    <t>Ramadan - Last 10 Nights | Ramadan Nights Desserts 10%</t>
  </si>
  <si>
    <t>Ramadan - Last 10 Nights | Eid Al-Fitr Eve | Ramadan Nights Desserts 10%</t>
  </si>
  <si>
    <t>Eid Al-Fitr</t>
  </si>
  <si>
    <t>Post-Eid Al-Fitr Holiday</t>
  </si>
  <si>
    <t>Post-Eid Al-Fitr Holiday | Salary Week</t>
  </si>
  <si>
    <t>Day of Arafah | Salary Week</t>
  </si>
  <si>
    <t>Eid Al-Adha | Salary Week</t>
  </si>
  <si>
    <t>Post-Eid Al-Adha Holiday</t>
  </si>
  <si>
    <t>App Launch 25% Off | National Day Offer</t>
  </si>
  <si>
    <t>National Day Eve | App Launch 25% Off | National Day Offer</t>
  </si>
  <si>
    <t>Saudi National Day | App Launch 25% Off | National Day Offer</t>
  </si>
  <si>
    <t>National Day Holiday | App Launch 25% Off | National Day Offer</t>
  </si>
  <si>
    <t>App Launch 25% Off | Salary Week</t>
  </si>
  <si>
    <t>White Friday | Salary Week</t>
  </si>
  <si>
    <t>Post-White Friday | Salary Week</t>
  </si>
  <si>
    <t>Ramadan - Last 10 Nights | Ramadan Nights Desserts 10% | Salary Week</t>
  </si>
  <si>
    <t>Eid Al-Adha</t>
  </si>
  <si>
    <t>Summer Iced Happy Hour | Salary Week</t>
  </si>
  <si>
    <t>Summer Iced Happy Hour</t>
  </si>
  <si>
    <t>Summer Iced Happy Hour | Back to School 15%</t>
  </si>
  <si>
    <t>Summer Iced Happy Hour | Back to School 15% | Salary Week</t>
  </si>
  <si>
    <t>Back to School 15% | Salary Week</t>
  </si>
  <si>
    <t>National Day Eve | National Day Offer</t>
  </si>
  <si>
    <t>Saudi National Day | National Day Offer</t>
  </si>
  <si>
    <t>Monday Boost 15%</t>
  </si>
  <si>
    <t>Monday Boost 15% | Salary Week</t>
  </si>
  <si>
    <t>Ramadan Eve | Salary Week</t>
  </si>
  <si>
    <t>Ramadan - Last 10 Nights | Eid Al-Fitr Eve | Ramadan Nights Desserts 10% | Salary Week</t>
  </si>
  <si>
    <t>Eid Al-Fitr | Salary Week</t>
  </si>
  <si>
    <t>Units_Sold</t>
  </si>
  <si>
    <t>Order_Lines</t>
  </si>
  <si>
    <t>Days_On_Sale</t>
  </si>
  <si>
    <t>Avg_Net_Price</t>
  </si>
  <si>
    <t>Units_Share_%</t>
  </si>
  <si>
    <t>Net_Sales_Share_%</t>
  </si>
  <si>
    <t>Gross_Profit_Share_%</t>
  </si>
  <si>
    <t>Units_per_Day_On_Sale</t>
  </si>
  <si>
    <t>Rank_Net_Sales</t>
  </si>
  <si>
    <t>Season_Index_Winter</t>
  </si>
  <si>
    <t>Season_Index_Spring</t>
  </si>
  <si>
    <t>Season_Index_Summer</t>
  </si>
  <si>
    <t>Season_Index_Autumn</t>
  </si>
  <si>
    <t>Peak_Month</t>
  </si>
  <si>
    <t>Units_2023</t>
  </si>
  <si>
    <t>Units_2024</t>
  </si>
  <si>
    <t>Units_2025</t>
  </si>
  <si>
    <t>Volume_Margin_Quadrant</t>
  </si>
  <si>
    <t>P012</t>
  </si>
  <si>
    <t>P007</t>
  </si>
  <si>
    <t>P011</t>
  </si>
  <si>
    <t>P010</t>
  </si>
  <si>
    <t>P018</t>
  </si>
  <si>
    <t>P014</t>
  </si>
  <si>
    <t>P005</t>
  </si>
  <si>
    <t>P029</t>
  </si>
  <si>
    <t>P003</t>
  </si>
  <si>
    <t>P016</t>
  </si>
  <si>
    <t>P013</t>
  </si>
  <si>
    <t>P030</t>
  </si>
  <si>
    <t>P009</t>
  </si>
  <si>
    <t>P004</t>
  </si>
  <si>
    <t>P017</t>
  </si>
  <si>
    <t>P008</t>
  </si>
  <si>
    <t>P015</t>
  </si>
  <si>
    <t>P032</t>
  </si>
  <si>
    <t>P022</t>
  </si>
  <si>
    <t>P033</t>
  </si>
  <si>
    <t>P031</t>
  </si>
  <si>
    <t>P037</t>
  </si>
  <si>
    <t>P024</t>
  </si>
  <si>
    <t>P019</t>
  </si>
  <si>
    <t>P034</t>
  </si>
  <si>
    <t>P036</t>
  </si>
  <si>
    <t>P027</t>
  </si>
  <si>
    <t>P021</t>
  </si>
  <si>
    <t>P039</t>
  </si>
  <si>
    <t>P002</t>
  </si>
  <si>
    <t>P025</t>
  </si>
  <si>
    <t>P026</t>
  </si>
  <si>
    <t>P001</t>
  </si>
  <si>
    <t>P035</t>
  </si>
  <si>
    <t>P023</t>
  </si>
  <si>
    <t>P020</t>
  </si>
  <si>
    <t>P038</t>
  </si>
  <si>
    <t>P028</t>
  </si>
  <si>
    <t>P040</t>
  </si>
  <si>
    <t>Iced Spanish Latte</t>
  </si>
  <si>
    <t>Spanish Latte</t>
  </si>
  <si>
    <t>Iced Latte</t>
  </si>
  <si>
    <t>Iced Americano</t>
  </si>
  <si>
    <t>Iced Matcha Latte</t>
  </si>
  <si>
    <t>Cold Brew</t>
  </si>
  <si>
    <t>Latte</t>
  </si>
  <si>
    <t>San Sebastian Cheesecake</t>
  </si>
  <si>
    <t>Americano</t>
  </si>
  <si>
    <t>Saudi Qahwa (Dallah)</t>
  </si>
  <si>
    <t>Iced Mocha</t>
  </si>
  <si>
    <t>Chocolate Fudge Cake</t>
  </si>
  <si>
    <t>Caramel Macchiato</t>
  </si>
  <si>
    <t>Cappuccino</t>
  </si>
  <si>
    <t>Matcha Latte</t>
  </si>
  <si>
    <t>Mocha</t>
  </si>
  <si>
    <t>V60 Pour Over</t>
  </si>
  <si>
    <t>Turkey &amp; Cheese Sandwich</t>
  </si>
  <si>
    <t>Mint Lemonade</t>
  </si>
  <si>
    <t>Halloumi Pesto Sandwich</t>
  </si>
  <si>
    <t>Honey Cake</t>
  </si>
  <si>
    <t>Iced Saffron Rose Latte</t>
  </si>
  <si>
    <t>Butter Croissant</t>
  </si>
  <si>
    <t>Karak Tea</t>
  </si>
  <si>
    <t>Chicken Caesar Wrap</t>
  </si>
  <si>
    <t>Pistachio Latte</t>
  </si>
  <si>
    <t>Chocolate Chip Cookie</t>
  </si>
  <si>
    <t>Hot Chocolate</t>
  </si>
  <si>
    <t>Ramadan Qahwa &amp; Dates Box</t>
  </si>
  <si>
    <t>Cortado</t>
  </si>
  <si>
    <t>Almond Croissant</t>
  </si>
  <si>
    <t>Zaatar &amp; Cheese Croissant</t>
  </si>
  <si>
    <t>Espresso</t>
  </si>
  <si>
    <t>Pumpkin Spice Latte</t>
  </si>
  <si>
    <t>Mineral Water</t>
  </si>
  <si>
    <t>Black Tea</t>
  </si>
  <si>
    <t>National Day Green Latte</t>
  </si>
  <si>
    <t>Date Ma'amoul Cookie</t>
  </si>
  <si>
    <t>Eid Ma'amoul Box</t>
  </si>
  <si>
    <t>Iced Coffee</t>
  </si>
  <si>
    <t>Tea &amp; Matcha</t>
  </si>
  <si>
    <t>Desserts</t>
  </si>
  <si>
    <t>Specialty Coffee</t>
  </si>
  <si>
    <t>Sandwiches</t>
  </si>
  <si>
    <t>Other Beverages</t>
  </si>
  <si>
    <t>Seasonal</t>
  </si>
  <si>
    <t>Bakery</t>
  </si>
  <si>
    <t>Star: high volume, high margin</t>
  </si>
  <si>
    <t>Traffic driver: high volume, lower margin</t>
  </si>
  <si>
    <t>Niche: low volume, high margin</t>
  </si>
  <si>
    <t>Review: low volume, lower margin</t>
  </si>
  <si>
    <t>Hour (clock time; 00-03 belong to previous business day)</t>
  </si>
  <si>
    <t>Sun-Wed</t>
  </si>
  <si>
    <t>Public holiday</t>
  </si>
  <si>
    <t>Eid day 1</t>
  </si>
  <si>
    <t>index</t>
  </si>
  <si>
    <t>Beverage_Units</t>
  </si>
  <si>
    <t>Iced_Units</t>
  </si>
  <si>
    <t>Iced_Share_%</t>
  </si>
  <si>
    <t>Acquisition_Segment</t>
  </si>
  <si>
    <t>Avg_Orders</t>
  </si>
  <si>
    <t>Median_Orders</t>
  </si>
  <si>
    <t>One_Visit_Share</t>
  </si>
  <si>
    <t>Avg_Basket_SAR</t>
  </si>
  <si>
    <t>Top10pct_Orders_Share</t>
  </si>
  <si>
    <t>Visits_per_Month_(active_customers)</t>
  </si>
  <si>
    <t>Commuter</t>
  </si>
  <si>
    <t>Corporate</t>
  </si>
  <si>
    <t>Delivery</t>
  </si>
  <si>
    <t>Family</t>
  </si>
  <si>
    <t>Leisure</t>
  </si>
  <si>
    <t>Student</t>
  </si>
  <si>
    <t>Orders_per_Customer</t>
  </si>
  <si>
    <t>Share_%</t>
  </si>
  <si>
    <t>2</t>
  </si>
  <si>
    <t>3-5</t>
  </si>
  <si>
    <t>6-10</t>
  </si>
  <si>
    <t>11-25</t>
  </si>
  <si>
    <t>26-50</t>
  </si>
  <si>
    <t>51-100</t>
  </si>
  <si>
    <t>100+</t>
  </si>
  <si>
    <t>Model</t>
  </si>
  <si>
    <t>MAPE_2025_daily_orders_%</t>
  </si>
  <si>
    <t>Naive (last value)</t>
  </si>
  <si>
    <t>Seasonal naive (same weekday last week, recursive)</t>
  </si>
  <si>
    <t>Moving average (28 days)</t>
  </si>
  <si>
    <t>Weighted moving average (28 days, linear weights)</t>
  </si>
  <si>
    <t>Seasonal naive (same weekday, 52 weeks ago)</t>
  </si>
  <si>
    <t>Holt-Winters (damped additive trend, weekly multiplicative)</t>
  </si>
  <si>
    <t>Log-linear regression on calendar/event/weather features (Prophet/GBM-style)</t>
  </si>
  <si>
    <t>ORACLE: noise-free ground truth Expected_Orders (irreducible-noise floor)</t>
  </si>
  <si>
    <t>Metric</t>
  </si>
  <si>
    <t>Value</t>
  </si>
  <si>
    <t>Var(log actual daily orders)</t>
  </si>
  <si>
    <t>Var(log actual - log expected) = noise variance</t>
  </si>
  <si>
    <t>Share of daily log-variance explained by structure (R^2)</t>
  </si>
  <si>
    <t>Correlation actual vs expected daily orders</t>
  </si>
  <si>
    <t>Noise SD on log scale (approx. % daily noise)</t>
  </si>
  <si>
    <t>Monthly: share of log-variance explained by structure</t>
  </si>
  <si>
    <t>First_Day</t>
  </si>
  <si>
    <t>Last_Day</t>
  </si>
  <si>
    <t>Discount_Rate</t>
  </si>
  <si>
    <t>Scope</t>
  </si>
  <si>
    <t>Hours</t>
  </si>
  <si>
    <t>Segments</t>
  </si>
  <si>
    <t>Daily_Marketing_Budget</t>
  </si>
  <si>
    <t>all</t>
  </si>
  <si>
    <t>beverages</t>
  </si>
  <si>
    <t>iced</t>
  </si>
  <si>
    <t>desserts</t>
  </si>
  <si>
    <t>(14.0, 17.0)</t>
  </si>
  <si>
    <t>Mobile App</t>
  </si>
  <si>
    <t>Effective_Date</t>
  </si>
  <si>
    <t>Product_or_Group</t>
  </si>
  <si>
    <t>Change</t>
  </si>
  <si>
    <t>Reason</t>
  </si>
  <si>
    <t>Price</t>
  </si>
  <si>
    <t>Cost</t>
  </si>
  <si>
    <t>group:milk</t>
  </si>
  <si>
    <t>group:esp</t>
  </si>
  <si>
    <t>group:food</t>
  </si>
  <si>
    <t>group:brew</t>
  </si>
  <si>
    <t>+1 SAR menu price (incl. VAT)</t>
  </si>
  <si>
    <t>+2 SAR menu price (incl. VAT)</t>
  </si>
  <si>
    <t>x1.06</t>
  </si>
  <si>
    <t>x1.05</t>
  </si>
  <si>
    <t>x1.07</t>
  </si>
  <si>
    <t>x1.08</t>
  </si>
  <si>
    <t>Milk-based drinks +1 SAR</t>
  </si>
  <si>
    <t>Brew bar +2 SAR</t>
  </si>
  <si>
    <t>Food &amp; cheesecake +2 SAR</t>
  </si>
  <si>
    <t>Croissants +1 SAR</t>
  </si>
  <si>
    <t>Black coffee +1 SAR</t>
  </si>
  <si>
    <t>Dairy supplier price increase</t>
  </si>
  <si>
    <t>Green coffee bean contract renewal</t>
  </si>
  <si>
    <t>Bakery/kitchen supplier increase</t>
  </si>
  <si>
    <t>Global arabica price surge pass-through</t>
  </si>
  <si>
    <t>Menu_Price_Incl_VAT</t>
  </si>
  <si>
    <t>Base_Unit_Cost</t>
  </si>
  <si>
    <t>Kind</t>
  </si>
  <si>
    <t>Base_Unit_Price_ex_VAT</t>
  </si>
  <si>
    <t>Final_Unit_Price_ex_VAT</t>
  </si>
  <si>
    <t>Final_Unit_Cost</t>
  </si>
  <si>
    <t>Base_Margin_%</t>
  </si>
  <si>
    <t>Base_Popularity_Weight</t>
  </si>
  <si>
    <t>hot</t>
  </si>
  <si>
    <t>addon</t>
  </si>
  <si>
    <t>food</t>
  </si>
  <si>
    <t>Day_Type</t>
  </si>
  <si>
    <t>Temp_C</t>
  </si>
  <si>
    <t>Ramadan_Day</t>
  </si>
  <si>
    <t>Eid_Fitr_Day</t>
  </si>
  <si>
    <t>Adha_Rel_Day</t>
  </si>
  <si>
    <t>E_trend</t>
  </si>
  <si>
    <t>E_regime</t>
  </si>
  <si>
    <t>E_month_shock</t>
  </si>
  <si>
    <t>E_month_behaviour</t>
  </si>
  <si>
    <t>E_day_of_week</t>
  </si>
  <si>
    <t>E_climate</t>
  </si>
  <si>
    <t>E_school</t>
  </si>
  <si>
    <t>E_salary</t>
  </si>
  <si>
    <t>E_ramadan</t>
  </si>
  <si>
    <t>E_holiday</t>
  </si>
  <si>
    <t>E_promotion</t>
  </si>
  <si>
    <t>E_structural</t>
  </si>
  <si>
    <t>E_anomaly</t>
  </si>
  <si>
    <t>Lambda_Commuter</t>
  </si>
  <si>
    <t>Lambda_Student</t>
  </si>
  <si>
    <t>Lambda_Leisure</t>
  </si>
  <si>
    <t>Lambda_Family</t>
  </si>
  <si>
    <t>Lambda_Delivery</t>
  </si>
  <si>
    <t>Expected_Orders</t>
  </si>
  <si>
    <t>Noise_Factor_Total</t>
  </si>
  <si>
    <t>Simulated_Retail_Orders</t>
  </si>
  <si>
    <t>Corporate_Orders</t>
  </si>
  <si>
    <t>Unlabelled_Anomaly</t>
  </si>
  <si>
    <t>Structural_Note</t>
  </si>
  <si>
    <t>Orders_Commuter</t>
  </si>
  <si>
    <t>Orders_Student</t>
  </si>
  <si>
    <t>Orders_Leisure</t>
  </si>
  <si>
    <t>Orders_Family</t>
  </si>
  <si>
    <t>Orders_Delivery</t>
  </si>
  <si>
    <t>wkday</t>
  </si>
  <si>
    <t>thu</t>
  </si>
  <si>
    <t>fri</t>
  </si>
  <si>
    <t>sat</t>
  </si>
  <si>
    <t>holiday</t>
  </si>
  <si>
    <t>ramadan</t>
  </si>
  <si>
    <t>eid1</t>
  </si>
  <si>
    <t>Espresso machine breakdown 09:30-15:00</t>
  </si>
  <si>
    <t>POS offline 13:00-16:30 (manual entry)</t>
  </si>
  <si>
    <t>Power outage 18:40-21:30</t>
  </si>
  <si>
    <t>Mobile app launch</t>
  </si>
  <si>
    <t>Office tower opens nearby (commuters +15% ramp)</t>
  </si>
  <si>
    <t>Viral influencer video (+60% decaying)</t>
  </si>
  <si>
    <t>Competitor opens nearby (-10% decaying, -2.5% permanent)</t>
  </si>
  <si>
    <t>Road works start (drive-thru access reduced)</t>
  </si>
  <si>
    <t>Road works 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</si>
</sst>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E27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0.7109375" customWidth="1"/>
    <col min="3" max="3" width="4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21</v>
      </c>
    </row>
    <row r="5" spans="1:3">
      <c r="A5" t="s">
        <v>6</v>
      </c>
      <c r="B5" t="s">
        <v>21</v>
      </c>
    </row>
    <row r="6" spans="1:3">
      <c r="A6" t="s">
        <v>7</v>
      </c>
      <c r="B6" t="s">
        <v>21</v>
      </c>
    </row>
    <row r="7" spans="1:3">
      <c r="A7" t="s">
        <v>8</v>
      </c>
      <c r="B7" t="s">
        <v>21</v>
      </c>
    </row>
    <row r="8" spans="1:3">
      <c r="A8" t="s">
        <v>9</v>
      </c>
      <c r="B8" t="s">
        <v>21</v>
      </c>
    </row>
    <row r="9" spans="1:3">
      <c r="A9" t="s">
        <v>10</v>
      </c>
      <c r="B9" t="s">
        <v>21</v>
      </c>
    </row>
    <row r="10" spans="1:3">
      <c r="A10" t="s">
        <v>11</v>
      </c>
      <c r="B10" t="s">
        <v>21</v>
      </c>
      <c r="C10" t="s">
        <v>22</v>
      </c>
    </row>
    <row r="11" spans="1:3">
      <c r="A11" t="s">
        <v>12</v>
      </c>
      <c r="B11" t="s">
        <v>21</v>
      </c>
      <c r="C11" t="s">
        <v>23</v>
      </c>
    </row>
    <row r="12" spans="1:3">
      <c r="A12" t="s">
        <v>13</v>
      </c>
      <c r="B12" t="s">
        <v>21</v>
      </c>
    </row>
    <row r="13" spans="1:3">
      <c r="A13" t="s">
        <v>14</v>
      </c>
      <c r="B13" t="s">
        <v>21</v>
      </c>
    </row>
    <row r="14" spans="1:3">
      <c r="A14" t="s">
        <v>15</v>
      </c>
      <c r="B14" t="s">
        <v>21</v>
      </c>
      <c r="C14" t="s">
        <v>24</v>
      </c>
    </row>
    <row r="15" spans="1:3">
      <c r="A15" t="s">
        <v>16</v>
      </c>
      <c r="B15" t="s">
        <v>21</v>
      </c>
    </row>
    <row r="16" spans="1:3">
      <c r="A16" t="s">
        <v>17</v>
      </c>
      <c r="B16" t="s">
        <v>21</v>
      </c>
    </row>
    <row r="17" spans="1:3">
      <c r="A17" t="s">
        <v>18</v>
      </c>
      <c r="B17" t="s">
        <v>21</v>
      </c>
      <c r="C17" t="s">
        <v>25</v>
      </c>
    </row>
    <row r="18" spans="1:3">
      <c r="A18" t="s">
        <v>19</v>
      </c>
      <c r="B18" t="s">
        <v>21</v>
      </c>
    </row>
    <row r="19" spans="1:3">
      <c r="A19" t="s">
        <v>20</v>
      </c>
      <c r="B19" t="s">
        <v>21</v>
      </c>
    </row>
  </sheetData>
  <autoFilter ref="A1:C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2.7109375" customWidth="1"/>
    <col min="4" max="5" width="60.7109375" customWidth="1"/>
  </cols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31</v>
      </c>
      <c r="B2" t="s">
        <v>65</v>
      </c>
      <c r="C2" t="s">
        <v>71</v>
      </c>
      <c r="D2" t="s">
        <v>96</v>
      </c>
      <c r="E2" t="s">
        <v>130</v>
      </c>
    </row>
    <row r="3" spans="1:5">
      <c r="A3" t="s">
        <v>32</v>
      </c>
      <c r="B3" t="s">
        <v>66</v>
      </c>
      <c r="C3" t="s">
        <v>72</v>
      </c>
      <c r="D3" t="s">
        <v>97</v>
      </c>
      <c r="E3" t="s">
        <v>131</v>
      </c>
    </row>
    <row r="4" spans="1:5">
      <c r="A4" t="s">
        <v>33</v>
      </c>
      <c r="B4" t="s">
        <v>67</v>
      </c>
      <c r="C4" t="s">
        <v>73</v>
      </c>
      <c r="D4" t="s">
        <v>98</v>
      </c>
      <c r="E4" t="s">
        <v>132</v>
      </c>
    </row>
    <row r="5" spans="1:5">
      <c r="A5" t="s">
        <v>34</v>
      </c>
      <c r="B5" t="s">
        <v>68</v>
      </c>
      <c r="C5" t="s">
        <v>74</v>
      </c>
      <c r="D5" t="s">
        <v>99</v>
      </c>
      <c r="E5" t="s">
        <v>133</v>
      </c>
    </row>
    <row r="6" spans="1:5">
      <c r="A6" t="s">
        <v>35</v>
      </c>
      <c r="B6" t="s">
        <v>65</v>
      </c>
      <c r="C6" t="s">
        <v>75</v>
      </c>
      <c r="D6" t="s">
        <v>100</v>
      </c>
      <c r="E6" t="s">
        <v>134</v>
      </c>
    </row>
    <row r="7" spans="1:5">
      <c r="A7" t="s">
        <v>36</v>
      </c>
      <c r="B7" t="s">
        <v>66</v>
      </c>
      <c r="C7" t="s">
        <v>76</v>
      </c>
      <c r="D7" t="s">
        <v>101</v>
      </c>
      <c r="E7" t="s">
        <v>135</v>
      </c>
    </row>
    <row r="8" spans="1:5">
      <c r="A8" t="s">
        <v>37</v>
      </c>
      <c r="B8" t="s">
        <v>66</v>
      </c>
      <c r="C8" t="s">
        <v>72</v>
      </c>
      <c r="D8" t="s">
        <v>102</v>
      </c>
      <c r="E8" t="s">
        <v>134</v>
      </c>
    </row>
    <row r="9" spans="1:5">
      <c r="A9" t="s">
        <v>38</v>
      </c>
      <c r="B9" t="s">
        <v>65</v>
      </c>
      <c r="C9" t="s">
        <v>77</v>
      </c>
      <c r="D9" t="s">
        <v>103</v>
      </c>
      <c r="E9" t="s">
        <v>134</v>
      </c>
    </row>
    <row r="10" spans="1:5">
      <c r="A10" t="s">
        <v>39</v>
      </c>
      <c r="B10" t="s">
        <v>66</v>
      </c>
      <c r="C10" t="s">
        <v>72</v>
      </c>
      <c r="D10" t="s">
        <v>104</v>
      </c>
      <c r="E10" t="s">
        <v>134</v>
      </c>
    </row>
    <row r="11" spans="1:5">
      <c r="A11" t="s">
        <v>40</v>
      </c>
      <c r="B11" t="s">
        <v>66</v>
      </c>
      <c r="C11" t="s">
        <v>78</v>
      </c>
      <c r="D11" t="s">
        <v>105</v>
      </c>
      <c r="E11" t="s">
        <v>134</v>
      </c>
    </row>
    <row r="12" spans="1:5">
      <c r="A12" t="s">
        <v>41</v>
      </c>
      <c r="B12" t="s">
        <v>69</v>
      </c>
      <c r="C12" t="s">
        <v>79</v>
      </c>
      <c r="D12" t="s">
        <v>106</v>
      </c>
      <c r="E12" t="s">
        <v>136</v>
      </c>
    </row>
    <row r="13" spans="1:5">
      <c r="A13" t="s">
        <v>42</v>
      </c>
      <c r="B13" t="s">
        <v>69</v>
      </c>
      <c r="C13" t="s">
        <v>79</v>
      </c>
      <c r="D13" t="s">
        <v>107</v>
      </c>
      <c r="E13" t="s">
        <v>137</v>
      </c>
    </row>
    <row r="14" spans="1:5">
      <c r="A14" t="s">
        <v>43</v>
      </c>
      <c r="B14" t="s">
        <v>65</v>
      </c>
      <c r="C14" t="s">
        <v>80</v>
      </c>
      <c r="D14" t="s">
        <v>108</v>
      </c>
      <c r="E14" t="s">
        <v>138</v>
      </c>
    </row>
    <row r="15" spans="1:5">
      <c r="A15" t="s">
        <v>44</v>
      </c>
      <c r="B15" t="s">
        <v>65</v>
      </c>
      <c r="C15" t="s">
        <v>81</v>
      </c>
      <c r="D15" t="s">
        <v>109</v>
      </c>
      <c r="E15" t="s">
        <v>139</v>
      </c>
    </row>
    <row r="16" spans="1:5">
      <c r="A16" t="s">
        <v>45</v>
      </c>
      <c r="B16" t="s">
        <v>65</v>
      </c>
      <c r="C16" t="s">
        <v>82</v>
      </c>
      <c r="D16" t="s">
        <v>110</v>
      </c>
      <c r="E16" t="s">
        <v>140</v>
      </c>
    </row>
    <row r="17" spans="1:5">
      <c r="A17" t="s">
        <v>46</v>
      </c>
      <c r="B17" t="s">
        <v>65</v>
      </c>
      <c r="C17" t="s">
        <v>83</v>
      </c>
      <c r="D17" t="s">
        <v>111</v>
      </c>
      <c r="E17" t="s">
        <v>141</v>
      </c>
    </row>
    <row r="18" spans="1:5">
      <c r="A18" t="s">
        <v>47</v>
      </c>
      <c r="B18" t="s">
        <v>65</v>
      </c>
      <c r="C18" t="s">
        <v>84</v>
      </c>
      <c r="D18" t="s">
        <v>112</v>
      </c>
      <c r="E18" t="s">
        <v>142</v>
      </c>
    </row>
    <row r="19" spans="1:5">
      <c r="A19" t="s">
        <v>48</v>
      </c>
      <c r="B19" t="s">
        <v>65</v>
      </c>
      <c r="C19" t="s">
        <v>85</v>
      </c>
      <c r="D19" t="s">
        <v>113</v>
      </c>
      <c r="E19" t="s">
        <v>143</v>
      </c>
    </row>
    <row r="20" spans="1:5">
      <c r="A20" t="s">
        <v>49</v>
      </c>
      <c r="B20" t="s">
        <v>65</v>
      </c>
      <c r="C20" t="s">
        <v>86</v>
      </c>
      <c r="D20" t="s">
        <v>114</v>
      </c>
      <c r="E20" t="s">
        <v>143</v>
      </c>
    </row>
    <row r="21" spans="1:5">
      <c r="A21" t="s">
        <v>50</v>
      </c>
      <c r="B21" t="s">
        <v>65</v>
      </c>
      <c r="C21" t="s">
        <v>87</v>
      </c>
      <c r="D21" t="s">
        <v>115</v>
      </c>
      <c r="E21" t="s">
        <v>143</v>
      </c>
    </row>
    <row r="22" spans="1:5">
      <c r="A22" t="s">
        <v>51</v>
      </c>
      <c r="B22" t="s">
        <v>66</v>
      </c>
      <c r="C22" t="s">
        <v>72</v>
      </c>
      <c r="D22" t="s">
        <v>116</v>
      </c>
      <c r="E22" t="s">
        <v>144</v>
      </c>
    </row>
    <row r="23" spans="1:5">
      <c r="A23" t="s">
        <v>52</v>
      </c>
      <c r="B23" t="s">
        <v>70</v>
      </c>
      <c r="C23" t="s">
        <v>88</v>
      </c>
      <c r="D23" t="s">
        <v>117</v>
      </c>
      <c r="E23" t="s">
        <v>145</v>
      </c>
    </row>
    <row r="24" spans="1:5">
      <c r="A24" t="s">
        <v>53</v>
      </c>
      <c r="B24" t="s">
        <v>70</v>
      </c>
      <c r="C24" t="s">
        <v>88</v>
      </c>
      <c r="D24" t="s">
        <v>118</v>
      </c>
      <c r="E24">
        <f> Quantity x Unit_Price (exact)</f>
        <v>0</v>
      </c>
    </row>
    <row r="25" spans="1:5">
      <c r="A25" t="s">
        <v>54</v>
      </c>
      <c r="B25" t="s">
        <v>70</v>
      </c>
      <c r="C25" t="s">
        <v>89</v>
      </c>
      <c r="D25" t="s">
        <v>119</v>
      </c>
      <c r="E25">
        <f> round(Gross_Sales x promo rate, 2); loyalty: one unit free</f>
        <v>0</v>
      </c>
    </row>
    <row r="26" spans="1:5">
      <c r="A26" t="s">
        <v>55</v>
      </c>
      <c r="B26" t="s">
        <v>65</v>
      </c>
      <c r="C26" t="s">
        <v>90</v>
      </c>
      <c r="D26" t="s">
        <v>120</v>
      </c>
      <c r="E26" t="s">
        <v>146</v>
      </c>
    </row>
    <row r="27" spans="1:5">
      <c r="A27" t="s">
        <v>56</v>
      </c>
      <c r="B27" t="s">
        <v>70</v>
      </c>
      <c r="C27" t="s">
        <v>89</v>
      </c>
      <c r="D27" t="s">
        <v>121</v>
      </c>
      <c r="E27">
        <f> Gross_Sales - Discount when refunded, else 0</f>
        <v>0</v>
      </c>
    </row>
    <row r="28" spans="1:5">
      <c r="A28" t="s">
        <v>57</v>
      </c>
      <c r="B28" t="s">
        <v>70</v>
      </c>
      <c r="C28" t="s">
        <v>88</v>
      </c>
      <c r="D28" t="s">
        <v>122</v>
      </c>
      <c r="E28">
        <f> Gross_Sales - Discount - Return_Amount (exact)</f>
        <v>0</v>
      </c>
    </row>
    <row r="29" spans="1:5">
      <c r="A29" t="s">
        <v>58</v>
      </c>
      <c r="B29" t="s">
        <v>70</v>
      </c>
      <c r="C29" t="s">
        <v>91</v>
      </c>
      <c r="D29" t="s">
        <v>123</v>
      </c>
      <c r="E29" t="s">
        <v>147</v>
      </c>
    </row>
    <row r="30" spans="1:5">
      <c r="A30" t="s">
        <v>59</v>
      </c>
      <c r="B30" t="s">
        <v>70</v>
      </c>
      <c r="C30" t="s">
        <v>91</v>
      </c>
      <c r="D30" t="s">
        <v>124</v>
      </c>
      <c r="E30">
        <f> Quantity x Unit_Cost (exact)</f>
        <v>0</v>
      </c>
    </row>
    <row r="31" spans="1:5">
      <c r="A31" t="s">
        <v>60</v>
      </c>
      <c r="B31" t="s">
        <v>70</v>
      </c>
      <c r="C31" t="s">
        <v>92</v>
      </c>
      <c r="D31" t="s">
        <v>125</v>
      </c>
      <c r="E31">
        <f> Net_Sales - COGS (exact)</f>
        <v>0</v>
      </c>
    </row>
    <row r="32" spans="1:5">
      <c r="A32" t="s">
        <v>61</v>
      </c>
      <c r="B32" t="s">
        <v>65</v>
      </c>
      <c r="C32" t="s">
        <v>93</v>
      </c>
      <c r="D32" t="s">
        <v>126</v>
      </c>
      <c r="E32" t="s">
        <v>148</v>
      </c>
    </row>
    <row r="33" spans="1:5">
      <c r="A33" t="s">
        <v>62</v>
      </c>
      <c r="B33" t="s">
        <v>65</v>
      </c>
      <c r="C33" t="s">
        <v>94</v>
      </c>
      <c r="D33" t="s">
        <v>127</v>
      </c>
      <c r="E33" t="s">
        <v>149</v>
      </c>
    </row>
    <row r="34" spans="1:5">
      <c r="A34" t="s">
        <v>63</v>
      </c>
      <c r="B34" t="s">
        <v>70</v>
      </c>
      <c r="C34" t="s">
        <v>95</v>
      </c>
      <c r="D34" t="s">
        <v>128</v>
      </c>
      <c r="E34">
        <f> round(Net_Sales x rate): mada 0.8 %, Apple Pay 0.9 %, Credit 2.2 %, STC Pay 1.5 %, Cash/Invoice/Delivery 0</f>
        <v>0</v>
      </c>
    </row>
    <row r="35" spans="1:5">
      <c r="A35" t="s">
        <v>64</v>
      </c>
      <c r="B35" t="s">
        <v>70</v>
      </c>
      <c r="C35" t="s">
        <v>89</v>
      </c>
      <c r="D35" t="s">
        <v>129</v>
      </c>
      <c r="E35">
        <f> round(Net_Sales x 22 %) in 2023-2024, 20 % from 2025-01-01; 0 for other channels</f>
        <v>0</v>
      </c>
    </row>
  </sheetData>
  <autoFilter ref="A1:E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60.7109375" customWidth="1"/>
  </cols>
  <sheetData>
    <row r="1" spans="1:3">
      <c r="A1" s="1" t="s">
        <v>150</v>
      </c>
      <c r="B1" s="1" t="s">
        <v>151</v>
      </c>
      <c r="C1" s="1" t="s">
        <v>152</v>
      </c>
    </row>
    <row r="2" spans="1:3">
      <c r="A2" t="s">
        <v>153</v>
      </c>
      <c r="B2" t="s">
        <v>176</v>
      </c>
      <c r="C2" t="s">
        <v>210</v>
      </c>
    </row>
    <row r="3" spans="1:3">
      <c r="A3" t="s">
        <v>153</v>
      </c>
      <c r="B3" t="s">
        <v>177</v>
      </c>
      <c r="C3" t="s">
        <v>211</v>
      </c>
    </row>
    <row r="4" spans="1:3">
      <c r="A4" t="s">
        <v>154</v>
      </c>
      <c r="B4" t="s">
        <v>178</v>
      </c>
      <c r="C4" t="s">
        <v>212</v>
      </c>
    </row>
    <row r="5" spans="1:3">
      <c r="A5" t="s">
        <v>154</v>
      </c>
      <c r="B5" t="s">
        <v>179</v>
      </c>
      <c r="C5" t="s">
        <v>213</v>
      </c>
    </row>
    <row r="6" spans="1:3">
      <c r="A6" t="s">
        <v>155</v>
      </c>
      <c r="B6" t="s">
        <v>180</v>
      </c>
      <c r="C6" t="s">
        <v>214</v>
      </c>
    </row>
    <row r="7" spans="1:3">
      <c r="A7" t="s">
        <v>156</v>
      </c>
      <c r="B7" t="s">
        <v>181</v>
      </c>
      <c r="C7" t="s">
        <v>215</v>
      </c>
    </row>
    <row r="8" spans="1:3">
      <c r="A8" t="s">
        <v>156</v>
      </c>
      <c r="B8" t="s">
        <v>182</v>
      </c>
      <c r="C8" t="s">
        <v>216</v>
      </c>
    </row>
    <row r="9" spans="1:3">
      <c r="A9" t="s">
        <v>156</v>
      </c>
      <c r="B9" t="s">
        <v>183</v>
      </c>
      <c r="C9" t="s">
        <v>217</v>
      </c>
    </row>
    <row r="10" spans="1:3">
      <c r="A10" t="s">
        <v>157</v>
      </c>
      <c r="B10" t="s">
        <v>184</v>
      </c>
      <c r="C10" t="s">
        <v>218</v>
      </c>
    </row>
    <row r="11" spans="1:3">
      <c r="A11" t="s">
        <v>157</v>
      </c>
      <c r="B11" t="s">
        <v>185</v>
      </c>
      <c r="C11" t="s">
        <v>219</v>
      </c>
    </row>
    <row r="12" spans="1:3">
      <c r="A12" t="s">
        <v>158</v>
      </c>
      <c r="B12" t="s">
        <v>186</v>
      </c>
      <c r="C12" t="s">
        <v>220</v>
      </c>
    </row>
    <row r="13" spans="1:3">
      <c r="A13" t="s">
        <v>158</v>
      </c>
      <c r="B13" t="s">
        <v>187</v>
      </c>
      <c r="C13" t="s">
        <v>221</v>
      </c>
    </row>
    <row r="14" spans="1:3">
      <c r="A14" t="s">
        <v>159</v>
      </c>
      <c r="B14" t="s">
        <v>188</v>
      </c>
      <c r="C14" t="s">
        <v>222</v>
      </c>
    </row>
    <row r="15" spans="1:3">
      <c r="A15" t="s">
        <v>160</v>
      </c>
      <c r="B15" t="s">
        <v>189</v>
      </c>
      <c r="C15" t="s">
        <v>223</v>
      </c>
    </row>
    <row r="16" spans="1:3">
      <c r="A16" t="s">
        <v>160</v>
      </c>
      <c r="B16" t="s">
        <v>190</v>
      </c>
      <c r="C16" t="s">
        <v>224</v>
      </c>
    </row>
    <row r="17" spans="1:3">
      <c r="A17" t="s">
        <v>161</v>
      </c>
      <c r="B17" t="s">
        <v>191</v>
      </c>
      <c r="C17" t="s">
        <v>225</v>
      </c>
    </row>
    <row r="18" spans="1:3">
      <c r="A18" t="s">
        <v>162</v>
      </c>
      <c r="B18" t="s">
        <v>192</v>
      </c>
      <c r="C18" t="s">
        <v>226</v>
      </c>
    </row>
    <row r="19" spans="1:3">
      <c r="A19" t="s">
        <v>162</v>
      </c>
      <c r="B19" t="s">
        <v>193</v>
      </c>
      <c r="C19" t="s">
        <v>227</v>
      </c>
    </row>
    <row r="20" spans="1:3">
      <c r="A20" t="s">
        <v>163</v>
      </c>
      <c r="B20" t="s">
        <v>194</v>
      </c>
      <c r="C20" t="s">
        <v>228</v>
      </c>
    </row>
    <row r="21" spans="1:3">
      <c r="A21" t="s">
        <v>164</v>
      </c>
      <c r="B21" t="s">
        <v>195</v>
      </c>
      <c r="C21" t="s">
        <v>229</v>
      </c>
    </row>
    <row r="22" spans="1:3">
      <c r="A22" t="s">
        <v>165</v>
      </c>
      <c r="B22" t="s">
        <v>196</v>
      </c>
      <c r="C22" t="s">
        <v>230</v>
      </c>
    </row>
    <row r="23" spans="1:3">
      <c r="A23" t="s">
        <v>166</v>
      </c>
      <c r="B23" t="s">
        <v>197</v>
      </c>
      <c r="C23" t="s">
        <v>231</v>
      </c>
    </row>
    <row r="24" spans="1:3">
      <c r="A24" t="s">
        <v>167</v>
      </c>
      <c r="B24" t="s">
        <v>198</v>
      </c>
      <c r="C24" t="s">
        <v>232</v>
      </c>
    </row>
    <row r="25" spans="1:3">
      <c r="A25" t="s">
        <v>167</v>
      </c>
      <c r="B25" t="s">
        <v>199</v>
      </c>
      <c r="C25" t="s">
        <v>233</v>
      </c>
    </row>
    <row r="26" spans="1:3">
      <c r="A26" t="s">
        <v>168</v>
      </c>
      <c r="B26" t="s">
        <v>200</v>
      </c>
      <c r="C26" t="s">
        <v>234</v>
      </c>
    </row>
    <row r="27" spans="1:3">
      <c r="A27" t="s">
        <v>169</v>
      </c>
      <c r="B27" t="s">
        <v>201</v>
      </c>
      <c r="C27" t="s">
        <v>235</v>
      </c>
    </row>
    <row r="28" spans="1:3">
      <c r="A28" t="s">
        <v>169</v>
      </c>
      <c r="B28" t="s">
        <v>202</v>
      </c>
      <c r="C28" t="s">
        <v>236</v>
      </c>
    </row>
    <row r="29" spans="1:3">
      <c r="A29" t="s">
        <v>169</v>
      </c>
      <c r="B29" t="s">
        <v>203</v>
      </c>
      <c r="C29" t="s">
        <v>237</v>
      </c>
    </row>
    <row r="30" spans="1:3">
      <c r="A30" t="s">
        <v>170</v>
      </c>
      <c r="B30" t="s">
        <v>204</v>
      </c>
      <c r="C30" t="s">
        <v>238</v>
      </c>
    </row>
    <row r="31" spans="1:3">
      <c r="A31" t="s">
        <v>171</v>
      </c>
      <c r="B31" t="s">
        <v>205</v>
      </c>
      <c r="C31" t="s">
        <v>239</v>
      </c>
    </row>
    <row r="32" spans="1:3">
      <c r="A32" t="s">
        <v>172</v>
      </c>
      <c r="B32" t="s">
        <v>206</v>
      </c>
      <c r="C32" t="s">
        <v>240</v>
      </c>
    </row>
    <row r="33" spans="1:3">
      <c r="A33" t="s">
        <v>173</v>
      </c>
      <c r="B33" t="s">
        <v>207</v>
      </c>
      <c r="C33" t="s">
        <v>241</v>
      </c>
    </row>
    <row r="34" spans="1:3">
      <c r="A34" t="s">
        <v>174</v>
      </c>
      <c r="B34" t="s">
        <v>208</v>
      </c>
      <c r="C34" t="s">
        <v>242</v>
      </c>
    </row>
    <row r="35" spans="1:3">
      <c r="A35" t="s">
        <v>175</v>
      </c>
      <c r="B35" t="s">
        <v>209</v>
      </c>
      <c r="C35" t="s">
        <v>243</v>
      </c>
    </row>
  </sheetData>
  <autoFilter ref="A1:C3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9.7109375" customWidth="1"/>
    <col min="3" max="3" width="10.7109375" customWidth="1"/>
    <col min="4" max="4" width="17.7109375" customWidth="1"/>
    <col min="5" max="6" width="14.7109375" customWidth="1"/>
    <col min="7" max="7" width="15.7109375" customWidth="1"/>
    <col min="8" max="8" width="12.7109375" customWidth="1"/>
    <col min="9" max="9" width="17.7109375" customWidth="1"/>
    <col min="10" max="10" width="60.7109375" customWidth="1"/>
  </cols>
  <sheetData>
    <row r="1" spans="1:10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</row>
    <row r="2" spans="1:10">
      <c r="A2" t="s">
        <v>254</v>
      </c>
      <c r="B2" t="s">
        <v>75</v>
      </c>
      <c r="C2">
        <v>66</v>
      </c>
      <c r="D2">
        <v>0.966</v>
      </c>
      <c r="E2">
        <v>0.967</v>
      </c>
      <c r="F2">
        <v>0.957</v>
      </c>
      <c r="G2">
        <v>0.881</v>
      </c>
      <c r="H2">
        <v>0.922</v>
      </c>
      <c r="J2" t="s">
        <v>318</v>
      </c>
    </row>
    <row r="3" spans="1:10">
      <c r="A3" t="s">
        <v>254</v>
      </c>
      <c r="B3" t="s">
        <v>258</v>
      </c>
      <c r="C3">
        <v>69</v>
      </c>
      <c r="D3">
        <v>0.9379999999999999</v>
      </c>
      <c r="E3">
        <v>0.9429999999999999</v>
      </c>
      <c r="F3">
        <v>0.947</v>
      </c>
      <c r="G3">
        <v>0.859</v>
      </c>
      <c r="H3">
        <v>0.905</v>
      </c>
      <c r="J3" t="s">
        <v>318</v>
      </c>
    </row>
    <row r="4" spans="1:10">
      <c r="A4" t="s">
        <v>254</v>
      </c>
      <c r="B4" t="s">
        <v>259</v>
      </c>
      <c r="C4">
        <v>70</v>
      </c>
      <c r="D4">
        <v>0.963</v>
      </c>
      <c r="E4">
        <v>0.968</v>
      </c>
      <c r="F4">
        <v>0.966</v>
      </c>
      <c r="G4">
        <v>0.889</v>
      </c>
      <c r="H4">
        <v>0.919</v>
      </c>
      <c r="J4" t="s">
        <v>318</v>
      </c>
    </row>
    <row r="5" spans="1:10">
      <c r="A5" t="s">
        <v>254</v>
      </c>
      <c r="B5" t="s">
        <v>260</v>
      </c>
      <c r="C5">
        <v>73</v>
      </c>
      <c r="D5">
        <v>1.003</v>
      </c>
      <c r="E5">
        <v>1.004</v>
      </c>
      <c r="F5">
        <v>0.99</v>
      </c>
      <c r="G5">
        <v>0.928</v>
      </c>
      <c r="H5">
        <v>0.9360000000000001</v>
      </c>
      <c r="J5" t="s">
        <v>318</v>
      </c>
    </row>
    <row r="6" spans="1:10">
      <c r="A6" t="s">
        <v>254</v>
      </c>
      <c r="B6" t="s">
        <v>261</v>
      </c>
      <c r="C6">
        <v>69</v>
      </c>
      <c r="D6">
        <v>1.218</v>
      </c>
      <c r="E6">
        <v>1.227</v>
      </c>
      <c r="F6">
        <v>1.226</v>
      </c>
      <c r="G6">
        <v>1.216</v>
      </c>
      <c r="H6">
        <v>0.991</v>
      </c>
      <c r="J6" t="s">
        <v>318</v>
      </c>
    </row>
    <row r="7" spans="1:10">
      <c r="A7" t="s">
        <v>254</v>
      </c>
      <c r="B7" t="s">
        <v>262</v>
      </c>
      <c r="C7">
        <v>67</v>
      </c>
      <c r="D7">
        <v>0.991</v>
      </c>
      <c r="E7">
        <v>0.987</v>
      </c>
      <c r="F7">
        <v>1.006</v>
      </c>
      <c r="G7">
        <v>1.177</v>
      </c>
      <c r="H7">
        <v>1.171</v>
      </c>
      <c r="J7" t="s">
        <v>318</v>
      </c>
    </row>
    <row r="8" spans="1:10">
      <c r="A8" t="s">
        <v>254</v>
      </c>
      <c r="B8" t="s">
        <v>263</v>
      </c>
      <c r="C8">
        <v>67</v>
      </c>
      <c r="D8">
        <v>0.917</v>
      </c>
      <c r="E8">
        <v>0.91</v>
      </c>
      <c r="F8">
        <v>0.92</v>
      </c>
      <c r="G8">
        <v>1.06</v>
      </c>
      <c r="H8">
        <v>1.152</v>
      </c>
      <c r="J8" t="s">
        <v>318</v>
      </c>
    </row>
    <row r="9" spans="1:10">
      <c r="A9" t="s">
        <v>37</v>
      </c>
      <c r="B9" t="s">
        <v>77</v>
      </c>
      <c r="C9">
        <v>93</v>
      </c>
      <c r="D9">
        <v>1.009</v>
      </c>
      <c r="E9">
        <v>1.031</v>
      </c>
      <c r="F9">
        <v>1.021</v>
      </c>
      <c r="G9">
        <v>0.967</v>
      </c>
      <c r="H9">
        <v>0.945</v>
      </c>
      <c r="J9" t="s">
        <v>319</v>
      </c>
    </row>
    <row r="10" spans="1:10">
      <c r="A10" t="s">
        <v>37</v>
      </c>
      <c r="B10" t="s">
        <v>264</v>
      </c>
      <c r="C10">
        <v>85</v>
      </c>
      <c r="D10">
        <v>1.032</v>
      </c>
      <c r="E10">
        <v>1.083</v>
      </c>
      <c r="F10">
        <v>1.081</v>
      </c>
      <c r="G10">
        <v>1.04</v>
      </c>
      <c r="H10">
        <v>0.958</v>
      </c>
      <c r="J10" t="s">
        <v>320</v>
      </c>
    </row>
    <row r="11" spans="1:10">
      <c r="A11" t="s">
        <v>37</v>
      </c>
      <c r="B11" t="s">
        <v>265</v>
      </c>
      <c r="C11">
        <v>93</v>
      </c>
      <c r="D11">
        <v>1.045</v>
      </c>
      <c r="E11">
        <v>1.066</v>
      </c>
      <c r="F11">
        <v>1.069</v>
      </c>
      <c r="G11">
        <v>1.207</v>
      </c>
      <c r="H11">
        <v>1.125</v>
      </c>
      <c r="J11" t="s">
        <v>321</v>
      </c>
    </row>
    <row r="12" spans="1:10">
      <c r="A12" t="s">
        <v>37</v>
      </c>
      <c r="B12" t="s">
        <v>266</v>
      </c>
      <c r="C12">
        <v>90</v>
      </c>
      <c r="D12">
        <v>1.009</v>
      </c>
      <c r="E12">
        <v>0.996</v>
      </c>
      <c r="F12">
        <v>0.998</v>
      </c>
      <c r="G12">
        <v>1.089</v>
      </c>
      <c r="H12">
        <v>1.088</v>
      </c>
      <c r="J12" t="s">
        <v>322</v>
      </c>
    </row>
    <row r="13" spans="1:10">
      <c r="A13" t="s">
        <v>37</v>
      </c>
      <c r="B13" t="s">
        <v>267</v>
      </c>
      <c r="C13">
        <v>93</v>
      </c>
      <c r="D13">
        <v>0.958</v>
      </c>
      <c r="E13">
        <v>0.971</v>
      </c>
      <c r="F13">
        <v>0.97</v>
      </c>
      <c r="G13">
        <v>0.958</v>
      </c>
      <c r="H13">
        <v>0.987</v>
      </c>
      <c r="J13" t="s">
        <v>323</v>
      </c>
    </row>
    <row r="14" spans="1:10">
      <c r="A14" t="s">
        <v>37</v>
      </c>
      <c r="B14" t="s">
        <v>268</v>
      </c>
      <c r="C14">
        <v>90</v>
      </c>
      <c r="D14">
        <v>0.922</v>
      </c>
      <c r="E14">
        <v>0.834</v>
      </c>
      <c r="F14">
        <v>0.834</v>
      </c>
      <c r="G14">
        <v>0.864</v>
      </c>
      <c r="H14">
        <v>1.04</v>
      </c>
      <c r="J14" t="s">
        <v>324</v>
      </c>
    </row>
    <row r="15" spans="1:10">
      <c r="A15" t="s">
        <v>37</v>
      </c>
      <c r="B15" t="s">
        <v>269</v>
      </c>
      <c r="C15">
        <v>93</v>
      </c>
      <c r="D15">
        <v>0.842</v>
      </c>
      <c r="E15">
        <v>0.765</v>
      </c>
      <c r="F15">
        <v>0.778</v>
      </c>
      <c r="G15">
        <v>0.778</v>
      </c>
      <c r="H15">
        <v>0.994</v>
      </c>
      <c r="J15" t="s">
        <v>325</v>
      </c>
    </row>
    <row r="16" spans="1:10">
      <c r="A16" t="s">
        <v>37</v>
      </c>
      <c r="B16" t="s">
        <v>270</v>
      </c>
      <c r="C16">
        <v>93</v>
      </c>
      <c r="D16">
        <v>0.892</v>
      </c>
      <c r="E16">
        <v>0.8129999999999999</v>
      </c>
      <c r="F16">
        <v>0.8129999999999999</v>
      </c>
      <c r="G16">
        <v>0.805</v>
      </c>
      <c r="H16">
        <v>0.994</v>
      </c>
      <c r="J16" t="s">
        <v>326</v>
      </c>
    </row>
    <row r="17" spans="1:10">
      <c r="A17" t="s">
        <v>37</v>
      </c>
      <c r="B17" t="s">
        <v>271</v>
      </c>
      <c r="C17">
        <v>90</v>
      </c>
      <c r="D17">
        <v>0.969</v>
      </c>
      <c r="E17">
        <v>1.033</v>
      </c>
      <c r="F17">
        <v>1.032</v>
      </c>
      <c r="G17">
        <v>1.024</v>
      </c>
      <c r="H17">
        <v>0.989</v>
      </c>
      <c r="J17" t="s">
        <v>327</v>
      </c>
    </row>
    <row r="18" spans="1:10">
      <c r="A18" t="s">
        <v>37</v>
      </c>
      <c r="B18" t="s">
        <v>272</v>
      </c>
      <c r="C18">
        <v>93</v>
      </c>
      <c r="D18">
        <v>1.029</v>
      </c>
      <c r="E18">
        <v>1.11</v>
      </c>
      <c r="F18">
        <v>1.103</v>
      </c>
      <c r="G18">
        <v>1.079</v>
      </c>
      <c r="H18">
        <v>0.977</v>
      </c>
      <c r="J18" t="s">
        <v>328</v>
      </c>
    </row>
    <row r="19" spans="1:10">
      <c r="A19" t="s">
        <v>37</v>
      </c>
      <c r="B19" t="s">
        <v>273</v>
      </c>
      <c r="C19">
        <v>90</v>
      </c>
      <c r="D19">
        <v>1.061</v>
      </c>
      <c r="E19">
        <v>1.17</v>
      </c>
      <c r="F19">
        <v>1.163</v>
      </c>
      <c r="G19">
        <v>1.108</v>
      </c>
      <c r="H19">
        <v>0.952</v>
      </c>
      <c r="J19" t="s">
        <v>329</v>
      </c>
    </row>
    <row r="20" spans="1:10">
      <c r="A20" t="s">
        <v>37</v>
      </c>
      <c r="B20" t="s">
        <v>274</v>
      </c>
      <c r="C20">
        <v>93</v>
      </c>
      <c r="D20">
        <v>1.038</v>
      </c>
      <c r="E20">
        <v>1.137</v>
      </c>
      <c r="F20">
        <v>1.146</v>
      </c>
      <c r="G20">
        <v>1.088</v>
      </c>
      <c r="H20">
        <v>0.95</v>
      </c>
      <c r="J20" t="s">
        <v>330</v>
      </c>
    </row>
    <row r="21" spans="1:10">
      <c r="A21" t="s">
        <v>162</v>
      </c>
      <c r="B21" t="s">
        <v>275</v>
      </c>
      <c r="C21">
        <v>85</v>
      </c>
      <c r="D21">
        <v>0.972</v>
      </c>
      <c r="E21">
        <v>1.019</v>
      </c>
      <c r="F21">
        <v>1.02</v>
      </c>
      <c r="G21">
        <v>1.264</v>
      </c>
      <c r="H21">
        <v>1.242</v>
      </c>
      <c r="I21">
        <v>1.261</v>
      </c>
      <c r="J21" t="s">
        <v>331</v>
      </c>
    </row>
    <row r="22" spans="1:10">
      <c r="A22" t="s">
        <v>162</v>
      </c>
      <c r="B22" t="s">
        <v>276</v>
      </c>
      <c r="C22">
        <v>8</v>
      </c>
      <c r="D22">
        <v>0.875</v>
      </c>
      <c r="E22">
        <v>0.9330000000000001</v>
      </c>
      <c r="F22">
        <v>0.964</v>
      </c>
      <c r="G22">
        <v>1.178</v>
      </c>
      <c r="H22">
        <v>1.23</v>
      </c>
      <c r="I22">
        <v>1.185</v>
      </c>
    </row>
    <row r="23" spans="1:10">
      <c r="A23" t="s">
        <v>162</v>
      </c>
      <c r="B23" t="s">
        <v>277</v>
      </c>
      <c r="C23">
        <v>46</v>
      </c>
      <c r="D23">
        <v>0.98</v>
      </c>
      <c r="E23">
        <v>1.045</v>
      </c>
      <c r="F23">
        <v>1.041</v>
      </c>
      <c r="G23">
        <v>1.269</v>
      </c>
      <c r="H23">
        <v>1.218</v>
      </c>
      <c r="I23">
        <v>1.269</v>
      </c>
    </row>
    <row r="24" spans="1:10">
      <c r="A24" t="s">
        <v>162</v>
      </c>
      <c r="B24" t="s">
        <v>278</v>
      </c>
      <c r="C24">
        <v>27</v>
      </c>
      <c r="D24">
        <v>0.958</v>
      </c>
      <c r="E24">
        <v>0.969</v>
      </c>
      <c r="F24">
        <v>0.968</v>
      </c>
      <c r="G24">
        <v>1.248</v>
      </c>
      <c r="H24">
        <v>1.291</v>
      </c>
      <c r="I24">
        <v>1.236</v>
      </c>
    </row>
    <row r="25" spans="1:10">
      <c r="A25" t="s">
        <v>162</v>
      </c>
      <c r="B25" t="s">
        <v>279</v>
      </c>
      <c r="C25">
        <v>3</v>
      </c>
      <c r="D25">
        <v>1.248</v>
      </c>
      <c r="E25">
        <v>1.212</v>
      </c>
      <c r="F25">
        <v>1.195</v>
      </c>
      <c r="G25">
        <v>1.513</v>
      </c>
      <c r="H25">
        <v>1.269</v>
      </c>
      <c r="I25">
        <v>1.508</v>
      </c>
    </row>
    <row r="26" spans="1:10">
      <c r="A26" t="s">
        <v>162</v>
      </c>
      <c r="B26" t="s">
        <v>280</v>
      </c>
      <c r="C26">
        <v>29</v>
      </c>
      <c r="D26">
        <v>0.99</v>
      </c>
      <c r="E26">
        <v>1.028</v>
      </c>
      <c r="F26">
        <v>1.024</v>
      </c>
      <c r="G26">
        <v>1.245</v>
      </c>
      <c r="H26">
        <v>1.222</v>
      </c>
      <c r="I26">
        <v>1.244</v>
      </c>
    </row>
    <row r="27" spans="1:10">
      <c r="A27" t="s">
        <v>162</v>
      </c>
      <c r="B27" t="s">
        <v>281</v>
      </c>
      <c r="C27">
        <v>30</v>
      </c>
      <c r="D27">
        <v>0.955</v>
      </c>
      <c r="E27">
        <v>1.054</v>
      </c>
      <c r="F27">
        <v>1.03</v>
      </c>
      <c r="G27">
        <v>1.318</v>
      </c>
      <c r="H27">
        <v>1.273</v>
      </c>
      <c r="I27">
        <v>1.314</v>
      </c>
    </row>
    <row r="28" spans="1:10">
      <c r="A28" t="s">
        <v>162</v>
      </c>
      <c r="B28" t="s">
        <v>282</v>
      </c>
      <c r="C28">
        <v>26</v>
      </c>
      <c r="D28">
        <v>0.974</v>
      </c>
      <c r="E28">
        <v>0.969</v>
      </c>
      <c r="F28">
        <v>1.004</v>
      </c>
      <c r="G28">
        <v>1.221</v>
      </c>
      <c r="H28">
        <v>1.23</v>
      </c>
      <c r="I28">
        <v>1.218</v>
      </c>
    </row>
    <row r="29" spans="1:10">
      <c r="A29" t="s">
        <v>162</v>
      </c>
      <c r="B29" t="s">
        <v>283</v>
      </c>
      <c r="C29">
        <v>3</v>
      </c>
      <c r="D29">
        <v>1.079</v>
      </c>
      <c r="E29">
        <v>1.142</v>
      </c>
      <c r="F29">
        <v>1.183</v>
      </c>
      <c r="G29">
        <v>1.242</v>
      </c>
      <c r="H29">
        <v>1.066</v>
      </c>
      <c r="I29">
        <v>1.249</v>
      </c>
    </row>
    <row r="30" spans="1:10">
      <c r="A30" t="s">
        <v>255</v>
      </c>
      <c r="B30" t="s">
        <v>284</v>
      </c>
      <c r="C30">
        <v>3</v>
      </c>
      <c r="D30">
        <v>0.9389999999999999</v>
      </c>
      <c r="E30">
        <v>0.903</v>
      </c>
      <c r="F30">
        <v>0.833</v>
      </c>
      <c r="G30">
        <v>1.126</v>
      </c>
      <c r="H30">
        <v>1.334</v>
      </c>
      <c r="I30">
        <v>1.118</v>
      </c>
    </row>
    <row r="31" spans="1:10">
      <c r="A31" t="s">
        <v>255</v>
      </c>
      <c r="B31" t="s">
        <v>285</v>
      </c>
      <c r="C31">
        <v>3</v>
      </c>
      <c r="D31">
        <v>1.18</v>
      </c>
      <c r="E31">
        <v>1.034</v>
      </c>
      <c r="F31">
        <v>0.98</v>
      </c>
      <c r="G31">
        <v>1.253</v>
      </c>
      <c r="H31">
        <v>1.312</v>
      </c>
      <c r="I31">
        <v>1.224</v>
      </c>
    </row>
    <row r="32" spans="1:10">
      <c r="A32" t="s">
        <v>255</v>
      </c>
      <c r="B32" t="s">
        <v>286</v>
      </c>
      <c r="C32">
        <v>3</v>
      </c>
      <c r="D32">
        <v>1.149</v>
      </c>
      <c r="E32">
        <v>1.104</v>
      </c>
      <c r="F32">
        <v>1.127</v>
      </c>
      <c r="G32">
        <v>1.434</v>
      </c>
      <c r="H32">
        <v>1.313</v>
      </c>
      <c r="I32">
        <v>1.413</v>
      </c>
    </row>
    <row r="33" spans="1:10">
      <c r="A33" t="s">
        <v>255</v>
      </c>
      <c r="B33" t="s">
        <v>287</v>
      </c>
      <c r="C33">
        <v>3</v>
      </c>
      <c r="D33">
        <v>1.018</v>
      </c>
      <c r="E33">
        <v>0.959</v>
      </c>
      <c r="F33">
        <v>1.003</v>
      </c>
      <c r="G33">
        <v>1.355</v>
      </c>
      <c r="H33">
        <v>1.36</v>
      </c>
      <c r="I33">
        <v>1.337</v>
      </c>
    </row>
    <row r="34" spans="1:10">
      <c r="A34" t="s">
        <v>255</v>
      </c>
      <c r="B34" t="s">
        <v>288</v>
      </c>
      <c r="C34">
        <v>9</v>
      </c>
      <c r="D34">
        <v>0.858</v>
      </c>
      <c r="E34">
        <v>0.8149999999999999</v>
      </c>
      <c r="F34">
        <v>0.806</v>
      </c>
      <c r="G34">
        <v>0.846</v>
      </c>
      <c r="H34">
        <v>1.052</v>
      </c>
      <c r="I34">
        <v>0.854</v>
      </c>
    </row>
    <row r="35" spans="1:10">
      <c r="A35" t="s">
        <v>255</v>
      </c>
      <c r="B35" t="s">
        <v>289</v>
      </c>
      <c r="C35">
        <v>3</v>
      </c>
      <c r="D35">
        <v>0.772</v>
      </c>
      <c r="E35">
        <v>0.64</v>
      </c>
      <c r="F35">
        <v>0.731</v>
      </c>
      <c r="G35">
        <v>0.89</v>
      </c>
      <c r="H35">
        <v>1.214</v>
      </c>
      <c r="I35">
        <v>0.881</v>
      </c>
    </row>
    <row r="36" spans="1:10">
      <c r="A36" t="s">
        <v>255</v>
      </c>
      <c r="B36" t="s">
        <v>290</v>
      </c>
      <c r="C36">
        <v>3</v>
      </c>
      <c r="D36">
        <v>0.749</v>
      </c>
      <c r="E36">
        <v>0.6870000000000001</v>
      </c>
      <c r="F36">
        <v>0.752</v>
      </c>
      <c r="G36">
        <v>1.001</v>
      </c>
      <c r="H36">
        <v>1.38</v>
      </c>
      <c r="I36">
        <v>0.981</v>
      </c>
    </row>
    <row r="37" spans="1:10">
      <c r="A37" t="s">
        <v>255</v>
      </c>
      <c r="B37" t="s">
        <v>291</v>
      </c>
      <c r="C37">
        <v>3</v>
      </c>
      <c r="D37">
        <v>1.098</v>
      </c>
      <c r="E37">
        <v>0.928</v>
      </c>
      <c r="F37">
        <v>0.898</v>
      </c>
      <c r="G37">
        <v>1.115</v>
      </c>
      <c r="H37">
        <v>1.302</v>
      </c>
      <c r="I37">
        <v>1.096</v>
      </c>
    </row>
    <row r="38" spans="1:10">
      <c r="A38" t="s">
        <v>255</v>
      </c>
      <c r="B38" t="s">
        <v>292</v>
      </c>
      <c r="C38">
        <v>3</v>
      </c>
      <c r="D38">
        <v>1.075</v>
      </c>
      <c r="E38">
        <v>0.926</v>
      </c>
      <c r="F38">
        <v>0.998</v>
      </c>
      <c r="G38">
        <v>1.25</v>
      </c>
      <c r="H38">
        <v>1.293</v>
      </c>
      <c r="I38">
        <v>1.238</v>
      </c>
    </row>
    <row r="39" spans="1:10">
      <c r="A39" t="s">
        <v>255</v>
      </c>
      <c r="B39" t="s">
        <v>293</v>
      </c>
      <c r="C39">
        <v>3</v>
      </c>
      <c r="D39">
        <v>0.963</v>
      </c>
      <c r="E39">
        <v>0.841</v>
      </c>
      <c r="F39">
        <v>0.867</v>
      </c>
      <c r="G39">
        <v>1.176</v>
      </c>
      <c r="H39">
        <v>1.353</v>
      </c>
      <c r="I39">
        <v>1.147</v>
      </c>
    </row>
    <row r="40" spans="1:10">
      <c r="A40" t="s">
        <v>255</v>
      </c>
      <c r="B40" t="s">
        <v>294</v>
      </c>
      <c r="C40">
        <v>9</v>
      </c>
      <c r="D40">
        <v>0.873</v>
      </c>
      <c r="E40">
        <v>0.791</v>
      </c>
      <c r="F40">
        <v>0.792</v>
      </c>
      <c r="G40">
        <v>0.781</v>
      </c>
      <c r="H40">
        <v>0.983</v>
      </c>
      <c r="I40">
        <v>0.779</v>
      </c>
    </row>
    <row r="41" spans="1:10">
      <c r="A41" t="s">
        <v>255</v>
      </c>
      <c r="B41" t="s">
        <v>295</v>
      </c>
      <c r="C41">
        <v>3</v>
      </c>
      <c r="D41">
        <v>1.152</v>
      </c>
      <c r="E41">
        <v>1.131</v>
      </c>
      <c r="F41">
        <v>1.029</v>
      </c>
      <c r="G41">
        <v>0.966</v>
      </c>
      <c r="H41">
        <v>0.9399999999999999</v>
      </c>
      <c r="I41">
        <v>0.885</v>
      </c>
      <c r="J41" t="s">
        <v>332</v>
      </c>
    </row>
    <row r="42" spans="1:10">
      <c r="A42" t="s">
        <v>255</v>
      </c>
      <c r="B42" t="s">
        <v>296</v>
      </c>
      <c r="C42">
        <v>3</v>
      </c>
      <c r="D42">
        <v>1.049</v>
      </c>
      <c r="E42">
        <v>1.051</v>
      </c>
      <c r="F42">
        <v>1.002</v>
      </c>
      <c r="G42">
        <v>0.949</v>
      </c>
      <c r="H42">
        <v>0.9320000000000001</v>
      </c>
      <c r="I42">
        <v>0.882</v>
      </c>
    </row>
    <row r="43" spans="1:10">
      <c r="A43" t="s">
        <v>255</v>
      </c>
      <c r="B43" t="s">
        <v>297</v>
      </c>
      <c r="C43">
        <v>3</v>
      </c>
      <c r="D43">
        <v>1.097</v>
      </c>
      <c r="E43">
        <v>0.962</v>
      </c>
      <c r="F43">
        <v>1.025</v>
      </c>
      <c r="G43">
        <v>0.995</v>
      </c>
      <c r="H43">
        <v>0.985</v>
      </c>
      <c r="I43">
        <v>0.9350000000000001</v>
      </c>
      <c r="J43" t="s">
        <v>333</v>
      </c>
    </row>
    <row r="44" spans="1:10">
      <c r="A44" t="s">
        <v>255</v>
      </c>
      <c r="B44" t="s">
        <v>298</v>
      </c>
      <c r="C44">
        <v>3</v>
      </c>
      <c r="D44">
        <v>1.008</v>
      </c>
      <c r="E44">
        <v>0.875</v>
      </c>
      <c r="F44">
        <v>0.946</v>
      </c>
      <c r="G44">
        <v>0.99</v>
      </c>
      <c r="H44">
        <v>1.029</v>
      </c>
      <c r="I44">
        <v>0.927</v>
      </c>
    </row>
    <row r="45" spans="1:10">
      <c r="A45" t="s">
        <v>256</v>
      </c>
      <c r="B45" t="s">
        <v>299</v>
      </c>
      <c r="C45">
        <v>69</v>
      </c>
      <c r="D45">
        <v>1.049</v>
      </c>
      <c r="E45">
        <v>1.077</v>
      </c>
      <c r="F45">
        <v>1.073</v>
      </c>
      <c r="G45">
        <v>1.152</v>
      </c>
      <c r="H45">
        <v>1.075</v>
      </c>
      <c r="J45" t="s">
        <v>334</v>
      </c>
    </row>
    <row r="46" spans="1:10">
      <c r="A46" t="s">
        <v>256</v>
      </c>
      <c r="B46" t="s">
        <v>300</v>
      </c>
      <c r="C46">
        <v>93</v>
      </c>
      <c r="D46">
        <v>1.012</v>
      </c>
      <c r="E46">
        <v>1.001</v>
      </c>
      <c r="F46">
        <v>0.995</v>
      </c>
      <c r="G46">
        <v>0.98</v>
      </c>
      <c r="H46">
        <v>0.983</v>
      </c>
      <c r="J46" t="s">
        <v>334</v>
      </c>
    </row>
    <row r="47" spans="1:10">
      <c r="A47" t="s">
        <v>256</v>
      </c>
      <c r="B47" t="s">
        <v>301</v>
      </c>
      <c r="C47">
        <v>179</v>
      </c>
      <c r="D47">
        <v>1.002</v>
      </c>
      <c r="E47">
        <v>1</v>
      </c>
      <c r="F47">
        <v>1.002</v>
      </c>
      <c r="G47">
        <v>1.008</v>
      </c>
      <c r="H47">
        <v>1.006</v>
      </c>
      <c r="J47" t="s">
        <v>334</v>
      </c>
    </row>
    <row r="48" spans="1:10">
      <c r="A48" t="s">
        <v>256</v>
      </c>
      <c r="B48" t="s">
        <v>302</v>
      </c>
      <c r="C48">
        <v>175</v>
      </c>
      <c r="D48">
        <v>0.991</v>
      </c>
      <c r="E48">
        <v>0.994</v>
      </c>
      <c r="F48">
        <v>0.995</v>
      </c>
      <c r="G48">
        <v>1.002</v>
      </c>
      <c r="H48">
        <v>1.008</v>
      </c>
      <c r="J48" t="s">
        <v>334</v>
      </c>
    </row>
    <row r="49" spans="1:10">
      <c r="A49" t="s">
        <v>256</v>
      </c>
      <c r="B49" t="s">
        <v>303</v>
      </c>
      <c r="C49">
        <v>219</v>
      </c>
      <c r="D49">
        <v>0.97</v>
      </c>
      <c r="E49">
        <v>0.975</v>
      </c>
      <c r="F49">
        <v>0.976</v>
      </c>
      <c r="G49">
        <v>0.963</v>
      </c>
      <c r="H49">
        <v>0.989</v>
      </c>
      <c r="J49" t="s">
        <v>334</v>
      </c>
    </row>
    <row r="50" spans="1:10">
      <c r="A50" t="s">
        <v>167</v>
      </c>
      <c r="B50" t="s">
        <v>304</v>
      </c>
      <c r="C50">
        <v>18</v>
      </c>
      <c r="D50">
        <v>1.208</v>
      </c>
      <c r="E50">
        <v>1.216</v>
      </c>
      <c r="F50">
        <v>1.229</v>
      </c>
      <c r="G50">
        <v>1.058</v>
      </c>
      <c r="H50">
        <v>0.865</v>
      </c>
      <c r="I50">
        <v>0.952</v>
      </c>
      <c r="J50" t="s">
        <v>335</v>
      </c>
    </row>
    <row r="51" spans="1:10">
      <c r="A51" t="s">
        <v>167</v>
      </c>
      <c r="B51" t="s">
        <v>305</v>
      </c>
      <c r="C51">
        <v>21</v>
      </c>
      <c r="D51">
        <v>0.962</v>
      </c>
      <c r="E51">
        <v>0.989</v>
      </c>
      <c r="F51">
        <v>0.989</v>
      </c>
      <c r="G51">
        <v>0.988</v>
      </c>
      <c r="H51">
        <v>1.006</v>
      </c>
      <c r="I51">
        <v>0.985</v>
      </c>
      <c r="J51" t="s">
        <v>336</v>
      </c>
    </row>
    <row r="52" spans="1:10">
      <c r="A52" t="s">
        <v>167</v>
      </c>
      <c r="B52" t="s">
        <v>306</v>
      </c>
      <c r="C52">
        <v>28</v>
      </c>
      <c r="D52">
        <v>1.061</v>
      </c>
      <c r="E52">
        <v>0.984</v>
      </c>
      <c r="F52">
        <v>0.961</v>
      </c>
      <c r="G52">
        <v>0.909</v>
      </c>
      <c r="H52">
        <v>0.953</v>
      </c>
      <c r="I52">
        <v>0.889</v>
      </c>
      <c r="J52" t="s">
        <v>337</v>
      </c>
    </row>
    <row r="53" spans="1:10">
      <c r="A53" t="s">
        <v>167</v>
      </c>
      <c r="B53" t="s">
        <v>307</v>
      </c>
      <c r="C53">
        <v>21</v>
      </c>
      <c r="D53">
        <v>1.042</v>
      </c>
      <c r="E53">
        <v>1.016</v>
      </c>
      <c r="F53">
        <v>1.036</v>
      </c>
      <c r="G53">
        <v>1.037</v>
      </c>
      <c r="H53">
        <v>1.013</v>
      </c>
      <c r="I53">
        <v>1.016</v>
      </c>
      <c r="J53" t="s">
        <v>338</v>
      </c>
    </row>
    <row r="54" spans="1:10">
      <c r="A54" t="s">
        <v>167</v>
      </c>
      <c r="B54" t="s">
        <v>308</v>
      </c>
      <c r="C54">
        <v>12</v>
      </c>
      <c r="D54">
        <v>1.065</v>
      </c>
      <c r="E54">
        <v>1.046</v>
      </c>
      <c r="F54">
        <v>1.032</v>
      </c>
      <c r="G54">
        <v>0.953</v>
      </c>
      <c r="H54">
        <v>0.921</v>
      </c>
      <c r="I54">
        <v>0.876</v>
      </c>
      <c r="J54" t="s">
        <v>335</v>
      </c>
    </row>
    <row r="55" spans="1:10">
      <c r="A55" t="s">
        <v>167</v>
      </c>
      <c r="B55" t="s">
        <v>309</v>
      </c>
      <c r="C55">
        <v>9</v>
      </c>
      <c r="D55">
        <v>1.026</v>
      </c>
      <c r="E55">
        <v>0.949</v>
      </c>
      <c r="F55">
        <v>0.993</v>
      </c>
      <c r="G55">
        <v>0.9340000000000001</v>
      </c>
      <c r="H55">
        <v>0.9399999999999999</v>
      </c>
      <c r="I55">
        <v>0.879</v>
      </c>
      <c r="J55" t="s">
        <v>337</v>
      </c>
    </row>
    <row r="56" spans="1:10">
      <c r="A56" t="s">
        <v>167</v>
      </c>
      <c r="B56" t="s">
        <v>310</v>
      </c>
      <c r="C56">
        <v>85</v>
      </c>
      <c r="D56">
        <v>1</v>
      </c>
      <c r="E56">
        <v>1.019</v>
      </c>
      <c r="F56">
        <v>1.02</v>
      </c>
      <c r="G56">
        <v>1.264</v>
      </c>
      <c r="H56">
        <v>1.242</v>
      </c>
      <c r="I56">
        <v>1.261</v>
      </c>
      <c r="J56" t="s">
        <v>339</v>
      </c>
    </row>
    <row r="57" spans="1:10">
      <c r="A57" t="s">
        <v>167</v>
      </c>
      <c r="B57" t="s">
        <v>311</v>
      </c>
      <c r="C57">
        <v>8</v>
      </c>
      <c r="D57">
        <v>1.104</v>
      </c>
      <c r="E57">
        <v>1.071</v>
      </c>
      <c r="F57">
        <v>1.088</v>
      </c>
      <c r="G57">
        <v>0.987</v>
      </c>
      <c r="J57" t="s">
        <v>340</v>
      </c>
    </row>
    <row r="58" spans="1:10">
      <c r="A58" t="s">
        <v>167</v>
      </c>
      <c r="B58" t="s">
        <v>312</v>
      </c>
      <c r="F58">
        <v>1.272</v>
      </c>
      <c r="J58" t="s">
        <v>341</v>
      </c>
    </row>
    <row r="59" spans="1:10">
      <c r="A59" t="s">
        <v>257</v>
      </c>
      <c r="B59" t="s">
        <v>313</v>
      </c>
      <c r="C59">
        <v>6</v>
      </c>
      <c r="D59">
        <v>0.773</v>
      </c>
      <c r="E59">
        <v>0.745</v>
      </c>
      <c r="F59">
        <v>0.739</v>
      </c>
      <c r="G59">
        <v>0.738</v>
      </c>
      <c r="H59">
        <v>1.003</v>
      </c>
      <c r="I59">
        <v>0.744</v>
      </c>
      <c r="J59" t="s">
        <v>342</v>
      </c>
    </row>
    <row r="60" spans="1:10">
      <c r="A60" t="s">
        <v>257</v>
      </c>
      <c r="B60" t="s">
        <v>314</v>
      </c>
      <c r="C60">
        <v>9</v>
      </c>
      <c r="D60">
        <v>0.911</v>
      </c>
      <c r="E60">
        <v>0.92</v>
      </c>
      <c r="F60">
        <v>0.964</v>
      </c>
      <c r="G60">
        <v>0.964</v>
      </c>
      <c r="H60">
        <v>1.009</v>
      </c>
      <c r="I60">
        <v>0.95</v>
      </c>
      <c r="J60" t="s">
        <v>342</v>
      </c>
    </row>
    <row r="61" spans="1:10">
      <c r="A61" t="s">
        <v>257</v>
      </c>
      <c r="B61" t="s">
        <v>315</v>
      </c>
      <c r="C61">
        <v>3</v>
      </c>
      <c r="D61">
        <v>1.235</v>
      </c>
      <c r="E61">
        <v>1.241</v>
      </c>
      <c r="F61">
        <v>1.195</v>
      </c>
      <c r="G61">
        <v>1.16</v>
      </c>
      <c r="H61">
        <v>0.974</v>
      </c>
      <c r="I61">
        <v>1.17</v>
      </c>
      <c r="J61" t="s">
        <v>342</v>
      </c>
    </row>
    <row r="62" spans="1:10">
      <c r="A62" t="s">
        <v>257</v>
      </c>
      <c r="B62" t="s">
        <v>316</v>
      </c>
      <c r="C62">
        <v>1</v>
      </c>
      <c r="D62">
        <v>0.875</v>
      </c>
      <c r="E62">
        <v>0.887</v>
      </c>
      <c r="F62">
        <v>0.925</v>
      </c>
      <c r="G62">
        <v>0.97</v>
      </c>
      <c r="H62">
        <v>1.066</v>
      </c>
      <c r="I62">
        <v>0.972</v>
      </c>
      <c r="J62" t="s">
        <v>342</v>
      </c>
    </row>
    <row r="63" spans="1:10">
      <c r="A63" t="s">
        <v>257</v>
      </c>
      <c r="B63" t="s">
        <v>317</v>
      </c>
      <c r="C63">
        <v>1</v>
      </c>
      <c r="D63">
        <v>0.767</v>
      </c>
      <c r="E63">
        <v>0.763</v>
      </c>
      <c r="F63">
        <v>0.903</v>
      </c>
      <c r="G63">
        <v>0.79</v>
      </c>
      <c r="H63">
        <v>0.899</v>
      </c>
      <c r="I63">
        <v>0.794</v>
      </c>
      <c r="J63" t="s">
        <v>342</v>
      </c>
    </row>
  </sheetData>
  <autoFilter ref="A1:J6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0.7109375" customWidth="1"/>
    <col min="7" max="7" width="11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0.7109375" customWidth="1"/>
    <col min="14" max="14" width="13.7109375" customWidth="1"/>
    <col min="15" max="15" width="11.7109375" customWidth="1"/>
    <col min="16" max="18" width="10.7109375" customWidth="1"/>
    <col min="19" max="20" width="11.7109375" customWidth="1"/>
    <col min="21" max="21" width="10.7109375" customWidth="1"/>
    <col min="22" max="22" width="11.7109375" customWidth="1"/>
    <col min="23" max="23" width="12.7109375" customWidth="1"/>
    <col min="24" max="24" width="13.7109375" customWidth="1"/>
    <col min="25" max="25" width="12.7109375" customWidth="1"/>
    <col min="26" max="27" width="11.7109375" customWidth="1"/>
    <col min="28" max="28" width="18.7109375" customWidth="1"/>
    <col min="29" max="29" width="21.7109375" customWidth="1"/>
    <col min="30" max="30" width="16.7109375" customWidth="1"/>
  </cols>
  <sheetData>
    <row r="1" spans="1:30">
      <c r="A1" s="1" t="s">
        <v>40</v>
      </c>
      <c r="B1" s="1" t="s">
        <v>37</v>
      </c>
      <c r="C1" s="1" t="s">
        <v>246</v>
      </c>
      <c r="D1" s="1" t="s">
        <v>38</v>
      </c>
      <c r="E1" s="1" t="s">
        <v>343</v>
      </c>
      <c r="F1" s="1" t="s">
        <v>344</v>
      </c>
      <c r="G1" s="1" t="s">
        <v>53</v>
      </c>
      <c r="H1" s="1" t="s">
        <v>54</v>
      </c>
      <c r="I1" s="1" t="s">
        <v>56</v>
      </c>
      <c r="J1" s="1" t="s">
        <v>57</v>
      </c>
      <c r="K1" s="1" t="s">
        <v>59</v>
      </c>
      <c r="L1" s="1" t="s">
        <v>60</v>
      </c>
      <c r="M1" s="1" t="s">
        <v>63</v>
      </c>
      <c r="N1" s="1" t="s">
        <v>64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  <c r="U1" s="1" t="s">
        <v>351</v>
      </c>
      <c r="V1" s="1" t="s">
        <v>352</v>
      </c>
      <c r="W1" s="1" t="s">
        <v>353</v>
      </c>
      <c r="X1" s="1" t="s">
        <v>354</v>
      </c>
      <c r="Y1" s="1" t="s">
        <v>355</v>
      </c>
      <c r="Z1" s="1" t="s">
        <v>356</v>
      </c>
      <c r="AA1" s="1" t="s">
        <v>357</v>
      </c>
      <c r="AB1" s="1" t="s">
        <v>358</v>
      </c>
      <c r="AC1" s="1" t="s">
        <v>359</v>
      </c>
      <c r="AD1" s="1" t="s">
        <v>360</v>
      </c>
    </row>
    <row r="2" spans="1:30">
      <c r="A2">
        <v>2023</v>
      </c>
      <c r="B2">
        <v>1</v>
      </c>
      <c r="C2">
        <v>31</v>
      </c>
      <c r="D2" t="s">
        <v>77</v>
      </c>
      <c r="E2">
        <v>6556</v>
      </c>
      <c r="F2">
        <v>12320</v>
      </c>
      <c r="G2">
        <v>205442.18</v>
      </c>
      <c r="H2">
        <v>4197.1</v>
      </c>
      <c r="I2">
        <v>571.3</v>
      </c>
      <c r="J2">
        <v>200673.78</v>
      </c>
      <c r="K2">
        <v>57627.8</v>
      </c>
      <c r="L2">
        <v>143045.98</v>
      </c>
      <c r="M2">
        <v>1496.91</v>
      </c>
      <c r="N2">
        <v>7315.56</v>
      </c>
      <c r="O2">
        <v>113349.94</v>
      </c>
      <c r="P2">
        <v>20883.57</v>
      </c>
      <c r="Q2">
        <v>217</v>
      </c>
      <c r="R2">
        <v>30.61</v>
      </c>
      <c r="S2">
        <v>1.88</v>
      </c>
      <c r="T2">
        <v>71.28</v>
      </c>
      <c r="U2">
        <v>10.41</v>
      </c>
      <c r="V2">
        <v>2.04</v>
      </c>
      <c r="W2">
        <v>211.48</v>
      </c>
      <c r="X2">
        <v>6473.35</v>
      </c>
      <c r="Y2">
        <v>1183</v>
      </c>
      <c r="AB2">
        <v>6573.04</v>
      </c>
      <c r="AC2">
        <v>-0.26</v>
      </c>
      <c r="AD2" t="s">
        <v>361</v>
      </c>
    </row>
    <row r="3" spans="1:30">
      <c r="A3">
        <v>2023</v>
      </c>
      <c r="B3">
        <v>2</v>
      </c>
      <c r="C3">
        <v>28</v>
      </c>
      <c r="D3" t="s">
        <v>264</v>
      </c>
      <c r="E3">
        <v>6035</v>
      </c>
      <c r="F3">
        <v>11789</v>
      </c>
      <c r="G3">
        <v>198672.6</v>
      </c>
      <c r="H3">
        <v>7781.02</v>
      </c>
      <c r="I3">
        <v>604.1</v>
      </c>
      <c r="J3">
        <v>190287.48</v>
      </c>
      <c r="K3">
        <v>56375.95</v>
      </c>
      <c r="L3">
        <v>133911.53</v>
      </c>
      <c r="M3">
        <v>1411.63</v>
      </c>
      <c r="N3">
        <v>6967.54</v>
      </c>
      <c r="O3">
        <v>110195.99</v>
      </c>
      <c r="P3">
        <v>15336.37</v>
      </c>
      <c r="Q3">
        <v>210</v>
      </c>
      <c r="R3">
        <v>31.53</v>
      </c>
      <c r="S3">
        <v>1.95</v>
      </c>
      <c r="T3">
        <v>70.37</v>
      </c>
      <c r="U3">
        <v>8.06</v>
      </c>
      <c r="V3">
        <v>3.92</v>
      </c>
      <c r="W3">
        <v>215.54</v>
      </c>
      <c r="X3">
        <v>6795.98</v>
      </c>
      <c r="Y3">
        <v>1185</v>
      </c>
      <c r="Z3">
        <v>-5.18</v>
      </c>
      <c r="AB3">
        <v>6106.47</v>
      </c>
      <c r="AC3">
        <v>-1.17</v>
      </c>
      <c r="AD3" t="s">
        <v>361</v>
      </c>
    </row>
    <row r="4" spans="1:30">
      <c r="A4">
        <v>2023</v>
      </c>
      <c r="B4">
        <v>3</v>
      </c>
      <c r="C4">
        <v>31</v>
      </c>
      <c r="D4" t="s">
        <v>265</v>
      </c>
      <c r="E4">
        <v>7313</v>
      </c>
      <c r="F4">
        <v>14865</v>
      </c>
      <c r="G4">
        <v>256977.91</v>
      </c>
      <c r="H4">
        <v>6797.79</v>
      </c>
      <c r="I4">
        <v>624.75</v>
      </c>
      <c r="J4">
        <v>249555.37</v>
      </c>
      <c r="K4">
        <v>71915.35000000001</v>
      </c>
      <c r="L4">
        <v>177640.02</v>
      </c>
      <c r="M4">
        <v>1795.89</v>
      </c>
      <c r="N4">
        <v>10452.45</v>
      </c>
      <c r="O4">
        <v>118064.3</v>
      </c>
      <c r="P4">
        <v>47327.38</v>
      </c>
      <c r="Q4">
        <v>258</v>
      </c>
      <c r="R4">
        <v>34.12</v>
      </c>
      <c r="S4">
        <v>2.03</v>
      </c>
      <c r="T4">
        <v>71.18000000000001</v>
      </c>
      <c r="U4">
        <v>18.96</v>
      </c>
      <c r="V4">
        <v>2.65</v>
      </c>
      <c r="W4">
        <v>235.9</v>
      </c>
      <c r="X4">
        <v>8050.17</v>
      </c>
      <c r="Y4">
        <v>1305</v>
      </c>
      <c r="Z4">
        <v>31.15</v>
      </c>
      <c r="AB4">
        <v>6862.1</v>
      </c>
      <c r="AC4">
        <v>6.57</v>
      </c>
      <c r="AD4" t="s">
        <v>362</v>
      </c>
    </row>
    <row r="5" spans="1:30">
      <c r="A5">
        <v>2023</v>
      </c>
      <c r="B5">
        <v>4</v>
      </c>
      <c r="C5">
        <v>30</v>
      </c>
      <c r="D5" t="s">
        <v>266</v>
      </c>
      <c r="E5">
        <v>6418</v>
      </c>
      <c r="F5">
        <v>13875</v>
      </c>
      <c r="G5">
        <v>252065.99</v>
      </c>
      <c r="H5">
        <v>7287.67</v>
      </c>
      <c r="I5">
        <v>683.64</v>
      </c>
      <c r="J5">
        <v>244094.68</v>
      </c>
      <c r="K5">
        <v>70557.35000000001</v>
      </c>
      <c r="L5">
        <v>173537.33</v>
      </c>
      <c r="M5">
        <v>1685.52</v>
      </c>
      <c r="N5">
        <v>12361.14</v>
      </c>
      <c r="O5">
        <v>123585.42</v>
      </c>
      <c r="P5">
        <v>35905.25</v>
      </c>
      <c r="Q5">
        <v>258</v>
      </c>
      <c r="R5">
        <v>38.03</v>
      </c>
      <c r="S5">
        <v>2.16</v>
      </c>
      <c r="T5">
        <v>71.09</v>
      </c>
      <c r="U5">
        <v>14.71</v>
      </c>
      <c r="V5">
        <v>2.89</v>
      </c>
      <c r="W5">
        <v>213.93</v>
      </c>
      <c r="X5">
        <v>8136.49</v>
      </c>
      <c r="Y5">
        <v>1244</v>
      </c>
      <c r="Z5">
        <v>-2.19</v>
      </c>
      <c r="AB5">
        <v>6342.83</v>
      </c>
      <c r="AC5">
        <v>1.19</v>
      </c>
      <c r="AD5" t="s">
        <v>361</v>
      </c>
    </row>
    <row r="6" spans="1:30">
      <c r="A6">
        <v>2023</v>
      </c>
      <c r="B6">
        <v>5</v>
      </c>
      <c r="C6">
        <v>31</v>
      </c>
      <c r="D6" t="s">
        <v>267</v>
      </c>
      <c r="E6">
        <v>6581</v>
      </c>
      <c r="F6">
        <v>12972</v>
      </c>
      <c r="G6">
        <v>216615.11</v>
      </c>
      <c r="H6">
        <v>5296.79</v>
      </c>
      <c r="I6">
        <v>565.23</v>
      </c>
      <c r="J6">
        <v>210753.09</v>
      </c>
      <c r="K6">
        <v>59760.1</v>
      </c>
      <c r="L6">
        <v>150992.99</v>
      </c>
      <c r="M6">
        <v>1505.44</v>
      </c>
      <c r="N6">
        <v>10010.25</v>
      </c>
      <c r="O6">
        <v>117077.94</v>
      </c>
      <c r="P6">
        <v>22399.36</v>
      </c>
      <c r="Q6">
        <v>236</v>
      </c>
      <c r="R6">
        <v>32.02</v>
      </c>
      <c r="S6">
        <v>1.97</v>
      </c>
      <c r="T6">
        <v>71.64</v>
      </c>
      <c r="U6">
        <v>10.63</v>
      </c>
      <c r="V6">
        <v>2.45</v>
      </c>
      <c r="W6">
        <v>212.29</v>
      </c>
      <c r="X6">
        <v>6798.49</v>
      </c>
      <c r="Y6">
        <v>1219</v>
      </c>
      <c r="Z6">
        <v>-13.66</v>
      </c>
      <c r="AB6">
        <v>6371.01</v>
      </c>
      <c r="AC6">
        <v>3.3</v>
      </c>
      <c r="AD6" t="s">
        <v>362</v>
      </c>
    </row>
    <row r="7" spans="1:30">
      <c r="A7">
        <v>2023</v>
      </c>
      <c r="B7">
        <v>6</v>
      </c>
      <c r="C7">
        <v>30</v>
      </c>
      <c r="D7" t="s">
        <v>268</v>
      </c>
      <c r="E7">
        <v>5504</v>
      </c>
      <c r="F7">
        <v>11086</v>
      </c>
      <c r="G7">
        <v>189904.78</v>
      </c>
      <c r="H7">
        <v>4606.03</v>
      </c>
      <c r="I7">
        <v>506.95</v>
      </c>
      <c r="J7">
        <v>184791.8</v>
      </c>
      <c r="K7">
        <v>54109.25</v>
      </c>
      <c r="L7">
        <v>130682.55</v>
      </c>
      <c r="M7">
        <v>1237.68</v>
      </c>
      <c r="N7">
        <v>10130.94</v>
      </c>
      <c r="O7">
        <v>116348.85</v>
      </c>
      <c r="P7">
        <v>2965.08</v>
      </c>
      <c r="Q7">
        <v>192</v>
      </c>
      <c r="R7">
        <v>33.57</v>
      </c>
      <c r="S7">
        <v>2.01</v>
      </c>
      <c r="T7">
        <v>70.72</v>
      </c>
      <c r="U7">
        <v>1.6</v>
      </c>
      <c r="V7">
        <v>2.43</v>
      </c>
      <c r="W7">
        <v>183.47</v>
      </c>
      <c r="X7">
        <v>6159.73</v>
      </c>
      <c r="Y7">
        <v>1154</v>
      </c>
      <c r="Z7">
        <v>-12.32</v>
      </c>
      <c r="AB7">
        <v>5701.06</v>
      </c>
      <c r="AC7">
        <v>-3.46</v>
      </c>
      <c r="AD7" t="s">
        <v>363</v>
      </c>
    </row>
    <row r="8" spans="1:30">
      <c r="A8">
        <v>2023</v>
      </c>
      <c r="B8">
        <v>7</v>
      </c>
      <c r="C8">
        <v>31</v>
      </c>
      <c r="D8" t="s">
        <v>269</v>
      </c>
      <c r="E8">
        <v>4920</v>
      </c>
      <c r="F8">
        <v>9872</v>
      </c>
      <c r="G8">
        <v>166731.93</v>
      </c>
      <c r="H8">
        <v>3750.21</v>
      </c>
      <c r="I8">
        <v>481.74</v>
      </c>
      <c r="J8">
        <v>162499.98</v>
      </c>
      <c r="K8">
        <v>46873.8</v>
      </c>
      <c r="L8">
        <v>115626.18</v>
      </c>
      <c r="M8">
        <v>1084.94</v>
      </c>
      <c r="N8">
        <v>9920.9</v>
      </c>
      <c r="O8">
        <v>124640.24</v>
      </c>
      <c r="P8">
        <v>-20019.9</v>
      </c>
      <c r="Q8">
        <v>166</v>
      </c>
      <c r="R8">
        <v>33.03</v>
      </c>
      <c r="S8">
        <v>2.01</v>
      </c>
      <c r="T8">
        <v>71.15000000000001</v>
      </c>
      <c r="U8">
        <v>-12.32</v>
      </c>
      <c r="V8">
        <v>2.25</v>
      </c>
      <c r="W8">
        <v>158.71</v>
      </c>
      <c r="X8">
        <v>5241.93</v>
      </c>
      <c r="Y8">
        <v>1049</v>
      </c>
      <c r="Z8">
        <v>-12.06</v>
      </c>
      <c r="AB8">
        <v>4781.17</v>
      </c>
      <c r="AC8">
        <v>2.9</v>
      </c>
      <c r="AD8" t="s">
        <v>361</v>
      </c>
    </row>
    <row r="9" spans="1:30">
      <c r="A9">
        <v>2023</v>
      </c>
      <c r="B9">
        <v>8</v>
      </c>
      <c r="C9">
        <v>31</v>
      </c>
      <c r="D9" t="s">
        <v>270</v>
      </c>
      <c r="E9">
        <v>5594</v>
      </c>
      <c r="F9">
        <v>11036</v>
      </c>
      <c r="G9">
        <v>186358.4</v>
      </c>
      <c r="H9">
        <v>4649.94</v>
      </c>
      <c r="I9">
        <v>658.26</v>
      </c>
      <c r="J9">
        <v>181050.2</v>
      </c>
      <c r="K9">
        <v>52749.1</v>
      </c>
      <c r="L9">
        <v>128301.1</v>
      </c>
      <c r="M9">
        <v>1226.65</v>
      </c>
      <c r="N9">
        <v>10302.3</v>
      </c>
      <c r="O9">
        <v>118365.3</v>
      </c>
      <c r="P9">
        <v>-1593.15</v>
      </c>
      <c r="Q9">
        <v>205</v>
      </c>
      <c r="R9">
        <v>32.37</v>
      </c>
      <c r="S9">
        <v>1.97</v>
      </c>
      <c r="T9">
        <v>70.86</v>
      </c>
      <c r="U9">
        <v>-0.88</v>
      </c>
      <c r="V9">
        <v>2.5</v>
      </c>
      <c r="W9">
        <v>180.45</v>
      </c>
      <c r="X9">
        <v>5840.33</v>
      </c>
      <c r="Y9">
        <v>1135</v>
      </c>
      <c r="Z9">
        <v>11.42</v>
      </c>
      <c r="AB9">
        <v>5588.45</v>
      </c>
      <c r="AC9">
        <v>0.1</v>
      </c>
      <c r="AD9" t="s">
        <v>361</v>
      </c>
    </row>
    <row r="10" spans="1:30">
      <c r="A10">
        <v>2023</v>
      </c>
      <c r="B10">
        <v>9</v>
      </c>
      <c r="C10">
        <v>30</v>
      </c>
      <c r="D10" t="s">
        <v>271</v>
      </c>
      <c r="E10">
        <v>6762</v>
      </c>
      <c r="F10">
        <v>13824</v>
      </c>
      <c r="G10">
        <v>232761</v>
      </c>
      <c r="H10">
        <v>12731.67</v>
      </c>
      <c r="I10">
        <v>536.51</v>
      </c>
      <c r="J10">
        <v>219492.82</v>
      </c>
      <c r="K10">
        <v>65524.05</v>
      </c>
      <c r="L10">
        <v>153968.77</v>
      </c>
      <c r="M10">
        <v>1579.98</v>
      </c>
      <c r="N10">
        <v>10163.2</v>
      </c>
      <c r="O10">
        <v>139174.16</v>
      </c>
      <c r="P10">
        <v>3051.43</v>
      </c>
      <c r="Q10">
        <v>419</v>
      </c>
      <c r="R10">
        <v>32.46</v>
      </c>
      <c r="S10">
        <v>2.04</v>
      </c>
      <c r="T10">
        <v>70.15000000000001</v>
      </c>
      <c r="U10">
        <v>1.39</v>
      </c>
      <c r="V10">
        <v>5.47</v>
      </c>
      <c r="W10">
        <v>225.4</v>
      </c>
      <c r="X10">
        <v>7316.43</v>
      </c>
      <c r="Y10">
        <v>1421</v>
      </c>
      <c r="Z10">
        <v>21.23</v>
      </c>
      <c r="AB10">
        <v>6613.07</v>
      </c>
      <c r="AC10">
        <v>2.25</v>
      </c>
      <c r="AD10" t="s">
        <v>361</v>
      </c>
    </row>
    <row r="11" spans="1:30">
      <c r="A11">
        <v>2023</v>
      </c>
      <c r="B11">
        <v>10</v>
      </c>
      <c r="C11">
        <v>31</v>
      </c>
      <c r="D11" t="s">
        <v>272</v>
      </c>
      <c r="E11">
        <v>7645</v>
      </c>
      <c r="F11">
        <v>14709</v>
      </c>
      <c r="G11">
        <v>248276.16</v>
      </c>
      <c r="H11">
        <v>6677.12</v>
      </c>
      <c r="I11">
        <v>795.64</v>
      </c>
      <c r="J11">
        <v>240803.4</v>
      </c>
      <c r="K11">
        <v>69099.89999999999</v>
      </c>
      <c r="L11">
        <v>171703.5</v>
      </c>
      <c r="M11">
        <v>1798.86</v>
      </c>
      <c r="N11">
        <v>9609.58</v>
      </c>
      <c r="O11">
        <v>114960.99</v>
      </c>
      <c r="P11">
        <v>45334.07</v>
      </c>
      <c r="Q11">
        <v>291</v>
      </c>
      <c r="R11">
        <v>31.5</v>
      </c>
      <c r="S11">
        <v>1.92</v>
      </c>
      <c r="T11">
        <v>71.3</v>
      </c>
      <c r="U11">
        <v>18.83</v>
      </c>
      <c r="V11">
        <v>2.69</v>
      </c>
      <c r="W11">
        <v>246.61</v>
      </c>
      <c r="X11">
        <v>7767.85</v>
      </c>
      <c r="Y11">
        <v>1454</v>
      </c>
      <c r="Z11">
        <v>9.710000000000001</v>
      </c>
      <c r="AB11">
        <v>7264.97</v>
      </c>
      <c r="AC11">
        <v>5.23</v>
      </c>
      <c r="AD11" t="s">
        <v>362</v>
      </c>
    </row>
    <row r="12" spans="1:30">
      <c r="A12">
        <v>2023</v>
      </c>
      <c r="B12">
        <v>11</v>
      </c>
      <c r="C12">
        <v>30</v>
      </c>
      <c r="D12" t="s">
        <v>273</v>
      </c>
      <c r="E12">
        <v>7529</v>
      </c>
      <c r="F12">
        <v>14586</v>
      </c>
      <c r="G12">
        <v>244194.3</v>
      </c>
      <c r="H12">
        <v>17190.07</v>
      </c>
      <c r="I12">
        <v>902.22</v>
      </c>
      <c r="J12">
        <v>226102.01</v>
      </c>
      <c r="K12">
        <v>67494.25</v>
      </c>
      <c r="L12">
        <v>158607.76</v>
      </c>
      <c r="M12">
        <v>1742.94</v>
      </c>
      <c r="N12">
        <v>8945.4</v>
      </c>
      <c r="O12">
        <v>120936.55</v>
      </c>
      <c r="P12">
        <v>26982.87</v>
      </c>
      <c r="Q12">
        <v>364</v>
      </c>
      <c r="R12">
        <v>30.03</v>
      </c>
      <c r="S12">
        <v>1.94</v>
      </c>
      <c r="T12">
        <v>70.15000000000001</v>
      </c>
      <c r="U12">
        <v>11.93</v>
      </c>
      <c r="V12">
        <v>7.04</v>
      </c>
      <c r="W12">
        <v>250.97</v>
      </c>
      <c r="X12">
        <v>7536.73</v>
      </c>
      <c r="Y12">
        <v>1525</v>
      </c>
      <c r="Z12">
        <v>-6.11</v>
      </c>
      <c r="AB12">
        <v>7548.22</v>
      </c>
      <c r="AC12">
        <v>-0.25</v>
      </c>
      <c r="AD12" t="s">
        <v>361</v>
      </c>
    </row>
    <row r="13" spans="1:30">
      <c r="A13">
        <v>2023</v>
      </c>
      <c r="B13">
        <v>12</v>
      </c>
      <c r="C13">
        <v>31</v>
      </c>
      <c r="D13" t="s">
        <v>274</v>
      </c>
      <c r="E13">
        <v>7489</v>
      </c>
      <c r="F13">
        <v>14250</v>
      </c>
      <c r="G13">
        <v>238926.91</v>
      </c>
      <c r="H13">
        <v>7186.77</v>
      </c>
      <c r="I13">
        <v>716.51</v>
      </c>
      <c r="J13">
        <v>231023.63</v>
      </c>
      <c r="K13">
        <v>67568</v>
      </c>
      <c r="L13">
        <v>163455.63</v>
      </c>
      <c r="M13">
        <v>1823.71</v>
      </c>
      <c r="N13">
        <v>7874.69</v>
      </c>
      <c r="O13">
        <v>113703.3</v>
      </c>
      <c r="P13">
        <v>40053.93</v>
      </c>
      <c r="Q13">
        <v>278</v>
      </c>
      <c r="R13">
        <v>30.85</v>
      </c>
      <c r="S13">
        <v>1.9</v>
      </c>
      <c r="T13">
        <v>70.75</v>
      </c>
      <c r="U13">
        <v>17.34</v>
      </c>
      <c r="V13">
        <v>3.01</v>
      </c>
      <c r="W13">
        <v>241.58</v>
      </c>
      <c r="X13">
        <v>7452.38</v>
      </c>
      <c r="Y13">
        <v>1442</v>
      </c>
      <c r="Z13">
        <v>2.18</v>
      </c>
      <c r="AB13">
        <v>7483.93</v>
      </c>
      <c r="AC13">
        <v>0.07000000000000001</v>
      </c>
      <c r="AD13" t="s">
        <v>361</v>
      </c>
    </row>
    <row r="14" spans="1:30">
      <c r="A14">
        <v>2024</v>
      </c>
      <c r="B14">
        <v>1</v>
      </c>
      <c r="C14">
        <v>31</v>
      </c>
      <c r="D14" t="s">
        <v>77</v>
      </c>
      <c r="E14">
        <v>7594</v>
      </c>
      <c r="F14">
        <v>14400</v>
      </c>
      <c r="G14">
        <v>241171.05</v>
      </c>
      <c r="H14">
        <v>7031.23</v>
      </c>
      <c r="I14">
        <v>510.41</v>
      </c>
      <c r="J14">
        <v>233629.41</v>
      </c>
      <c r="K14">
        <v>70414.37</v>
      </c>
      <c r="L14">
        <v>163215.04</v>
      </c>
      <c r="M14">
        <v>1815.99</v>
      </c>
      <c r="N14">
        <v>8507.129999999999</v>
      </c>
      <c r="O14">
        <v>118969.27</v>
      </c>
      <c r="P14">
        <v>33922.65</v>
      </c>
      <c r="Q14">
        <v>301</v>
      </c>
      <c r="R14">
        <v>30.76</v>
      </c>
      <c r="S14">
        <v>1.9</v>
      </c>
      <c r="T14">
        <v>69.86</v>
      </c>
      <c r="U14">
        <v>14.52</v>
      </c>
      <c r="V14">
        <v>2.92</v>
      </c>
      <c r="W14">
        <v>244.97</v>
      </c>
      <c r="X14">
        <v>7536.43</v>
      </c>
      <c r="Y14">
        <v>1480</v>
      </c>
      <c r="Z14">
        <v>1.13</v>
      </c>
      <c r="AA14">
        <v>16.42</v>
      </c>
      <c r="AB14">
        <v>7453.71</v>
      </c>
      <c r="AC14">
        <v>1.88</v>
      </c>
      <c r="AD14" t="s">
        <v>361</v>
      </c>
    </row>
    <row r="15" spans="1:30">
      <c r="A15">
        <v>2024</v>
      </c>
      <c r="B15">
        <v>2</v>
      </c>
      <c r="C15">
        <v>29</v>
      </c>
      <c r="D15" t="s">
        <v>264</v>
      </c>
      <c r="E15">
        <v>7770</v>
      </c>
      <c r="F15">
        <v>14926</v>
      </c>
      <c r="G15">
        <v>250142.46</v>
      </c>
      <c r="H15">
        <v>10811.31</v>
      </c>
      <c r="I15">
        <v>634.41</v>
      </c>
      <c r="J15">
        <v>238696.74</v>
      </c>
      <c r="K15">
        <v>72287.58</v>
      </c>
      <c r="L15">
        <v>166409.16</v>
      </c>
      <c r="M15">
        <v>1861.05</v>
      </c>
      <c r="N15">
        <v>8414.77</v>
      </c>
      <c r="O15">
        <v>117324.35</v>
      </c>
      <c r="P15">
        <v>38808.99</v>
      </c>
      <c r="Q15">
        <v>393</v>
      </c>
      <c r="R15">
        <v>30.72</v>
      </c>
      <c r="S15">
        <v>1.92</v>
      </c>
      <c r="T15">
        <v>69.72</v>
      </c>
      <c r="U15">
        <v>16.26</v>
      </c>
      <c r="V15">
        <v>4.32</v>
      </c>
      <c r="W15">
        <v>267.93</v>
      </c>
      <c r="X15">
        <v>8230.92</v>
      </c>
      <c r="Y15">
        <v>1590</v>
      </c>
      <c r="Z15">
        <v>2.17</v>
      </c>
      <c r="AA15">
        <v>25.44</v>
      </c>
      <c r="AB15">
        <v>7547.7</v>
      </c>
      <c r="AC15">
        <v>2.95</v>
      </c>
      <c r="AD15" t="s">
        <v>361</v>
      </c>
    </row>
    <row r="16" spans="1:30">
      <c r="A16">
        <v>2024</v>
      </c>
      <c r="B16">
        <v>3</v>
      </c>
      <c r="C16">
        <v>31</v>
      </c>
      <c r="D16" t="s">
        <v>265</v>
      </c>
      <c r="E16">
        <v>7952</v>
      </c>
      <c r="F16">
        <v>16382</v>
      </c>
      <c r="G16">
        <v>299995.49</v>
      </c>
      <c r="H16">
        <v>10130.94</v>
      </c>
      <c r="I16">
        <v>846.53</v>
      </c>
      <c r="J16">
        <v>289018.02</v>
      </c>
      <c r="K16">
        <v>84392.39</v>
      </c>
      <c r="L16">
        <v>204625.63</v>
      </c>
      <c r="M16">
        <v>2165.88</v>
      </c>
      <c r="N16">
        <v>13203.74</v>
      </c>
      <c r="O16">
        <v>129693.11</v>
      </c>
      <c r="P16">
        <v>59562.9</v>
      </c>
      <c r="Q16">
        <v>315</v>
      </c>
      <c r="R16">
        <v>36.35</v>
      </c>
      <c r="S16">
        <v>2.06</v>
      </c>
      <c r="T16">
        <v>70.8</v>
      </c>
      <c r="U16">
        <v>20.61</v>
      </c>
      <c r="V16">
        <v>3.38</v>
      </c>
      <c r="W16">
        <v>256.52</v>
      </c>
      <c r="X16">
        <v>9323.16</v>
      </c>
      <c r="Y16">
        <v>1638</v>
      </c>
      <c r="Z16">
        <v>21.08</v>
      </c>
      <c r="AA16">
        <v>15.81</v>
      </c>
      <c r="AB16">
        <v>7670.85</v>
      </c>
      <c r="AC16">
        <v>3.67</v>
      </c>
      <c r="AD16" t="s">
        <v>362</v>
      </c>
    </row>
    <row r="17" spans="1:30">
      <c r="A17">
        <v>2024</v>
      </c>
      <c r="B17">
        <v>4</v>
      </c>
      <c r="C17">
        <v>30</v>
      </c>
      <c r="D17" t="s">
        <v>266</v>
      </c>
      <c r="E17">
        <v>7004</v>
      </c>
      <c r="F17">
        <v>14300</v>
      </c>
      <c r="G17">
        <v>259204.34</v>
      </c>
      <c r="H17">
        <v>7576.75</v>
      </c>
      <c r="I17">
        <v>713.88</v>
      </c>
      <c r="J17">
        <v>250913.71</v>
      </c>
      <c r="K17">
        <v>73597.8</v>
      </c>
      <c r="L17">
        <v>177315.91</v>
      </c>
      <c r="M17">
        <v>1845.68</v>
      </c>
      <c r="N17">
        <v>11588.32</v>
      </c>
      <c r="O17">
        <v>123859.42</v>
      </c>
      <c r="P17">
        <v>40022.49</v>
      </c>
      <c r="Q17">
        <v>295</v>
      </c>
      <c r="R17">
        <v>35.82</v>
      </c>
      <c r="S17">
        <v>2.04</v>
      </c>
      <c r="T17">
        <v>70.67</v>
      </c>
      <c r="U17">
        <v>15.95</v>
      </c>
      <c r="V17">
        <v>2.92</v>
      </c>
      <c r="W17">
        <v>233.47</v>
      </c>
      <c r="X17">
        <v>8363.790000000001</v>
      </c>
      <c r="Y17">
        <v>1583</v>
      </c>
      <c r="Z17">
        <v>-13.18</v>
      </c>
      <c r="AA17">
        <v>2.79</v>
      </c>
      <c r="AB17">
        <v>6914.02</v>
      </c>
      <c r="AC17">
        <v>1.3</v>
      </c>
      <c r="AD17" t="s">
        <v>361</v>
      </c>
    </row>
    <row r="18" spans="1:30">
      <c r="A18">
        <v>2024</v>
      </c>
      <c r="B18">
        <v>5</v>
      </c>
      <c r="C18">
        <v>31</v>
      </c>
      <c r="D18" t="s">
        <v>267</v>
      </c>
      <c r="E18">
        <v>6615</v>
      </c>
      <c r="F18">
        <v>12942</v>
      </c>
      <c r="G18">
        <v>220004.7</v>
      </c>
      <c r="H18">
        <v>7411.65</v>
      </c>
      <c r="I18">
        <v>638.25</v>
      </c>
      <c r="J18">
        <v>211954.8</v>
      </c>
      <c r="K18">
        <v>61522.37</v>
      </c>
      <c r="L18">
        <v>150432.43</v>
      </c>
      <c r="M18">
        <v>1530.04</v>
      </c>
      <c r="N18">
        <v>10294.7</v>
      </c>
      <c r="O18">
        <v>122908.62</v>
      </c>
      <c r="P18">
        <v>15699.07</v>
      </c>
      <c r="Q18">
        <v>247</v>
      </c>
      <c r="R18">
        <v>32.04</v>
      </c>
      <c r="S18">
        <v>1.96</v>
      </c>
      <c r="T18">
        <v>70.97</v>
      </c>
      <c r="U18">
        <v>7.41</v>
      </c>
      <c r="V18">
        <v>3.37</v>
      </c>
      <c r="W18">
        <v>213.39</v>
      </c>
      <c r="X18">
        <v>6837.25</v>
      </c>
      <c r="Y18">
        <v>1476</v>
      </c>
      <c r="Z18">
        <v>-15.53</v>
      </c>
      <c r="AA18">
        <v>0.57</v>
      </c>
      <c r="AB18">
        <v>6790.24</v>
      </c>
      <c r="AC18">
        <v>-2.58</v>
      </c>
      <c r="AD18" t="s">
        <v>361</v>
      </c>
    </row>
    <row r="19" spans="1:30">
      <c r="A19">
        <v>2024</v>
      </c>
      <c r="B19">
        <v>6</v>
      </c>
      <c r="C19">
        <v>30</v>
      </c>
      <c r="D19" t="s">
        <v>268</v>
      </c>
      <c r="E19">
        <v>5652</v>
      </c>
      <c r="F19">
        <v>11297</v>
      </c>
      <c r="G19">
        <v>197738.37</v>
      </c>
      <c r="H19">
        <v>5142.36</v>
      </c>
      <c r="I19">
        <v>400.86</v>
      </c>
      <c r="J19">
        <v>192195.15</v>
      </c>
      <c r="K19">
        <v>57200.13</v>
      </c>
      <c r="L19">
        <v>134995.02</v>
      </c>
      <c r="M19">
        <v>1364.73</v>
      </c>
      <c r="N19">
        <v>9904.25</v>
      </c>
      <c r="O19">
        <v>121567.41</v>
      </c>
      <c r="P19">
        <v>2158.63</v>
      </c>
      <c r="Q19">
        <v>222</v>
      </c>
      <c r="R19">
        <v>34</v>
      </c>
      <c r="S19">
        <v>2</v>
      </c>
      <c r="T19">
        <v>70.23999999999999</v>
      </c>
      <c r="U19">
        <v>1.12</v>
      </c>
      <c r="V19">
        <v>2.6</v>
      </c>
      <c r="W19">
        <v>188.4</v>
      </c>
      <c r="X19">
        <v>6406.5</v>
      </c>
      <c r="Y19">
        <v>1418</v>
      </c>
      <c r="Z19">
        <v>-9.32</v>
      </c>
      <c r="AA19">
        <v>4.01</v>
      </c>
      <c r="AB19">
        <v>5909.01</v>
      </c>
      <c r="AC19">
        <v>-4.35</v>
      </c>
      <c r="AD19" t="s">
        <v>363</v>
      </c>
    </row>
    <row r="20" spans="1:30">
      <c r="A20">
        <v>2024</v>
      </c>
      <c r="B20">
        <v>7</v>
      </c>
      <c r="C20">
        <v>31</v>
      </c>
      <c r="D20" t="s">
        <v>269</v>
      </c>
      <c r="E20">
        <v>5874</v>
      </c>
      <c r="F20">
        <v>11540</v>
      </c>
      <c r="G20">
        <v>199356.66</v>
      </c>
      <c r="H20">
        <v>9992.870000000001</v>
      </c>
      <c r="I20">
        <v>596.71</v>
      </c>
      <c r="J20">
        <v>188767.08</v>
      </c>
      <c r="K20">
        <v>58308.97</v>
      </c>
      <c r="L20">
        <v>130458.11</v>
      </c>
      <c r="M20">
        <v>1303.44</v>
      </c>
      <c r="N20">
        <v>11382.4</v>
      </c>
      <c r="O20">
        <v>129832.41</v>
      </c>
      <c r="P20">
        <v>-12060.14</v>
      </c>
      <c r="Q20">
        <v>273</v>
      </c>
      <c r="R20">
        <v>32.14</v>
      </c>
      <c r="S20">
        <v>1.96</v>
      </c>
      <c r="T20">
        <v>69.11</v>
      </c>
      <c r="U20">
        <v>-6.39</v>
      </c>
      <c r="V20">
        <v>5.01</v>
      </c>
      <c r="W20">
        <v>189.48</v>
      </c>
      <c r="X20">
        <v>6089.26</v>
      </c>
      <c r="Y20">
        <v>1437</v>
      </c>
      <c r="Z20">
        <v>-1.78</v>
      </c>
      <c r="AA20">
        <v>16.16</v>
      </c>
      <c r="AB20">
        <v>5626.57</v>
      </c>
      <c r="AC20">
        <v>4.4</v>
      </c>
      <c r="AD20" t="s">
        <v>362</v>
      </c>
    </row>
    <row r="21" spans="1:30">
      <c r="A21">
        <v>2024</v>
      </c>
      <c r="B21">
        <v>8</v>
      </c>
      <c r="C21">
        <v>31</v>
      </c>
      <c r="D21" t="s">
        <v>270</v>
      </c>
      <c r="E21">
        <v>6230</v>
      </c>
      <c r="F21">
        <v>12258</v>
      </c>
      <c r="G21">
        <v>212531.83</v>
      </c>
      <c r="H21">
        <v>11766.52</v>
      </c>
      <c r="I21">
        <v>573.03</v>
      </c>
      <c r="J21">
        <v>200192.28</v>
      </c>
      <c r="K21">
        <v>62225.89</v>
      </c>
      <c r="L21">
        <v>137966.39</v>
      </c>
      <c r="M21">
        <v>1411.91</v>
      </c>
      <c r="N21">
        <v>11482.75</v>
      </c>
      <c r="O21">
        <v>133390.41</v>
      </c>
      <c r="P21">
        <v>-8318.68</v>
      </c>
      <c r="Q21">
        <v>357</v>
      </c>
      <c r="R21">
        <v>32.13</v>
      </c>
      <c r="S21">
        <v>1.97</v>
      </c>
      <c r="T21">
        <v>68.92</v>
      </c>
      <c r="U21">
        <v>-4.16</v>
      </c>
      <c r="V21">
        <v>5.54</v>
      </c>
      <c r="W21">
        <v>200.97</v>
      </c>
      <c r="X21">
        <v>6457.82</v>
      </c>
      <c r="Y21">
        <v>1552</v>
      </c>
      <c r="Z21">
        <v>6.05</v>
      </c>
      <c r="AA21">
        <v>10.57</v>
      </c>
      <c r="AB21">
        <v>6625.46</v>
      </c>
      <c r="AC21">
        <v>-5.97</v>
      </c>
      <c r="AD21" t="s">
        <v>363</v>
      </c>
    </row>
    <row r="22" spans="1:30">
      <c r="A22">
        <v>2024</v>
      </c>
      <c r="B22">
        <v>9</v>
      </c>
      <c r="C22">
        <v>30</v>
      </c>
      <c r="D22" t="s">
        <v>271</v>
      </c>
      <c r="E22">
        <v>7236</v>
      </c>
      <c r="F22">
        <v>14230</v>
      </c>
      <c r="G22">
        <v>243761.71</v>
      </c>
      <c r="H22">
        <v>13085.11</v>
      </c>
      <c r="I22">
        <v>547.66</v>
      </c>
      <c r="J22">
        <v>230128.94</v>
      </c>
      <c r="K22">
        <v>70145.60000000001</v>
      </c>
      <c r="L22">
        <v>159983.34</v>
      </c>
      <c r="M22">
        <v>1714.7</v>
      </c>
      <c r="N22">
        <v>10217.71</v>
      </c>
      <c r="O22">
        <v>125880.09</v>
      </c>
      <c r="P22">
        <v>22170.84</v>
      </c>
      <c r="Q22">
        <v>311</v>
      </c>
      <c r="R22">
        <v>31.8</v>
      </c>
      <c r="S22">
        <v>1.97</v>
      </c>
      <c r="T22">
        <v>69.52</v>
      </c>
      <c r="U22">
        <v>9.630000000000001</v>
      </c>
      <c r="V22">
        <v>5.37</v>
      </c>
      <c r="W22">
        <v>241.2</v>
      </c>
      <c r="X22">
        <v>7670.96</v>
      </c>
      <c r="Y22">
        <v>1604</v>
      </c>
      <c r="Z22">
        <v>14.95</v>
      </c>
      <c r="AA22">
        <v>4.85</v>
      </c>
      <c r="AB22">
        <v>7242.03</v>
      </c>
      <c r="AC22">
        <v>-0.08</v>
      </c>
      <c r="AD22" t="s">
        <v>361</v>
      </c>
    </row>
    <row r="23" spans="1:30">
      <c r="A23">
        <v>2024</v>
      </c>
      <c r="B23">
        <v>10</v>
      </c>
      <c r="C23">
        <v>31</v>
      </c>
      <c r="D23" t="s">
        <v>272</v>
      </c>
      <c r="E23">
        <v>7625</v>
      </c>
      <c r="F23">
        <v>14362</v>
      </c>
      <c r="G23">
        <v>249151.5</v>
      </c>
      <c r="H23">
        <v>7872.97</v>
      </c>
      <c r="I23">
        <v>769.55</v>
      </c>
      <c r="J23">
        <v>240508.98</v>
      </c>
      <c r="K23">
        <v>71475.48</v>
      </c>
      <c r="L23">
        <v>169033.5</v>
      </c>
      <c r="M23">
        <v>1835.77</v>
      </c>
      <c r="N23">
        <v>10273.84</v>
      </c>
      <c r="O23">
        <v>121935.98</v>
      </c>
      <c r="P23">
        <v>34987.91</v>
      </c>
      <c r="Q23">
        <v>297</v>
      </c>
      <c r="R23">
        <v>31.54</v>
      </c>
      <c r="S23">
        <v>1.88</v>
      </c>
      <c r="T23">
        <v>70.28</v>
      </c>
      <c r="U23">
        <v>14.55</v>
      </c>
      <c r="V23">
        <v>3.16</v>
      </c>
      <c r="W23">
        <v>245.97</v>
      </c>
      <c r="X23">
        <v>7758.35</v>
      </c>
      <c r="Y23">
        <v>1620</v>
      </c>
      <c r="Z23">
        <v>4.51</v>
      </c>
      <c r="AA23">
        <v>-0.12</v>
      </c>
      <c r="AB23">
        <v>7969.06</v>
      </c>
      <c r="AC23">
        <v>-4.32</v>
      </c>
      <c r="AD23" t="s">
        <v>363</v>
      </c>
    </row>
    <row r="24" spans="1:30">
      <c r="A24">
        <v>2024</v>
      </c>
      <c r="B24">
        <v>11</v>
      </c>
      <c r="C24">
        <v>30</v>
      </c>
      <c r="D24" t="s">
        <v>273</v>
      </c>
      <c r="E24">
        <v>8212</v>
      </c>
      <c r="F24">
        <v>16542</v>
      </c>
      <c r="G24">
        <v>285828.46</v>
      </c>
      <c r="H24">
        <v>20898.03</v>
      </c>
      <c r="I24">
        <v>595.13</v>
      </c>
      <c r="J24">
        <v>264335.3</v>
      </c>
      <c r="K24">
        <v>82644.42</v>
      </c>
      <c r="L24">
        <v>181690.88</v>
      </c>
      <c r="M24">
        <v>2052.03</v>
      </c>
      <c r="N24">
        <v>9894.610000000001</v>
      </c>
      <c r="O24">
        <v>123676.47</v>
      </c>
      <c r="P24">
        <v>46067.77</v>
      </c>
      <c r="Q24">
        <v>425</v>
      </c>
      <c r="R24">
        <v>32.19</v>
      </c>
      <c r="S24">
        <v>2.01</v>
      </c>
      <c r="T24">
        <v>68.73999999999999</v>
      </c>
      <c r="U24">
        <v>17.43</v>
      </c>
      <c r="V24">
        <v>7.31</v>
      </c>
      <c r="W24">
        <v>273.73</v>
      </c>
      <c r="X24">
        <v>8811.18</v>
      </c>
      <c r="Y24">
        <v>1816</v>
      </c>
      <c r="Z24">
        <v>9.91</v>
      </c>
      <c r="AA24">
        <v>16.91</v>
      </c>
      <c r="AB24">
        <v>8137.71</v>
      </c>
      <c r="AC24">
        <v>0.91</v>
      </c>
      <c r="AD24" t="s">
        <v>361</v>
      </c>
    </row>
    <row r="25" spans="1:30">
      <c r="A25">
        <v>2024</v>
      </c>
      <c r="B25">
        <v>12</v>
      </c>
      <c r="C25">
        <v>31</v>
      </c>
      <c r="D25" t="s">
        <v>274</v>
      </c>
      <c r="E25">
        <v>9012</v>
      </c>
      <c r="F25">
        <v>17019</v>
      </c>
      <c r="G25">
        <v>293463.28</v>
      </c>
      <c r="H25">
        <v>13874.8</v>
      </c>
      <c r="I25">
        <v>978.75</v>
      </c>
      <c r="J25">
        <v>278609.73</v>
      </c>
      <c r="K25">
        <v>85265.56</v>
      </c>
      <c r="L25">
        <v>193344.17</v>
      </c>
      <c r="M25">
        <v>2210.63</v>
      </c>
      <c r="N25">
        <v>10125.95</v>
      </c>
      <c r="O25">
        <v>122220.74</v>
      </c>
      <c r="P25">
        <v>58786.85</v>
      </c>
      <c r="Q25">
        <v>401</v>
      </c>
      <c r="R25">
        <v>30.92</v>
      </c>
      <c r="S25">
        <v>1.89</v>
      </c>
      <c r="T25">
        <v>69.40000000000001</v>
      </c>
      <c r="U25">
        <v>21.1</v>
      </c>
      <c r="V25">
        <v>4.73</v>
      </c>
      <c r="W25">
        <v>290.71</v>
      </c>
      <c r="X25">
        <v>8987.41</v>
      </c>
      <c r="Y25">
        <v>1854</v>
      </c>
      <c r="Z25">
        <v>5.4</v>
      </c>
      <c r="AA25">
        <v>20.6</v>
      </c>
      <c r="AB25">
        <v>8282.33</v>
      </c>
      <c r="AC25">
        <v>8.81</v>
      </c>
      <c r="AD25" t="s">
        <v>362</v>
      </c>
    </row>
    <row r="26" spans="1:30">
      <c r="A26">
        <v>2025</v>
      </c>
      <c r="B26">
        <v>1</v>
      </c>
      <c r="C26">
        <v>31</v>
      </c>
      <c r="D26" t="s">
        <v>77</v>
      </c>
      <c r="E26">
        <v>8092</v>
      </c>
      <c r="F26">
        <v>15568</v>
      </c>
      <c r="G26">
        <v>267816.88</v>
      </c>
      <c r="H26">
        <v>12507.53</v>
      </c>
      <c r="I26">
        <v>662.17</v>
      </c>
      <c r="J26">
        <v>254647.18</v>
      </c>
      <c r="K26">
        <v>78182.08</v>
      </c>
      <c r="L26">
        <v>176465.1</v>
      </c>
      <c r="M26">
        <v>2004.4</v>
      </c>
      <c r="N26">
        <v>8357.370000000001</v>
      </c>
      <c r="O26">
        <v>127454.45</v>
      </c>
      <c r="P26">
        <v>38648.88</v>
      </c>
      <c r="Q26">
        <v>350</v>
      </c>
      <c r="R26">
        <v>31.47</v>
      </c>
      <c r="S26">
        <v>1.92</v>
      </c>
      <c r="T26">
        <v>69.3</v>
      </c>
      <c r="U26">
        <v>15.18</v>
      </c>
      <c r="V26">
        <v>4.67</v>
      </c>
      <c r="W26">
        <v>261.03</v>
      </c>
      <c r="X26">
        <v>8214.43</v>
      </c>
      <c r="Y26">
        <v>1830</v>
      </c>
      <c r="Z26">
        <v>-8.6</v>
      </c>
      <c r="AA26">
        <v>9</v>
      </c>
      <c r="AB26">
        <v>7908.69</v>
      </c>
      <c r="AC26">
        <v>2.32</v>
      </c>
      <c r="AD26" t="s">
        <v>361</v>
      </c>
    </row>
    <row r="27" spans="1:30">
      <c r="A27">
        <v>2025</v>
      </c>
      <c r="B27">
        <v>2</v>
      </c>
      <c r="C27">
        <v>28</v>
      </c>
      <c r="D27" t="s">
        <v>264</v>
      </c>
      <c r="E27">
        <v>7761</v>
      </c>
      <c r="F27">
        <v>15384</v>
      </c>
      <c r="G27">
        <v>265925.85</v>
      </c>
      <c r="H27">
        <v>16909.57</v>
      </c>
      <c r="I27">
        <v>312.94</v>
      </c>
      <c r="J27">
        <v>248703.34</v>
      </c>
      <c r="K27">
        <v>78035.22</v>
      </c>
      <c r="L27">
        <v>170668.12</v>
      </c>
      <c r="M27">
        <v>1948.96</v>
      </c>
      <c r="N27">
        <v>8036.96</v>
      </c>
      <c r="O27">
        <v>123705.94</v>
      </c>
      <c r="P27">
        <v>36976.26</v>
      </c>
      <c r="Q27">
        <v>338</v>
      </c>
      <c r="R27">
        <v>32.05</v>
      </c>
      <c r="S27">
        <v>1.98</v>
      </c>
      <c r="T27">
        <v>68.62</v>
      </c>
      <c r="U27">
        <v>14.87</v>
      </c>
      <c r="V27">
        <v>6.36</v>
      </c>
      <c r="W27">
        <v>277.18</v>
      </c>
      <c r="X27">
        <v>8882.26</v>
      </c>
      <c r="Y27">
        <v>1823</v>
      </c>
      <c r="Z27">
        <v>-2.33</v>
      </c>
      <c r="AA27">
        <v>4.19</v>
      </c>
      <c r="AB27">
        <v>7443.09</v>
      </c>
      <c r="AC27">
        <v>4.27</v>
      </c>
      <c r="AD27" t="s">
        <v>362</v>
      </c>
    </row>
    <row r="28" spans="1:30">
      <c r="A28">
        <v>2025</v>
      </c>
      <c r="B28">
        <v>3</v>
      </c>
      <c r="C28">
        <v>31</v>
      </c>
      <c r="D28" t="s">
        <v>265</v>
      </c>
      <c r="E28">
        <v>7960</v>
      </c>
      <c r="F28">
        <v>17426</v>
      </c>
      <c r="G28">
        <v>334591.92</v>
      </c>
      <c r="H28">
        <v>11604.47</v>
      </c>
      <c r="I28">
        <v>846.78</v>
      </c>
      <c r="J28">
        <v>322140.67</v>
      </c>
      <c r="K28">
        <v>98431.52</v>
      </c>
      <c r="L28">
        <v>223709.15</v>
      </c>
      <c r="M28">
        <v>2364.44</v>
      </c>
      <c r="N28">
        <v>15383.55</v>
      </c>
      <c r="O28">
        <v>142130.18</v>
      </c>
      <c r="P28">
        <v>63830.98</v>
      </c>
      <c r="Q28">
        <v>378</v>
      </c>
      <c r="R28">
        <v>40.47</v>
      </c>
      <c r="S28">
        <v>2.19</v>
      </c>
      <c r="T28">
        <v>69.44</v>
      </c>
      <c r="U28">
        <v>19.81</v>
      </c>
      <c r="V28">
        <v>3.47</v>
      </c>
      <c r="W28">
        <v>256.77</v>
      </c>
      <c r="X28">
        <v>10391.63</v>
      </c>
      <c r="Y28">
        <v>1863</v>
      </c>
      <c r="Z28">
        <v>29.53</v>
      </c>
      <c r="AA28">
        <v>11.46</v>
      </c>
      <c r="AB28">
        <v>8049.19</v>
      </c>
      <c r="AC28">
        <v>-1.11</v>
      </c>
      <c r="AD28" t="s">
        <v>361</v>
      </c>
    </row>
    <row r="29" spans="1:30">
      <c r="A29">
        <v>2025</v>
      </c>
      <c r="B29">
        <v>4</v>
      </c>
      <c r="C29">
        <v>30</v>
      </c>
      <c r="D29" t="s">
        <v>266</v>
      </c>
      <c r="E29">
        <v>7601</v>
      </c>
      <c r="F29">
        <v>14810</v>
      </c>
      <c r="G29">
        <v>261147.48</v>
      </c>
      <c r="H29">
        <v>9063.129999999999</v>
      </c>
      <c r="I29">
        <v>853.91</v>
      </c>
      <c r="J29">
        <v>251230.44</v>
      </c>
      <c r="K29">
        <v>76380.19</v>
      </c>
      <c r="L29">
        <v>174850.25</v>
      </c>
      <c r="M29">
        <v>1968.73</v>
      </c>
      <c r="N29">
        <v>9197.49</v>
      </c>
      <c r="O29">
        <v>126456.49</v>
      </c>
      <c r="P29">
        <v>37227.54</v>
      </c>
      <c r="Q29">
        <v>311</v>
      </c>
      <c r="R29">
        <v>33.05</v>
      </c>
      <c r="S29">
        <v>1.95</v>
      </c>
      <c r="T29">
        <v>69.59999999999999</v>
      </c>
      <c r="U29">
        <v>14.82</v>
      </c>
      <c r="V29">
        <v>3.47</v>
      </c>
      <c r="W29">
        <v>253.37</v>
      </c>
      <c r="X29">
        <v>8374.35</v>
      </c>
      <c r="Y29">
        <v>1807</v>
      </c>
      <c r="Z29">
        <v>-22.01</v>
      </c>
      <c r="AA29">
        <v>0.13</v>
      </c>
      <c r="AB29">
        <v>7584.51</v>
      </c>
      <c r="AC29">
        <v>0.22</v>
      </c>
      <c r="AD29" t="s">
        <v>361</v>
      </c>
    </row>
    <row r="30" spans="1:30">
      <c r="A30">
        <v>2025</v>
      </c>
      <c r="B30">
        <v>5</v>
      </c>
      <c r="C30">
        <v>31</v>
      </c>
      <c r="D30" t="s">
        <v>267</v>
      </c>
      <c r="E30">
        <v>7908</v>
      </c>
      <c r="F30">
        <v>15480</v>
      </c>
      <c r="G30">
        <v>268979.16</v>
      </c>
      <c r="H30">
        <v>8931.73</v>
      </c>
      <c r="I30">
        <v>779.12</v>
      </c>
      <c r="J30">
        <v>259268.31</v>
      </c>
      <c r="K30">
        <v>81339.00999999999</v>
      </c>
      <c r="L30">
        <v>177929.3</v>
      </c>
      <c r="M30">
        <v>1920.09</v>
      </c>
      <c r="N30">
        <v>11211.82</v>
      </c>
      <c r="O30">
        <v>131976.43</v>
      </c>
      <c r="P30">
        <v>32820.96</v>
      </c>
      <c r="Q30">
        <v>340</v>
      </c>
      <c r="R30">
        <v>32.79</v>
      </c>
      <c r="S30">
        <v>1.96</v>
      </c>
      <c r="T30">
        <v>68.63</v>
      </c>
      <c r="U30">
        <v>12.66</v>
      </c>
      <c r="V30">
        <v>3.32</v>
      </c>
      <c r="W30">
        <v>255.1</v>
      </c>
      <c r="X30">
        <v>8363.49</v>
      </c>
      <c r="Y30">
        <v>1829</v>
      </c>
      <c r="Z30">
        <v>3.2</v>
      </c>
      <c r="AA30">
        <v>22.32</v>
      </c>
      <c r="AB30">
        <v>7654.75</v>
      </c>
      <c r="AC30">
        <v>3.31</v>
      </c>
      <c r="AD30" t="s">
        <v>362</v>
      </c>
    </row>
    <row r="31" spans="1:30">
      <c r="A31">
        <v>2025</v>
      </c>
      <c r="B31">
        <v>6</v>
      </c>
      <c r="C31">
        <v>30</v>
      </c>
      <c r="D31" t="s">
        <v>268</v>
      </c>
      <c r="E31">
        <v>6398</v>
      </c>
      <c r="F31">
        <v>12890</v>
      </c>
      <c r="G31">
        <v>227201.35</v>
      </c>
      <c r="H31">
        <v>8901.41</v>
      </c>
      <c r="I31">
        <v>761.72</v>
      </c>
      <c r="J31">
        <v>217538.22</v>
      </c>
      <c r="K31">
        <v>70779.53</v>
      </c>
      <c r="L31">
        <v>146758.69</v>
      </c>
      <c r="M31">
        <v>1584.98</v>
      </c>
      <c r="N31">
        <v>10217.32</v>
      </c>
      <c r="O31">
        <v>130526.68</v>
      </c>
      <c r="P31">
        <v>4429.71</v>
      </c>
      <c r="Q31">
        <v>277</v>
      </c>
      <c r="R31">
        <v>34</v>
      </c>
      <c r="S31">
        <v>2.01</v>
      </c>
      <c r="T31">
        <v>67.45999999999999</v>
      </c>
      <c r="U31">
        <v>2.04</v>
      </c>
      <c r="V31">
        <v>3.92</v>
      </c>
      <c r="W31">
        <v>213.27</v>
      </c>
      <c r="X31">
        <v>7251.27</v>
      </c>
      <c r="Y31">
        <v>1678</v>
      </c>
      <c r="Z31">
        <v>-16.1</v>
      </c>
      <c r="AA31">
        <v>13.19</v>
      </c>
      <c r="AB31">
        <v>6785</v>
      </c>
      <c r="AC31">
        <v>-5.7</v>
      </c>
      <c r="AD31" t="s">
        <v>363</v>
      </c>
    </row>
    <row r="32" spans="1:30">
      <c r="A32">
        <v>2025</v>
      </c>
      <c r="B32">
        <v>7</v>
      </c>
      <c r="C32">
        <v>31</v>
      </c>
      <c r="D32" t="s">
        <v>269</v>
      </c>
      <c r="E32">
        <v>6168</v>
      </c>
      <c r="F32">
        <v>12322</v>
      </c>
      <c r="G32">
        <v>214444.01</v>
      </c>
      <c r="H32">
        <v>11072.77</v>
      </c>
      <c r="I32">
        <v>632.8200000000001</v>
      </c>
      <c r="J32">
        <v>202738.42</v>
      </c>
      <c r="K32">
        <v>66150.57000000001</v>
      </c>
      <c r="L32">
        <v>136587.85</v>
      </c>
      <c r="M32">
        <v>1402.57</v>
      </c>
      <c r="N32">
        <v>11413.98</v>
      </c>
      <c r="O32">
        <v>137545.91</v>
      </c>
      <c r="P32">
        <v>-13774.61</v>
      </c>
      <c r="Q32">
        <v>322</v>
      </c>
      <c r="R32">
        <v>32.87</v>
      </c>
      <c r="S32">
        <v>2</v>
      </c>
      <c r="T32">
        <v>67.37</v>
      </c>
      <c r="U32">
        <v>-6.79</v>
      </c>
      <c r="V32">
        <v>5.16</v>
      </c>
      <c r="W32">
        <v>198.97</v>
      </c>
      <c r="X32">
        <v>6539.95</v>
      </c>
      <c r="Y32">
        <v>1669</v>
      </c>
      <c r="Z32">
        <v>-6.8</v>
      </c>
      <c r="AA32">
        <v>7.4</v>
      </c>
      <c r="AB32">
        <v>6105.97</v>
      </c>
      <c r="AC32">
        <v>1.02</v>
      </c>
      <c r="AD32" t="s">
        <v>361</v>
      </c>
    </row>
    <row r="33" spans="1:30">
      <c r="A33">
        <v>2025</v>
      </c>
      <c r="B33">
        <v>8</v>
      </c>
      <c r="C33">
        <v>31</v>
      </c>
      <c r="D33" t="s">
        <v>270</v>
      </c>
      <c r="E33">
        <v>5809</v>
      </c>
      <c r="F33">
        <v>11606</v>
      </c>
      <c r="G33">
        <v>201704.1</v>
      </c>
      <c r="H33">
        <v>11757.59</v>
      </c>
      <c r="I33">
        <v>722.6</v>
      </c>
      <c r="J33">
        <v>189223.91</v>
      </c>
      <c r="K33">
        <v>62178.54</v>
      </c>
      <c r="L33">
        <v>127045.37</v>
      </c>
      <c r="M33">
        <v>1304.5</v>
      </c>
      <c r="N33">
        <v>10649.24</v>
      </c>
      <c r="O33">
        <v>138857.51</v>
      </c>
      <c r="P33">
        <v>-23765.88</v>
      </c>
      <c r="Q33">
        <v>331</v>
      </c>
      <c r="R33">
        <v>32.57</v>
      </c>
      <c r="S33">
        <v>2</v>
      </c>
      <c r="T33">
        <v>67.14</v>
      </c>
      <c r="U33">
        <v>-12.56</v>
      </c>
      <c r="V33">
        <v>5.83</v>
      </c>
      <c r="W33">
        <v>187.39</v>
      </c>
      <c r="X33">
        <v>6104</v>
      </c>
      <c r="Y33">
        <v>1669</v>
      </c>
      <c r="Z33">
        <v>-6.67</v>
      </c>
      <c r="AA33">
        <v>-5.48</v>
      </c>
      <c r="AB33">
        <v>6214.77</v>
      </c>
      <c r="AC33">
        <v>-6.53</v>
      </c>
      <c r="AD33" t="s">
        <v>363</v>
      </c>
    </row>
    <row r="34" spans="1:30">
      <c r="A34">
        <v>2025</v>
      </c>
      <c r="B34">
        <v>9</v>
      </c>
      <c r="C34">
        <v>30</v>
      </c>
      <c r="D34" t="s">
        <v>271</v>
      </c>
      <c r="E34">
        <v>7735</v>
      </c>
      <c r="F34">
        <v>15493</v>
      </c>
      <c r="G34">
        <v>270391.17</v>
      </c>
      <c r="H34">
        <v>15249.35</v>
      </c>
      <c r="I34">
        <v>621.4299999999999</v>
      </c>
      <c r="J34">
        <v>254520.39</v>
      </c>
      <c r="K34">
        <v>81531.06</v>
      </c>
      <c r="L34">
        <v>172989.33</v>
      </c>
      <c r="M34">
        <v>1899.17</v>
      </c>
      <c r="N34">
        <v>10428.06</v>
      </c>
      <c r="O34">
        <v>134509.67</v>
      </c>
      <c r="P34">
        <v>26152.43</v>
      </c>
      <c r="Q34">
        <v>378</v>
      </c>
      <c r="R34">
        <v>32.91</v>
      </c>
      <c r="S34">
        <v>2</v>
      </c>
      <c r="T34">
        <v>67.97</v>
      </c>
      <c r="U34">
        <v>10.28</v>
      </c>
      <c r="V34">
        <v>5.64</v>
      </c>
      <c r="W34">
        <v>257.83</v>
      </c>
      <c r="X34">
        <v>8484.01</v>
      </c>
      <c r="Y34">
        <v>1816</v>
      </c>
      <c r="Z34">
        <v>34.51</v>
      </c>
      <c r="AA34">
        <v>10.6</v>
      </c>
      <c r="AB34">
        <v>7744.46</v>
      </c>
      <c r="AC34">
        <v>-0.12</v>
      </c>
      <c r="AD34" t="s">
        <v>361</v>
      </c>
    </row>
    <row r="35" spans="1:30">
      <c r="A35">
        <v>2025</v>
      </c>
      <c r="B35">
        <v>10</v>
      </c>
      <c r="C35">
        <v>31</v>
      </c>
      <c r="D35" t="s">
        <v>272</v>
      </c>
      <c r="E35">
        <v>8695</v>
      </c>
      <c r="F35">
        <v>16980</v>
      </c>
      <c r="G35">
        <v>297432.15</v>
      </c>
      <c r="H35">
        <v>10911.77</v>
      </c>
      <c r="I35">
        <v>686.97</v>
      </c>
      <c r="J35">
        <v>285833.41</v>
      </c>
      <c r="K35">
        <v>90111.21000000001</v>
      </c>
      <c r="L35">
        <v>195722.2</v>
      </c>
      <c r="M35">
        <v>2178.19</v>
      </c>
      <c r="N35">
        <v>10942.24</v>
      </c>
      <c r="O35">
        <v>128363.53</v>
      </c>
      <c r="P35">
        <v>54238.24</v>
      </c>
      <c r="Q35">
        <v>351</v>
      </c>
      <c r="R35">
        <v>32.87</v>
      </c>
      <c r="S35">
        <v>1.95</v>
      </c>
      <c r="T35">
        <v>68.47</v>
      </c>
      <c r="U35">
        <v>18.98</v>
      </c>
      <c r="V35">
        <v>3.67</v>
      </c>
      <c r="W35">
        <v>280.48</v>
      </c>
      <c r="X35">
        <v>9220.43</v>
      </c>
      <c r="Y35">
        <v>1907</v>
      </c>
      <c r="Z35">
        <v>12.3</v>
      </c>
      <c r="AA35">
        <v>18.85</v>
      </c>
      <c r="AB35">
        <v>8483.280000000001</v>
      </c>
      <c r="AC35">
        <v>2.5</v>
      </c>
      <c r="AD35" t="s">
        <v>361</v>
      </c>
    </row>
    <row r="36" spans="1:30">
      <c r="A36">
        <v>2025</v>
      </c>
      <c r="B36">
        <v>11</v>
      </c>
      <c r="C36">
        <v>30</v>
      </c>
      <c r="D36" t="s">
        <v>273</v>
      </c>
      <c r="E36">
        <v>8747</v>
      </c>
      <c r="F36">
        <v>17011</v>
      </c>
      <c r="G36">
        <v>295669.74</v>
      </c>
      <c r="H36">
        <v>22512.64</v>
      </c>
      <c r="I36">
        <v>720.16</v>
      </c>
      <c r="J36">
        <v>272436.94</v>
      </c>
      <c r="K36">
        <v>89343.71000000001</v>
      </c>
      <c r="L36">
        <v>183093.23</v>
      </c>
      <c r="M36">
        <v>2207.13</v>
      </c>
      <c r="N36">
        <v>9382.49</v>
      </c>
      <c r="O36">
        <v>132771.44</v>
      </c>
      <c r="P36">
        <v>38732.17</v>
      </c>
      <c r="Q36">
        <v>520</v>
      </c>
      <c r="R36">
        <v>31.15</v>
      </c>
      <c r="S36">
        <v>1.94</v>
      </c>
      <c r="T36">
        <v>67.20999999999999</v>
      </c>
      <c r="U36">
        <v>14.22</v>
      </c>
      <c r="V36">
        <v>7.61</v>
      </c>
      <c r="W36">
        <v>291.57</v>
      </c>
      <c r="X36">
        <v>9081.23</v>
      </c>
      <c r="Y36">
        <v>2101</v>
      </c>
      <c r="Z36">
        <v>-4.69</v>
      </c>
      <c r="AA36">
        <v>3.06</v>
      </c>
      <c r="AB36">
        <v>8626.48</v>
      </c>
      <c r="AC36">
        <v>1.4</v>
      </c>
      <c r="AD36" t="s">
        <v>361</v>
      </c>
    </row>
    <row r="37" spans="1:30">
      <c r="A37">
        <v>2025</v>
      </c>
      <c r="B37">
        <v>12</v>
      </c>
      <c r="C37">
        <v>31</v>
      </c>
      <c r="D37" t="s">
        <v>274</v>
      </c>
      <c r="E37">
        <v>8409</v>
      </c>
      <c r="F37">
        <v>15870</v>
      </c>
      <c r="G37">
        <v>276133.44</v>
      </c>
      <c r="H37">
        <v>11935.21</v>
      </c>
      <c r="I37">
        <v>605.92</v>
      </c>
      <c r="J37">
        <v>263592.31</v>
      </c>
      <c r="K37">
        <v>84382.02</v>
      </c>
      <c r="L37">
        <v>179210.29</v>
      </c>
      <c r="M37">
        <v>2123.45</v>
      </c>
      <c r="N37">
        <v>8780.07</v>
      </c>
      <c r="O37">
        <v>128173.71</v>
      </c>
      <c r="P37">
        <v>40133.06</v>
      </c>
      <c r="Q37">
        <v>360</v>
      </c>
      <c r="R37">
        <v>31.35</v>
      </c>
      <c r="S37">
        <v>1.89</v>
      </c>
      <c r="T37">
        <v>67.98999999999999</v>
      </c>
      <c r="U37">
        <v>15.23</v>
      </c>
      <c r="V37">
        <v>4.32</v>
      </c>
      <c r="W37">
        <v>271.26</v>
      </c>
      <c r="X37">
        <v>8502.98</v>
      </c>
      <c r="Y37">
        <v>1955</v>
      </c>
      <c r="Z37">
        <v>-3.25</v>
      </c>
      <c r="AA37">
        <v>-5.39</v>
      </c>
      <c r="AB37">
        <v>8698.42</v>
      </c>
      <c r="AC37">
        <v>-3.33</v>
      </c>
      <c r="AD37" t="s">
        <v>363</v>
      </c>
    </row>
  </sheetData>
  <autoFilter ref="A1:AD3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11" width="10.7109375" customWidth="1"/>
    <col min="12" max="12" width="13.7109375" customWidth="1"/>
    <col min="13" max="16" width="10.7109375" customWidth="1"/>
    <col min="17" max="18" width="11.7109375" customWidth="1"/>
    <col min="19" max="19" width="10.7109375" customWidth="1"/>
    <col min="20" max="20" width="11.7109375" customWidth="1"/>
  </cols>
  <sheetData>
    <row r="1" spans="1:20">
      <c r="A1" s="1" t="s">
        <v>364</v>
      </c>
      <c r="B1" s="1" t="s">
        <v>365</v>
      </c>
      <c r="C1" s="1" t="s">
        <v>343</v>
      </c>
      <c r="D1" s="1" t="s">
        <v>344</v>
      </c>
      <c r="E1" s="1" t="s">
        <v>53</v>
      </c>
      <c r="F1" s="1" t="s">
        <v>54</v>
      </c>
      <c r="G1" s="1" t="s">
        <v>56</v>
      </c>
      <c r="H1" s="1" t="s">
        <v>57</v>
      </c>
      <c r="I1" s="1" t="s">
        <v>59</v>
      </c>
      <c r="J1" s="1" t="s">
        <v>60</v>
      </c>
      <c r="K1" s="1" t="s">
        <v>63</v>
      </c>
      <c r="L1" s="1" t="s">
        <v>64</v>
      </c>
      <c r="M1" s="1" t="s">
        <v>345</v>
      </c>
      <c r="N1" s="1" t="s">
        <v>346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</row>
    <row r="2" spans="1:20">
      <c r="A2" t="s">
        <v>73</v>
      </c>
      <c r="B2">
        <v>7</v>
      </c>
      <c r="C2">
        <v>1548</v>
      </c>
      <c r="D2">
        <v>2936</v>
      </c>
      <c r="E2">
        <v>49322.15</v>
      </c>
      <c r="F2">
        <v>446.91</v>
      </c>
      <c r="G2">
        <v>66.95999999999999</v>
      </c>
      <c r="H2">
        <v>48808.28</v>
      </c>
      <c r="I2">
        <v>13911.2</v>
      </c>
      <c r="J2">
        <v>34897.08</v>
      </c>
      <c r="K2">
        <v>379.93</v>
      </c>
      <c r="L2">
        <v>1491.37</v>
      </c>
      <c r="M2">
        <v>25595.28</v>
      </c>
      <c r="N2">
        <v>7430.5</v>
      </c>
      <c r="O2">
        <v>54</v>
      </c>
      <c r="P2">
        <v>31.53</v>
      </c>
      <c r="Q2">
        <v>1.9</v>
      </c>
      <c r="R2">
        <v>71.5</v>
      </c>
      <c r="S2">
        <v>15.22</v>
      </c>
      <c r="T2">
        <v>0.91</v>
      </c>
    </row>
    <row r="3" spans="1:20">
      <c r="A3" t="s">
        <v>366</v>
      </c>
      <c r="B3">
        <v>7</v>
      </c>
      <c r="C3">
        <v>1486</v>
      </c>
      <c r="D3">
        <v>2754</v>
      </c>
      <c r="E3">
        <v>45702.33</v>
      </c>
      <c r="F3">
        <v>1126.87</v>
      </c>
      <c r="G3">
        <v>120</v>
      </c>
      <c r="H3">
        <v>44455.46</v>
      </c>
      <c r="I3">
        <v>12744.7</v>
      </c>
      <c r="J3">
        <v>31710.76</v>
      </c>
      <c r="K3">
        <v>335.36</v>
      </c>
      <c r="L3">
        <v>1486.51</v>
      </c>
      <c r="M3">
        <v>25674.7</v>
      </c>
      <c r="N3">
        <v>4214.19</v>
      </c>
      <c r="O3">
        <v>49</v>
      </c>
      <c r="P3">
        <v>29.92</v>
      </c>
      <c r="Q3">
        <v>1.85</v>
      </c>
      <c r="R3">
        <v>71.33</v>
      </c>
      <c r="S3">
        <v>9.48</v>
      </c>
      <c r="T3">
        <v>2.47</v>
      </c>
    </row>
    <row r="4" spans="1:20">
      <c r="A4" t="s">
        <v>367</v>
      </c>
      <c r="B4">
        <v>7</v>
      </c>
      <c r="C4">
        <v>1424</v>
      </c>
      <c r="D4">
        <v>2598</v>
      </c>
      <c r="E4">
        <v>43113.42</v>
      </c>
      <c r="F4">
        <v>1158.18</v>
      </c>
      <c r="G4">
        <v>132.17</v>
      </c>
      <c r="H4">
        <v>41823.07</v>
      </c>
      <c r="I4">
        <v>12146.8</v>
      </c>
      <c r="J4">
        <v>29676.27</v>
      </c>
      <c r="K4">
        <v>306.86</v>
      </c>
      <c r="L4">
        <v>1658.42</v>
      </c>
      <c r="M4">
        <v>25506.24</v>
      </c>
      <c r="N4">
        <v>2204.75</v>
      </c>
      <c r="O4">
        <v>47</v>
      </c>
      <c r="P4">
        <v>29.37</v>
      </c>
      <c r="Q4">
        <v>1.82</v>
      </c>
      <c r="R4">
        <v>70.95999999999999</v>
      </c>
      <c r="S4">
        <v>5.27</v>
      </c>
      <c r="T4">
        <v>2.69</v>
      </c>
    </row>
    <row r="5" spans="1:20">
      <c r="A5" t="s">
        <v>368</v>
      </c>
      <c r="B5">
        <v>7</v>
      </c>
      <c r="C5">
        <v>1550</v>
      </c>
      <c r="D5">
        <v>3035</v>
      </c>
      <c r="E5">
        <v>50861.34</v>
      </c>
      <c r="F5">
        <v>1011.25</v>
      </c>
      <c r="G5">
        <v>211.3</v>
      </c>
      <c r="H5">
        <v>49638.79</v>
      </c>
      <c r="I5">
        <v>14273.1</v>
      </c>
      <c r="J5">
        <v>35365.69</v>
      </c>
      <c r="K5">
        <v>357.85</v>
      </c>
      <c r="L5">
        <v>2005.89</v>
      </c>
      <c r="M5">
        <v>25572.59</v>
      </c>
      <c r="N5">
        <v>7429.36</v>
      </c>
      <c r="O5">
        <v>53</v>
      </c>
      <c r="P5">
        <v>32.03</v>
      </c>
      <c r="Q5">
        <v>1.96</v>
      </c>
      <c r="R5">
        <v>71.25</v>
      </c>
      <c r="S5">
        <v>14.97</v>
      </c>
      <c r="T5">
        <v>1.99</v>
      </c>
    </row>
    <row r="6" spans="1:20">
      <c r="A6" t="s">
        <v>369</v>
      </c>
      <c r="B6">
        <v>7</v>
      </c>
      <c r="C6">
        <v>1505</v>
      </c>
      <c r="D6">
        <v>2951</v>
      </c>
      <c r="E6">
        <v>49266.38</v>
      </c>
      <c r="F6">
        <v>1445.12</v>
      </c>
      <c r="G6">
        <v>160</v>
      </c>
      <c r="H6">
        <v>47661.26</v>
      </c>
      <c r="I6">
        <v>13745.45</v>
      </c>
      <c r="J6">
        <v>33915.81</v>
      </c>
      <c r="K6">
        <v>350.93</v>
      </c>
      <c r="L6">
        <v>1820.86</v>
      </c>
      <c r="M6">
        <v>26444.17</v>
      </c>
      <c r="N6">
        <v>5299.85</v>
      </c>
      <c r="O6">
        <v>44</v>
      </c>
      <c r="P6">
        <v>31.67</v>
      </c>
      <c r="Q6">
        <v>1.96</v>
      </c>
      <c r="R6">
        <v>71.16</v>
      </c>
      <c r="S6">
        <v>11.12</v>
      </c>
      <c r="T6">
        <v>2.93</v>
      </c>
    </row>
    <row r="7" spans="1:20">
      <c r="A7" t="s">
        <v>370</v>
      </c>
      <c r="B7">
        <v>7</v>
      </c>
      <c r="C7">
        <v>1548</v>
      </c>
      <c r="D7">
        <v>2963</v>
      </c>
      <c r="E7">
        <v>49584.74</v>
      </c>
      <c r="F7">
        <v>1068.68</v>
      </c>
      <c r="G7">
        <v>130.43</v>
      </c>
      <c r="H7">
        <v>48385.63</v>
      </c>
      <c r="I7">
        <v>14019.45</v>
      </c>
      <c r="J7">
        <v>34366.18</v>
      </c>
      <c r="K7">
        <v>365.07</v>
      </c>
      <c r="L7">
        <v>1786.5</v>
      </c>
      <c r="M7">
        <v>27258.61</v>
      </c>
      <c r="N7">
        <v>4956</v>
      </c>
      <c r="O7">
        <v>47</v>
      </c>
      <c r="P7">
        <v>31.26</v>
      </c>
      <c r="Q7">
        <v>1.91</v>
      </c>
      <c r="R7">
        <v>71.03</v>
      </c>
      <c r="S7">
        <v>10.24</v>
      </c>
      <c r="T7">
        <v>2.16</v>
      </c>
    </row>
    <row r="8" spans="1:20">
      <c r="A8" t="s">
        <v>371</v>
      </c>
      <c r="B8">
        <v>7</v>
      </c>
      <c r="C8">
        <v>1472</v>
      </c>
      <c r="D8">
        <v>2849</v>
      </c>
      <c r="E8">
        <v>48171.54</v>
      </c>
      <c r="F8">
        <v>1342.19</v>
      </c>
      <c r="G8">
        <v>166.08</v>
      </c>
      <c r="H8">
        <v>46663.27</v>
      </c>
      <c r="I8">
        <v>13718.55</v>
      </c>
      <c r="J8">
        <v>32944.72</v>
      </c>
      <c r="K8">
        <v>352.37</v>
      </c>
      <c r="L8">
        <v>1727.66</v>
      </c>
      <c r="M8">
        <v>27139.53</v>
      </c>
      <c r="N8">
        <v>3725.16</v>
      </c>
      <c r="O8">
        <v>58</v>
      </c>
      <c r="P8">
        <v>31.7</v>
      </c>
      <c r="Q8">
        <v>1.94</v>
      </c>
      <c r="R8">
        <v>70.59999999999999</v>
      </c>
      <c r="S8">
        <v>7.98</v>
      </c>
      <c r="T8">
        <v>2.79</v>
      </c>
    </row>
    <row r="9" spans="1:20">
      <c r="A9" t="s">
        <v>372</v>
      </c>
      <c r="B9">
        <v>7</v>
      </c>
      <c r="C9">
        <v>1385</v>
      </c>
      <c r="D9">
        <v>2833</v>
      </c>
      <c r="E9">
        <v>47724.78</v>
      </c>
      <c r="F9">
        <v>3812.85</v>
      </c>
      <c r="G9">
        <v>84.98999999999999</v>
      </c>
      <c r="H9">
        <v>43826.94</v>
      </c>
      <c r="I9">
        <v>13645.45</v>
      </c>
      <c r="J9">
        <v>30181.49</v>
      </c>
      <c r="K9">
        <v>322.91</v>
      </c>
      <c r="L9">
        <v>1402.09</v>
      </c>
      <c r="M9">
        <v>28678.32</v>
      </c>
      <c r="N9">
        <v>-221.83</v>
      </c>
      <c r="O9">
        <v>59</v>
      </c>
      <c r="P9">
        <v>31.64</v>
      </c>
      <c r="Q9">
        <v>2.05</v>
      </c>
      <c r="R9">
        <v>68.87</v>
      </c>
      <c r="S9">
        <v>-0.51</v>
      </c>
      <c r="T9">
        <v>7.99</v>
      </c>
    </row>
    <row r="10" spans="1:20">
      <c r="A10" t="s">
        <v>373</v>
      </c>
      <c r="B10">
        <v>7</v>
      </c>
      <c r="C10">
        <v>1627</v>
      </c>
      <c r="D10">
        <v>3151</v>
      </c>
      <c r="E10">
        <v>52877.47</v>
      </c>
      <c r="F10">
        <v>1439.06</v>
      </c>
      <c r="G10">
        <v>237.38</v>
      </c>
      <c r="H10">
        <v>51201.03</v>
      </c>
      <c r="I10">
        <v>14824.5</v>
      </c>
      <c r="J10">
        <v>36376.53</v>
      </c>
      <c r="K10">
        <v>369.6</v>
      </c>
      <c r="L10">
        <v>2068.26</v>
      </c>
      <c r="M10">
        <v>26305.05</v>
      </c>
      <c r="N10">
        <v>7633.62</v>
      </c>
      <c r="O10">
        <v>34</v>
      </c>
      <c r="P10">
        <v>31.47</v>
      </c>
      <c r="Q10">
        <v>1.94</v>
      </c>
      <c r="R10">
        <v>71.05</v>
      </c>
      <c r="S10">
        <v>14.91</v>
      </c>
      <c r="T10">
        <v>2.72</v>
      </c>
    </row>
    <row r="11" spans="1:20">
      <c r="A11" t="s">
        <v>374</v>
      </c>
      <c r="B11">
        <v>7</v>
      </c>
      <c r="C11">
        <v>1436</v>
      </c>
      <c r="D11">
        <v>2854</v>
      </c>
      <c r="E11">
        <v>47484.33</v>
      </c>
      <c r="F11">
        <v>1067.78</v>
      </c>
      <c r="G11">
        <v>85.20999999999999</v>
      </c>
      <c r="H11">
        <v>46331.34</v>
      </c>
      <c r="I11">
        <v>13190.75</v>
      </c>
      <c r="J11">
        <v>33140.59</v>
      </c>
      <c r="K11">
        <v>348.57</v>
      </c>
      <c r="L11">
        <v>1557.25</v>
      </c>
      <c r="M11">
        <v>25617.54</v>
      </c>
      <c r="N11">
        <v>5617.23</v>
      </c>
      <c r="O11">
        <v>49</v>
      </c>
      <c r="P11">
        <v>32.26</v>
      </c>
      <c r="Q11">
        <v>1.99</v>
      </c>
      <c r="R11">
        <v>71.53</v>
      </c>
      <c r="S11">
        <v>12.12</v>
      </c>
      <c r="T11">
        <v>2.25</v>
      </c>
    </row>
    <row r="12" spans="1:20">
      <c r="A12" t="s">
        <v>375</v>
      </c>
      <c r="B12">
        <v>7</v>
      </c>
      <c r="C12">
        <v>1732</v>
      </c>
      <c r="D12">
        <v>3341</v>
      </c>
      <c r="E12">
        <v>55919.13</v>
      </c>
      <c r="F12">
        <v>1429.45</v>
      </c>
      <c r="G12">
        <v>142.6</v>
      </c>
      <c r="H12">
        <v>54347.08</v>
      </c>
      <c r="I12">
        <v>15658.75</v>
      </c>
      <c r="J12">
        <v>38688.33</v>
      </c>
      <c r="K12">
        <v>392.1</v>
      </c>
      <c r="L12">
        <v>2273.56</v>
      </c>
      <c r="M12">
        <v>25642.45</v>
      </c>
      <c r="N12">
        <v>10380.22</v>
      </c>
      <c r="O12">
        <v>51</v>
      </c>
      <c r="P12">
        <v>31.38</v>
      </c>
      <c r="Q12">
        <v>1.93</v>
      </c>
      <c r="R12">
        <v>71.19</v>
      </c>
      <c r="S12">
        <v>19.1</v>
      </c>
      <c r="T12">
        <v>2.56</v>
      </c>
    </row>
    <row r="13" spans="1:20">
      <c r="A13" t="s">
        <v>376</v>
      </c>
      <c r="B13">
        <v>7</v>
      </c>
      <c r="C13">
        <v>1636</v>
      </c>
      <c r="D13">
        <v>3283</v>
      </c>
      <c r="E13">
        <v>56987.79</v>
      </c>
      <c r="F13">
        <v>1566.7</v>
      </c>
      <c r="G13">
        <v>124.78</v>
      </c>
      <c r="H13">
        <v>55296.31</v>
      </c>
      <c r="I13">
        <v>15988.2</v>
      </c>
      <c r="J13">
        <v>39308.11</v>
      </c>
      <c r="K13">
        <v>389.02</v>
      </c>
      <c r="L13">
        <v>2372.05</v>
      </c>
      <c r="M13">
        <v>27205.39</v>
      </c>
      <c r="N13">
        <v>9341.65</v>
      </c>
      <c r="O13">
        <v>67</v>
      </c>
      <c r="P13">
        <v>33.8</v>
      </c>
      <c r="Q13">
        <v>2.01</v>
      </c>
      <c r="R13">
        <v>71.09</v>
      </c>
      <c r="S13">
        <v>16.89</v>
      </c>
      <c r="T13">
        <v>2.75</v>
      </c>
    </row>
    <row r="14" spans="1:20">
      <c r="A14" t="s">
        <v>377</v>
      </c>
      <c r="B14">
        <v>7</v>
      </c>
      <c r="C14">
        <v>1803</v>
      </c>
      <c r="D14">
        <v>3974</v>
      </c>
      <c r="E14">
        <v>74256.22</v>
      </c>
      <c r="F14">
        <v>2231.07</v>
      </c>
      <c r="G14">
        <v>166.95</v>
      </c>
      <c r="H14">
        <v>71858.2</v>
      </c>
      <c r="I14">
        <v>20897.9</v>
      </c>
      <c r="J14">
        <v>50960.3</v>
      </c>
      <c r="K14">
        <v>500.31</v>
      </c>
      <c r="L14">
        <v>3568.24</v>
      </c>
      <c r="M14">
        <v>29202.6</v>
      </c>
      <c r="N14">
        <v>17689.15</v>
      </c>
      <c r="O14">
        <v>85</v>
      </c>
      <c r="P14">
        <v>39.85</v>
      </c>
      <c r="Q14">
        <v>2.2</v>
      </c>
      <c r="R14">
        <v>70.92</v>
      </c>
      <c r="S14">
        <v>24.62</v>
      </c>
      <c r="T14">
        <v>3</v>
      </c>
    </row>
    <row r="15" spans="1:20">
      <c r="A15" t="s">
        <v>378</v>
      </c>
      <c r="B15">
        <v>7</v>
      </c>
      <c r="C15">
        <v>1607</v>
      </c>
      <c r="D15">
        <v>3377</v>
      </c>
      <c r="E15">
        <v>62230.3</v>
      </c>
      <c r="F15">
        <v>2181.47</v>
      </c>
      <c r="G15">
        <v>224.52</v>
      </c>
      <c r="H15">
        <v>59824.31</v>
      </c>
      <c r="I15">
        <v>17348.35</v>
      </c>
      <c r="J15">
        <v>42475.96</v>
      </c>
      <c r="K15">
        <v>407.82</v>
      </c>
      <c r="L15">
        <v>3137.05</v>
      </c>
      <c r="M15">
        <v>29849.84</v>
      </c>
      <c r="N15">
        <v>9081.25</v>
      </c>
      <c r="O15">
        <v>64</v>
      </c>
      <c r="P15">
        <v>37.23</v>
      </c>
      <c r="Q15">
        <v>2.1</v>
      </c>
      <c r="R15">
        <v>71</v>
      </c>
      <c r="S15">
        <v>15.18</v>
      </c>
      <c r="T15">
        <v>3.51</v>
      </c>
    </row>
    <row r="16" spans="1:20">
      <c r="A16" t="s">
        <v>379</v>
      </c>
      <c r="B16">
        <v>7</v>
      </c>
      <c r="C16">
        <v>1497</v>
      </c>
      <c r="D16">
        <v>3281</v>
      </c>
      <c r="E16">
        <v>60263.22</v>
      </c>
      <c r="F16">
        <v>1707.35</v>
      </c>
      <c r="G16">
        <v>100</v>
      </c>
      <c r="H16">
        <v>58455.87</v>
      </c>
      <c r="I16">
        <v>16714.3</v>
      </c>
      <c r="J16">
        <v>41741.57</v>
      </c>
      <c r="K16">
        <v>408.79</v>
      </c>
      <c r="L16">
        <v>3148</v>
      </c>
      <c r="M16">
        <v>29905.84</v>
      </c>
      <c r="N16">
        <v>8278.940000000001</v>
      </c>
      <c r="O16">
        <v>52</v>
      </c>
      <c r="P16">
        <v>39.05</v>
      </c>
      <c r="Q16">
        <v>2.19</v>
      </c>
      <c r="R16">
        <v>71.41</v>
      </c>
      <c r="S16">
        <v>14.16</v>
      </c>
      <c r="T16">
        <v>2.83</v>
      </c>
    </row>
    <row r="17" spans="1:20">
      <c r="A17" t="s">
        <v>380</v>
      </c>
      <c r="B17">
        <v>7</v>
      </c>
      <c r="C17">
        <v>1506</v>
      </c>
      <c r="D17">
        <v>3272</v>
      </c>
      <c r="E17">
        <v>61122.52</v>
      </c>
      <c r="F17">
        <v>1540.23</v>
      </c>
      <c r="G17">
        <v>262.6</v>
      </c>
      <c r="H17">
        <v>59319.69</v>
      </c>
      <c r="I17">
        <v>17312.45</v>
      </c>
      <c r="J17">
        <v>42007.24</v>
      </c>
      <c r="K17">
        <v>390.69</v>
      </c>
      <c r="L17">
        <v>3281.51</v>
      </c>
      <c r="M17">
        <v>29111.94</v>
      </c>
      <c r="N17">
        <v>9223.1</v>
      </c>
      <c r="O17">
        <v>60</v>
      </c>
      <c r="P17">
        <v>39.39</v>
      </c>
      <c r="Q17">
        <v>2.17</v>
      </c>
      <c r="R17">
        <v>70.81999999999999</v>
      </c>
      <c r="S17">
        <v>15.55</v>
      </c>
      <c r="T17">
        <v>2.52</v>
      </c>
    </row>
    <row r="18" spans="1:20">
      <c r="A18" t="s">
        <v>381</v>
      </c>
      <c r="B18">
        <v>7</v>
      </c>
      <c r="C18">
        <v>1344</v>
      </c>
      <c r="D18">
        <v>2944</v>
      </c>
      <c r="E18">
        <v>50650.5</v>
      </c>
      <c r="F18">
        <v>1159.06</v>
      </c>
      <c r="G18">
        <v>48.69</v>
      </c>
      <c r="H18">
        <v>49442.75</v>
      </c>
      <c r="I18">
        <v>14260.7</v>
      </c>
      <c r="J18">
        <v>35182.05</v>
      </c>
      <c r="K18">
        <v>364.47</v>
      </c>
      <c r="L18">
        <v>2110.21</v>
      </c>
      <c r="M18">
        <v>26698.37</v>
      </c>
      <c r="N18">
        <v>6009</v>
      </c>
      <c r="O18">
        <v>62</v>
      </c>
      <c r="P18">
        <v>36.79</v>
      </c>
      <c r="Q18">
        <v>2.19</v>
      </c>
      <c r="R18">
        <v>71.16</v>
      </c>
      <c r="S18">
        <v>12.15</v>
      </c>
      <c r="T18">
        <v>2.29</v>
      </c>
    </row>
    <row r="19" spans="1:20">
      <c r="A19" t="s">
        <v>382</v>
      </c>
      <c r="B19">
        <v>7</v>
      </c>
      <c r="C19">
        <v>1534</v>
      </c>
      <c r="D19">
        <v>3104</v>
      </c>
      <c r="E19">
        <v>51965.07</v>
      </c>
      <c r="F19">
        <v>1294.49</v>
      </c>
      <c r="G19">
        <v>128.69</v>
      </c>
      <c r="H19">
        <v>50541.89</v>
      </c>
      <c r="I19">
        <v>14362.45</v>
      </c>
      <c r="J19">
        <v>36179.44</v>
      </c>
      <c r="K19">
        <v>363.52</v>
      </c>
      <c r="L19">
        <v>2230.38</v>
      </c>
      <c r="M19">
        <v>26405.83</v>
      </c>
      <c r="N19">
        <v>7179.71</v>
      </c>
      <c r="O19">
        <v>56</v>
      </c>
      <c r="P19">
        <v>32.95</v>
      </c>
      <c r="Q19">
        <v>2.02</v>
      </c>
      <c r="R19">
        <v>71.58</v>
      </c>
      <c r="S19">
        <v>14.21</v>
      </c>
      <c r="T19">
        <v>2.49</v>
      </c>
    </row>
    <row r="20" spans="1:20">
      <c r="A20" t="s">
        <v>383</v>
      </c>
      <c r="B20">
        <v>7</v>
      </c>
      <c r="C20">
        <v>1582</v>
      </c>
      <c r="D20">
        <v>3171</v>
      </c>
      <c r="E20">
        <v>53162.58</v>
      </c>
      <c r="F20">
        <v>1539.06</v>
      </c>
      <c r="G20">
        <v>196.53</v>
      </c>
      <c r="H20">
        <v>51426.99</v>
      </c>
      <c r="I20">
        <v>14805.3</v>
      </c>
      <c r="J20">
        <v>36621.69</v>
      </c>
      <c r="K20">
        <v>357.74</v>
      </c>
      <c r="L20">
        <v>2448.31</v>
      </c>
      <c r="M20">
        <v>26531.51</v>
      </c>
      <c r="N20">
        <v>7284.13</v>
      </c>
      <c r="O20">
        <v>54</v>
      </c>
      <c r="P20">
        <v>32.51</v>
      </c>
      <c r="Q20">
        <v>2</v>
      </c>
      <c r="R20">
        <v>71.20999999999999</v>
      </c>
      <c r="S20">
        <v>14.16</v>
      </c>
      <c r="T20">
        <v>2.9</v>
      </c>
    </row>
    <row r="21" spans="1:20">
      <c r="A21" t="s">
        <v>384</v>
      </c>
      <c r="B21">
        <v>7</v>
      </c>
      <c r="C21">
        <v>1410</v>
      </c>
      <c r="D21">
        <v>2666</v>
      </c>
      <c r="E21">
        <v>44674.11</v>
      </c>
      <c r="F21">
        <v>914.74</v>
      </c>
      <c r="G21">
        <v>15.66</v>
      </c>
      <c r="H21">
        <v>43743.71</v>
      </c>
      <c r="I21">
        <v>12172.4</v>
      </c>
      <c r="J21">
        <v>31571.31</v>
      </c>
      <c r="K21">
        <v>321.54</v>
      </c>
      <c r="L21">
        <v>2125.09</v>
      </c>
      <c r="M21">
        <v>26313.74</v>
      </c>
      <c r="N21">
        <v>2810.94</v>
      </c>
      <c r="O21">
        <v>51</v>
      </c>
      <c r="P21">
        <v>31.02</v>
      </c>
      <c r="Q21">
        <v>1.89</v>
      </c>
      <c r="R21">
        <v>72.17</v>
      </c>
      <c r="S21">
        <v>6.43</v>
      </c>
      <c r="T21">
        <v>2.05</v>
      </c>
    </row>
    <row r="22" spans="1:20">
      <c r="A22" t="s">
        <v>385</v>
      </c>
      <c r="B22">
        <v>7</v>
      </c>
      <c r="C22">
        <v>1481</v>
      </c>
      <c r="D22">
        <v>2960</v>
      </c>
      <c r="E22">
        <v>49306.06</v>
      </c>
      <c r="F22">
        <v>1174.66</v>
      </c>
      <c r="G22">
        <v>170.44</v>
      </c>
      <c r="H22">
        <v>47960.96</v>
      </c>
      <c r="I22">
        <v>13533.4</v>
      </c>
      <c r="J22">
        <v>34427.56</v>
      </c>
      <c r="K22">
        <v>335.41</v>
      </c>
      <c r="L22">
        <v>2216.61</v>
      </c>
      <c r="M22">
        <v>26422.51</v>
      </c>
      <c r="N22">
        <v>5453.03</v>
      </c>
      <c r="O22">
        <v>56</v>
      </c>
      <c r="P22">
        <v>32.38</v>
      </c>
      <c r="Q22">
        <v>2</v>
      </c>
      <c r="R22">
        <v>71.78</v>
      </c>
      <c r="S22">
        <v>11.37</v>
      </c>
      <c r="T22">
        <v>2.38</v>
      </c>
    </row>
    <row r="23" spans="1:20">
      <c r="A23" t="s">
        <v>386</v>
      </c>
      <c r="B23">
        <v>7</v>
      </c>
      <c r="C23">
        <v>1380</v>
      </c>
      <c r="D23">
        <v>2850</v>
      </c>
      <c r="E23">
        <v>47906.41</v>
      </c>
      <c r="F23">
        <v>1072.74</v>
      </c>
      <c r="G23">
        <v>146.95</v>
      </c>
      <c r="H23">
        <v>46686.72</v>
      </c>
      <c r="I23">
        <v>13440.5</v>
      </c>
      <c r="J23">
        <v>33246.22</v>
      </c>
      <c r="K23">
        <v>323.33</v>
      </c>
      <c r="L23">
        <v>2499.73</v>
      </c>
      <c r="M23">
        <v>26775.96</v>
      </c>
      <c r="N23">
        <v>3647.2</v>
      </c>
      <c r="O23">
        <v>41</v>
      </c>
      <c r="P23">
        <v>33.83</v>
      </c>
      <c r="Q23">
        <v>2.07</v>
      </c>
      <c r="R23">
        <v>71.20999999999999</v>
      </c>
      <c r="S23">
        <v>7.81</v>
      </c>
      <c r="T23">
        <v>2.24</v>
      </c>
    </row>
    <row r="24" spans="1:20">
      <c r="A24" t="s">
        <v>387</v>
      </c>
      <c r="B24">
        <v>7</v>
      </c>
      <c r="C24">
        <v>1294</v>
      </c>
      <c r="D24">
        <v>2672</v>
      </c>
      <c r="E24">
        <v>45139.76</v>
      </c>
      <c r="F24">
        <v>1320.19</v>
      </c>
      <c r="G24">
        <v>26.09</v>
      </c>
      <c r="H24">
        <v>43793.48</v>
      </c>
      <c r="I24">
        <v>12885.25</v>
      </c>
      <c r="J24">
        <v>30908.23</v>
      </c>
      <c r="K24">
        <v>284.14</v>
      </c>
      <c r="L24">
        <v>2309.17</v>
      </c>
      <c r="M24">
        <v>27162.3</v>
      </c>
      <c r="N24">
        <v>1152.62</v>
      </c>
      <c r="O24">
        <v>44</v>
      </c>
      <c r="P24">
        <v>33.84</v>
      </c>
      <c r="Q24">
        <v>2.06</v>
      </c>
      <c r="R24">
        <v>70.58</v>
      </c>
      <c r="S24">
        <v>2.63</v>
      </c>
      <c r="T24">
        <v>2.92</v>
      </c>
    </row>
    <row r="25" spans="1:20">
      <c r="A25" t="s">
        <v>388</v>
      </c>
      <c r="B25">
        <v>7</v>
      </c>
      <c r="C25">
        <v>1333</v>
      </c>
      <c r="D25">
        <v>2545</v>
      </c>
      <c r="E25">
        <v>43998.08</v>
      </c>
      <c r="F25">
        <v>911.25</v>
      </c>
      <c r="G25">
        <v>156.52</v>
      </c>
      <c r="H25">
        <v>42930.31</v>
      </c>
      <c r="I25">
        <v>12544.9</v>
      </c>
      <c r="J25">
        <v>30385.41</v>
      </c>
      <c r="K25">
        <v>295.44</v>
      </c>
      <c r="L25">
        <v>2329.73</v>
      </c>
      <c r="M25">
        <v>27271.12</v>
      </c>
      <c r="N25">
        <v>489.12</v>
      </c>
      <c r="O25">
        <v>52</v>
      </c>
      <c r="P25">
        <v>32.21</v>
      </c>
      <c r="Q25">
        <v>1.91</v>
      </c>
      <c r="R25">
        <v>70.78</v>
      </c>
      <c r="S25">
        <v>1.14</v>
      </c>
      <c r="T25">
        <v>2.07</v>
      </c>
    </row>
    <row r="26" spans="1:20">
      <c r="A26" t="s">
        <v>389</v>
      </c>
      <c r="B26">
        <v>7</v>
      </c>
      <c r="C26">
        <v>1333</v>
      </c>
      <c r="D26">
        <v>2456</v>
      </c>
      <c r="E26">
        <v>41323.1</v>
      </c>
      <c r="F26">
        <v>1219.9</v>
      </c>
      <c r="G26">
        <v>160</v>
      </c>
      <c r="H26">
        <v>39943.2</v>
      </c>
      <c r="I26">
        <v>11626.3</v>
      </c>
      <c r="J26">
        <v>28316.9</v>
      </c>
      <c r="K26">
        <v>274.34</v>
      </c>
      <c r="L26">
        <v>2206.79</v>
      </c>
      <c r="M26">
        <v>27162.32</v>
      </c>
      <c r="N26">
        <v>-1326.55</v>
      </c>
      <c r="O26">
        <v>48</v>
      </c>
      <c r="P26">
        <v>29.96</v>
      </c>
      <c r="Q26">
        <v>1.84</v>
      </c>
      <c r="R26">
        <v>70.89</v>
      </c>
      <c r="S26">
        <v>-3.32</v>
      </c>
      <c r="T26">
        <v>2.95</v>
      </c>
    </row>
    <row r="27" spans="1:20">
      <c r="A27" t="s">
        <v>390</v>
      </c>
      <c r="B27">
        <v>7</v>
      </c>
      <c r="C27">
        <v>1119</v>
      </c>
      <c r="D27">
        <v>2464</v>
      </c>
      <c r="E27">
        <v>43369.47</v>
      </c>
      <c r="F27">
        <v>996.4400000000001</v>
      </c>
      <c r="G27">
        <v>105.21</v>
      </c>
      <c r="H27">
        <v>42267.82</v>
      </c>
      <c r="I27">
        <v>12489.05</v>
      </c>
      <c r="J27">
        <v>29778.77</v>
      </c>
      <c r="K27">
        <v>285.26</v>
      </c>
      <c r="L27">
        <v>2306.27</v>
      </c>
      <c r="M27">
        <v>27015.84</v>
      </c>
      <c r="N27">
        <v>171.4</v>
      </c>
      <c r="O27">
        <v>39</v>
      </c>
      <c r="P27">
        <v>37.77</v>
      </c>
      <c r="Q27">
        <v>2.2</v>
      </c>
      <c r="R27">
        <v>70.45</v>
      </c>
      <c r="S27">
        <v>0.41</v>
      </c>
      <c r="T27">
        <v>2.3</v>
      </c>
    </row>
    <row r="28" spans="1:20">
      <c r="A28" t="s">
        <v>391</v>
      </c>
      <c r="B28">
        <v>7</v>
      </c>
      <c r="C28">
        <v>1099</v>
      </c>
      <c r="D28">
        <v>2259</v>
      </c>
      <c r="E28">
        <v>38258.05</v>
      </c>
      <c r="F28">
        <v>851.26</v>
      </c>
      <c r="G28">
        <v>157.39</v>
      </c>
      <c r="H28">
        <v>37249.4</v>
      </c>
      <c r="I28">
        <v>10754.75</v>
      </c>
      <c r="J28">
        <v>26494.65</v>
      </c>
      <c r="K28">
        <v>239.65</v>
      </c>
      <c r="L28">
        <v>2389.21</v>
      </c>
      <c r="M28">
        <v>26676.1</v>
      </c>
      <c r="N28">
        <v>-2810.31</v>
      </c>
      <c r="O28">
        <v>52</v>
      </c>
      <c r="P28">
        <v>33.89</v>
      </c>
      <c r="Q28">
        <v>2.06</v>
      </c>
      <c r="R28">
        <v>71.13</v>
      </c>
      <c r="S28">
        <v>-7.54</v>
      </c>
      <c r="T28">
        <v>2.23</v>
      </c>
    </row>
    <row r="29" spans="1:20">
      <c r="A29" t="s">
        <v>392</v>
      </c>
      <c r="B29">
        <v>7</v>
      </c>
      <c r="C29">
        <v>1142</v>
      </c>
      <c r="D29">
        <v>2283</v>
      </c>
      <c r="E29">
        <v>38717.31</v>
      </c>
      <c r="F29">
        <v>845.16</v>
      </c>
      <c r="G29">
        <v>114.78</v>
      </c>
      <c r="H29">
        <v>37757.37</v>
      </c>
      <c r="I29">
        <v>10873.05</v>
      </c>
      <c r="J29">
        <v>26884.32</v>
      </c>
      <c r="K29">
        <v>245.96</v>
      </c>
      <c r="L29">
        <v>2480.57</v>
      </c>
      <c r="M29">
        <v>33487.54</v>
      </c>
      <c r="N29">
        <v>-9329.75</v>
      </c>
      <c r="O29">
        <v>30</v>
      </c>
      <c r="P29">
        <v>33.06</v>
      </c>
      <c r="Q29">
        <v>2</v>
      </c>
      <c r="R29">
        <v>71.2</v>
      </c>
      <c r="S29">
        <v>-24.71</v>
      </c>
      <c r="T29">
        <v>2.18</v>
      </c>
    </row>
    <row r="30" spans="1:20">
      <c r="A30" t="s">
        <v>393</v>
      </c>
      <c r="B30">
        <v>7</v>
      </c>
      <c r="C30">
        <v>1073</v>
      </c>
      <c r="D30">
        <v>2056</v>
      </c>
      <c r="E30">
        <v>34282.49</v>
      </c>
      <c r="F30">
        <v>642.58</v>
      </c>
      <c r="G30">
        <v>63.48</v>
      </c>
      <c r="H30">
        <v>33576.43</v>
      </c>
      <c r="I30">
        <v>9589.200000000001</v>
      </c>
      <c r="J30">
        <v>23987.23</v>
      </c>
      <c r="K30">
        <v>226.43</v>
      </c>
      <c r="L30">
        <v>1906.64</v>
      </c>
      <c r="M30">
        <v>26577.61</v>
      </c>
      <c r="N30">
        <v>-4723.45</v>
      </c>
      <c r="O30">
        <v>45</v>
      </c>
      <c r="P30">
        <v>31.29</v>
      </c>
      <c r="Q30">
        <v>1.92</v>
      </c>
      <c r="R30">
        <v>71.44</v>
      </c>
      <c r="S30">
        <v>-14.07</v>
      </c>
      <c r="T30">
        <v>1.87</v>
      </c>
    </row>
    <row r="31" spans="1:20">
      <c r="A31" t="s">
        <v>394</v>
      </c>
      <c r="B31">
        <v>7</v>
      </c>
      <c r="C31">
        <v>1152</v>
      </c>
      <c r="D31">
        <v>2356</v>
      </c>
      <c r="E31">
        <v>39748.38</v>
      </c>
      <c r="F31">
        <v>913.86</v>
      </c>
      <c r="G31">
        <v>110.44</v>
      </c>
      <c r="H31">
        <v>38724.08</v>
      </c>
      <c r="I31">
        <v>11241.35</v>
      </c>
      <c r="J31">
        <v>27482.73</v>
      </c>
      <c r="K31">
        <v>263.5</v>
      </c>
      <c r="L31">
        <v>2272.25</v>
      </c>
      <c r="M31">
        <v>26437.68</v>
      </c>
      <c r="N31">
        <v>-1490.7</v>
      </c>
      <c r="O31">
        <v>28</v>
      </c>
      <c r="P31">
        <v>33.61</v>
      </c>
      <c r="Q31">
        <v>2.05</v>
      </c>
      <c r="R31">
        <v>70.97</v>
      </c>
      <c r="S31">
        <v>-3.85</v>
      </c>
      <c r="T31">
        <v>2.3</v>
      </c>
    </row>
    <row r="32" spans="1:20">
      <c r="A32" t="s">
        <v>395</v>
      </c>
      <c r="B32">
        <v>7</v>
      </c>
      <c r="C32">
        <v>1150</v>
      </c>
      <c r="D32">
        <v>2342</v>
      </c>
      <c r="E32">
        <v>39538.89</v>
      </c>
      <c r="F32">
        <v>910.35</v>
      </c>
      <c r="G32">
        <v>231.31</v>
      </c>
      <c r="H32">
        <v>38397.23</v>
      </c>
      <c r="I32">
        <v>11166.25</v>
      </c>
      <c r="J32">
        <v>27230.98</v>
      </c>
      <c r="K32">
        <v>250.62</v>
      </c>
      <c r="L32">
        <v>2610.22</v>
      </c>
      <c r="M32">
        <v>26740.02</v>
      </c>
      <c r="N32">
        <v>-2369.88</v>
      </c>
      <c r="O32">
        <v>45</v>
      </c>
      <c r="P32">
        <v>33.39</v>
      </c>
      <c r="Q32">
        <v>2.04</v>
      </c>
      <c r="R32">
        <v>70.92</v>
      </c>
      <c r="S32">
        <v>-6.17</v>
      </c>
      <c r="T32">
        <v>2.3</v>
      </c>
    </row>
    <row r="33" spans="1:20">
      <c r="A33" t="s">
        <v>396</v>
      </c>
      <c r="B33">
        <v>7</v>
      </c>
      <c r="C33">
        <v>1112</v>
      </c>
      <c r="D33">
        <v>2263</v>
      </c>
      <c r="E33">
        <v>38462.47</v>
      </c>
      <c r="F33">
        <v>852.98</v>
      </c>
      <c r="G33">
        <v>111.3</v>
      </c>
      <c r="H33">
        <v>37498.19</v>
      </c>
      <c r="I33">
        <v>10928.5</v>
      </c>
      <c r="J33">
        <v>26569.69</v>
      </c>
      <c r="K33">
        <v>245.98</v>
      </c>
      <c r="L33">
        <v>2349.52</v>
      </c>
      <c r="M33">
        <v>26744.45</v>
      </c>
      <c r="N33">
        <v>-2770.26</v>
      </c>
      <c r="O33">
        <v>50</v>
      </c>
      <c r="P33">
        <v>33.72</v>
      </c>
      <c r="Q33">
        <v>2.04</v>
      </c>
      <c r="R33">
        <v>70.86</v>
      </c>
      <c r="S33">
        <v>-7.39</v>
      </c>
      <c r="T33">
        <v>2.22</v>
      </c>
    </row>
    <row r="34" spans="1:20">
      <c r="A34" t="s">
        <v>397</v>
      </c>
      <c r="B34">
        <v>7</v>
      </c>
      <c r="C34">
        <v>1142</v>
      </c>
      <c r="D34">
        <v>2290</v>
      </c>
      <c r="E34">
        <v>38600.59</v>
      </c>
      <c r="F34">
        <v>847.76</v>
      </c>
      <c r="G34">
        <v>93.91</v>
      </c>
      <c r="H34">
        <v>37658.92</v>
      </c>
      <c r="I34">
        <v>10940.4</v>
      </c>
      <c r="J34">
        <v>26718.52</v>
      </c>
      <c r="K34">
        <v>252.87</v>
      </c>
      <c r="L34">
        <v>2321.28</v>
      </c>
      <c r="M34">
        <v>26800.94</v>
      </c>
      <c r="N34">
        <v>-2656.57</v>
      </c>
      <c r="O34">
        <v>47</v>
      </c>
      <c r="P34">
        <v>32.98</v>
      </c>
      <c r="Q34">
        <v>2.01</v>
      </c>
      <c r="R34">
        <v>70.95</v>
      </c>
      <c r="S34">
        <v>-7.05</v>
      </c>
      <c r="T34">
        <v>2.2</v>
      </c>
    </row>
    <row r="35" spans="1:20">
      <c r="A35" t="s">
        <v>398</v>
      </c>
      <c r="B35">
        <v>7</v>
      </c>
      <c r="C35">
        <v>1370</v>
      </c>
      <c r="D35">
        <v>2571</v>
      </c>
      <c r="E35">
        <v>43027.69</v>
      </c>
      <c r="F35">
        <v>1291.69</v>
      </c>
      <c r="G35">
        <v>153.04</v>
      </c>
      <c r="H35">
        <v>41582.96</v>
      </c>
      <c r="I35">
        <v>12100</v>
      </c>
      <c r="J35">
        <v>29482.96</v>
      </c>
      <c r="K35">
        <v>294.76</v>
      </c>
      <c r="L35">
        <v>1885.26</v>
      </c>
      <c r="M35">
        <v>26747.89</v>
      </c>
      <c r="N35">
        <v>555.05</v>
      </c>
      <c r="O35">
        <v>36</v>
      </c>
      <c r="P35">
        <v>30.35</v>
      </c>
      <c r="Q35">
        <v>1.88</v>
      </c>
      <c r="R35">
        <v>70.90000000000001</v>
      </c>
      <c r="S35">
        <v>1.33</v>
      </c>
      <c r="T35">
        <v>3</v>
      </c>
    </row>
    <row r="36" spans="1:20">
      <c r="A36" t="s">
        <v>399</v>
      </c>
      <c r="B36">
        <v>7</v>
      </c>
      <c r="C36">
        <v>1570</v>
      </c>
      <c r="D36">
        <v>3156</v>
      </c>
      <c r="E36">
        <v>53325.23</v>
      </c>
      <c r="F36">
        <v>1370.58</v>
      </c>
      <c r="G36">
        <v>180</v>
      </c>
      <c r="H36">
        <v>51774.65</v>
      </c>
      <c r="I36">
        <v>14968.95</v>
      </c>
      <c r="J36">
        <v>36805.7</v>
      </c>
      <c r="K36">
        <v>366.06</v>
      </c>
      <c r="L36">
        <v>2584.81</v>
      </c>
      <c r="M36">
        <v>26596.56</v>
      </c>
      <c r="N36">
        <v>7258.27</v>
      </c>
      <c r="O36">
        <v>55</v>
      </c>
      <c r="P36">
        <v>32.98</v>
      </c>
      <c r="Q36">
        <v>2.01</v>
      </c>
      <c r="R36">
        <v>71.09</v>
      </c>
      <c r="S36">
        <v>14.02</v>
      </c>
      <c r="T36">
        <v>2.57</v>
      </c>
    </row>
    <row r="37" spans="1:20">
      <c r="A37" t="s">
        <v>400</v>
      </c>
      <c r="B37">
        <v>7</v>
      </c>
      <c r="C37">
        <v>1432</v>
      </c>
      <c r="D37">
        <v>2810</v>
      </c>
      <c r="E37">
        <v>46744.41</v>
      </c>
      <c r="F37">
        <v>1242.53</v>
      </c>
      <c r="G37">
        <v>150.43</v>
      </c>
      <c r="H37">
        <v>45351.45</v>
      </c>
      <c r="I37">
        <v>12950.65</v>
      </c>
      <c r="J37">
        <v>32400.8</v>
      </c>
      <c r="K37">
        <v>333.26</v>
      </c>
      <c r="L37">
        <v>2031.32</v>
      </c>
      <c r="M37">
        <v>27064.1</v>
      </c>
      <c r="N37">
        <v>2972.12</v>
      </c>
      <c r="O37">
        <v>42</v>
      </c>
      <c r="P37">
        <v>31.67</v>
      </c>
      <c r="Q37">
        <v>1.96</v>
      </c>
      <c r="R37">
        <v>71.44</v>
      </c>
      <c r="S37">
        <v>6.55</v>
      </c>
      <c r="T37">
        <v>2.66</v>
      </c>
    </row>
    <row r="38" spans="1:20">
      <c r="A38" t="s">
        <v>401</v>
      </c>
      <c r="B38">
        <v>7</v>
      </c>
      <c r="C38">
        <v>1530</v>
      </c>
      <c r="D38">
        <v>3076</v>
      </c>
      <c r="E38">
        <v>51773.38</v>
      </c>
      <c r="F38">
        <v>1689.88</v>
      </c>
      <c r="G38">
        <v>123.47</v>
      </c>
      <c r="H38">
        <v>49960.03</v>
      </c>
      <c r="I38">
        <v>14620</v>
      </c>
      <c r="J38">
        <v>35340.03</v>
      </c>
      <c r="K38">
        <v>352.43</v>
      </c>
      <c r="L38">
        <v>2612.66</v>
      </c>
      <c r="M38">
        <v>33343.19</v>
      </c>
      <c r="N38">
        <v>-968.25</v>
      </c>
      <c r="O38">
        <v>100</v>
      </c>
      <c r="P38">
        <v>32.65</v>
      </c>
      <c r="Q38">
        <v>2.01</v>
      </c>
      <c r="R38">
        <v>70.73999999999999</v>
      </c>
      <c r="S38">
        <v>-1.94</v>
      </c>
      <c r="T38">
        <v>3.26</v>
      </c>
    </row>
    <row r="39" spans="1:20">
      <c r="A39" t="s">
        <v>402</v>
      </c>
      <c r="B39">
        <v>7</v>
      </c>
      <c r="C39">
        <v>1689</v>
      </c>
      <c r="D39">
        <v>3382</v>
      </c>
      <c r="E39">
        <v>56661.87</v>
      </c>
      <c r="F39">
        <v>6120.12</v>
      </c>
      <c r="G39">
        <v>110.44</v>
      </c>
      <c r="H39">
        <v>50431.31</v>
      </c>
      <c r="I39">
        <v>15998.9</v>
      </c>
      <c r="J39">
        <v>34432.41</v>
      </c>
      <c r="K39">
        <v>366.18</v>
      </c>
      <c r="L39">
        <v>1947.53</v>
      </c>
      <c r="M39">
        <v>36696.65</v>
      </c>
      <c r="N39">
        <v>-4577.95</v>
      </c>
      <c r="O39">
        <v>139</v>
      </c>
      <c r="P39">
        <v>29.86</v>
      </c>
      <c r="Q39">
        <v>2</v>
      </c>
      <c r="R39">
        <v>68.28</v>
      </c>
      <c r="S39">
        <v>-9.08</v>
      </c>
      <c r="T39">
        <v>10.8</v>
      </c>
    </row>
    <row r="40" spans="1:20">
      <c r="A40" t="s">
        <v>403</v>
      </c>
      <c r="B40">
        <v>7</v>
      </c>
      <c r="C40">
        <v>1650</v>
      </c>
      <c r="D40">
        <v>3511</v>
      </c>
      <c r="E40">
        <v>60006.34</v>
      </c>
      <c r="F40">
        <v>3341.78</v>
      </c>
      <c r="G40">
        <v>61.74</v>
      </c>
      <c r="H40">
        <v>56602.82</v>
      </c>
      <c r="I40">
        <v>17100.6</v>
      </c>
      <c r="J40">
        <v>39502.22</v>
      </c>
      <c r="K40">
        <v>403.57</v>
      </c>
      <c r="L40">
        <v>2665.5</v>
      </c>
      <c r="M40">
        <v>34419.82</v>
      </c>
      <c r="N40">
        <v>2013.33</v>
      </c>
      <c r="O40">
        <v>116</v>
      </c>
      <c r="P40">
        <v>34.3</v>
      </c>
      <c r="Q40">
        <v>2.13</v>
      </c>
      <c r="R40">
        <v>69.79000000000001</v>
      </c>
      <c r="S40">
        <v>3.56</v>
      </c>
      <c r="T40">
        <v>5.57</v>
      </c>
    </row>
    <row r="41" spans="1:20">
      <c r="A41" t="s">
        <v>404</v>
      </c>
      <c r="B41">
        <v>7</v>
      </c>
      <c r="C41">
        <v>1684</v>
      </c>
      <c r="D41">
        <v>3264</v>
      </c>
      <c r="E41">
        <v>55623.53</v>
      </c>
      <c r="F41">
        <v>1503.38</v>
      </c>
      <c r="G41">
        <v>198.26</v>
      </c>
      <c r="H41">
        <v>53921.89</v>
      </c>
      <c r="I41">
        <v>15714.4</v>
      </c>
      <c r="J41">
        <v>38207.49</v>
      </c>
      <c r="K41">
        <v>372.44</v>
      </c>
      <c r="L41">
        <v>2582.32</v>
      </c>
      <c r="M41">
        <v>26164.55</v>
      </c>
      <c r="N41">
        <v>9088.18</v>
      </c>
      <c r="O41">
        <v>57</v>
      </c>
      <c r="P41">
        <v>32.02</v>
      </c>
      <c r="Q41">
        <v>1.94</v>
      </c>
      <c r="R41">
        <v>70.86</v>
      </c>
      <c r="S41">
        <v>16.85</v>
      </c>
      <c r="T41">
        <v>2.7</v>
      </c>
    </row>
    <row r="42" spans="1:20">
      <c r="A42" t="s">
        <v>405</v>
      </c>
      <c r="B42">
        <v>7</v>
      </c>
      <c r="C42">
        <v>1780</v>
      </c>
      <c r="D42">
        <v>3359</v>
      </c>
      <c r="E42">
        <v>56528.69</v>
      </c>
      <c r="F42">
        <v>1360.78</v>
      </c>
      <c r="G42">
        <v>150.43</v>
      </c>
      <c r="H42">
        <v>55017.48</v>
      </c>
      <c r="I42">
        <v>15737.6</v>
      </c>
      <c r="J42">
        <v>39279.88</v>
      </c>
      <c r="K42">
        <v>423.98</v>
      </c>
      <c r="L42">
        <v>2309.83</v>
      </c>
      <c r="M42">
        <v>25976.69</v>
      </c>
      <c r="N42">
        <v>10569.38</v>
      </c>
      <c r="O42">
        <v>59</v>
      </c>
      <c r="P42">
        <v>30.91</v>
      </c>
      <c r="Q42">
        <v>1.89</v>
      </c>
      <c r="R42">
        <v>71.40000000000001</v>
      </c>
      <c r="S42">
        <v>19.21</v>
      </c>
      <c r="T42">
        <v>2.41</v>
      </c>
    </row>
    <row r="43" spans="1:20">
      <c r="A43" t="s">
        <v>406</v>
      </c>
      <c r="B43">
        <v>7</v>
      </c>
      <c r="C43">
        <v>1741</v>
      </c>
      <c r="D43">
        <v>3363</v>
      </c>
      <c r="E43">
        <v>56730.2</v>
      </c>
      <c r="F43">
        <v>1619.12</v>
      </c>
      <c r="G43">
        <v>233.91</v>
      </c>
      <c r="H43">
        <v>54877.17</v>
      </c>
      <c r="I43">
        <v>15692.35</v>
      </c>
      <c r="J43">
        <v>39184.82</v>
      </c>
      <c r="K43">
        <v>427.46</v>
      </c>
      <c r="L43">
        <v>2071.6</v>
      </c>
      <c r="M43">
        <v>26144.46</v>
      </c>
      <c r="N43">
        <v>10541.3</v>
      </c>
      <c r="O43">
        <v>68</v>
      </c>
      <c r="P43">
        <v>31.52</v>
      </c>
      <c r="Q43">
        <v>1.93</v>
      </c>
      <c r="R43">
        <v>71.40000000000001</v>
      </c>
      <c r="S43">
        <v>19.21</v>
      </c>
      <c r="T43">
        <v>2.85</v>
      </c>
    </row>
    <row r="44" spans="1:20">
      <c r="A44" t="s">
        <v>407</v>
      </c>
      <c r="B44">
        <v>7</v>
      </c>
      <c r="C44">
        <v>1748</v>
      </c>
      <c r="D44">
        <v>3536</v>
      </c>
      <c r="E44">
        <v>59752.78</v>
      </c>
      <c r="F44">
        <v>1672.12</v>
      </c>
      <c r="G44">
        <v>176.52</v>
      </c>
      <c r="H44">
        <v>57904.14</v>
      </c>
      <c r="I44">
        <v>16505.4</v>
      </c>
      <c r="J44">
        <v>41398.74</v>
      </c>
      <c r="K44">
        <v>426.17</v>
      </c>
      <c r="L44">
        <v>2012.59</v>
      </c>
      <c r="M44">
        <v>25764.84</v>
      </c>
      <c r="N44">
        <v>13195.14</v>
      </c>
      <c r="O44">
        <v>69</v>
      </c>
      <c r="P44">
        <v>33.13</v>
      </c>
      <c r="Q44">
        <v>2.02</v>
      </c>
      <c r="R44">
        <v>71.5</v>
      </c>
      <c r="S44">
        <v>22.79</v>
      </c>
      <c r="T44">
        <v>2.8</v>
      </c>
    </row>
    <row r="45" spans="1:20">
      <c r="A45" t="s">
        <v>408</v>
      </c>
      <c r="B45">
        <v>7</v>
      </c>
      <c r="C45">
        <v>1728</v>
      </c>
      <c r="D45">
        <v>3440</v>
      </c>
      <c r="E45">
        <v>57705.93</v>
      </c>
      <c r="F45">
        <v>1482.87</v>
      </c>
      <c r="G45">
        <v>138.26</v>
      </c>
      <c r="H45">
        <v>56084.8</v>
      </c>
      <c r="I45">
        <v>16031.95</v>
      </c>
      <c r="J45">
        <v>40052.85</v>
      </c>
      <c r="K45">
        <v>439.23</v>
      </c>
      <c r="L45">
        <v>1888.04</v>
      </c>
      <c r="M45">
        <v>25749.05</v>
      </c>
      <c r="N45">
        <v>11976.53</v>
      </c>
      <c r="O45">
        <v>80</v>
      </c>
      <c r="P45">
        <v>32.46</v>
      </c>
      <c r="Q45">
        <v>1.99</v>
      </c>
      <c r="R45">
        <v>71.41</v>
      </c>
      <c r="S45">
        <v>21.35</v>
      </c>
      <c r="T45">
        <v>2.57</v>
      </c>
    </row>
    <row r="46" spans="1:20">
      <c r="A46" t="s">
        <v>409</v>
      </c>
      <c r="B46">
        <v>7</v>
      </c>
      <c r="C46">
        <v>1793</v>
      </c>
      <c r="D46">
        <v>3351</v>
      </c>
      <c r="E46">
        <v>56087.69</v>
      </c>
      <c r="F46">
        <v>1531.18</v>
      </c>
      <c r="G46">
        <v>338.26</v>
      </c>
      <c r="H46">
        <v>54218.25</v>
      </c>
      <c r="I46">
        <v>15497.55</v>
      </c>
      <c r="J46">
        <v>38720.7</v>
      </c>
      <c r="K46">
        <v>425.89</v>
      </c>
      <c r="L46">
        <v>1989.56</v>
      </c>
      <c r="M46">
        <v>25962.84</v>
      </c>
      <c r="N46">
        <v>10342.41</v>
      </c>
      <c r="O46">
        <v>66</v>
      </c>
      <c r="P46">
        <v>30.24</v>
      </c>
      <c r="Q46">
        <v>1.87</v>
      </c>
      <c r="R46">
        <v>71.42</v>
      </c>
      <c r="S46">
        <v>19.08</v>
      </c>
      <c r="T46">
        <v>2.73</v>
      </c>
    </row>
    <row r="47" spans="1:20">
      <c r="A47" t="s">
        <v>410</v>
      </c>
      <c r="B47">
        <v>7</v>
      </c>
      <c r="C47">
        <v>1718</v>
      </c>
      <c r="D47">
        <v>3286</v>
      </c>
      <c r="E47">
        <v>54795.4</v>
      </c>
      <c r="F47">
        <v>1406.02</v>
      </c>
      <c r="G47">
        <v>146.07</v>
      </c>
      <c r="H47">
        <v>53243.31</v>
      </c>
      <c r="I47">
        <v>15121.7</v>
      </c>
      <c r="J47">
        <v>38121.61</v>
      </c>
      <c r="K47">
        <v>413</v>
      </c>
      <c r="L47">
        <v>2100.9</v>
      </c>
      <c r="M47">
        <v>26071</v>
      </c>
      <c r="N47">
        <v>9536.709999999999</v>
      </c>
      <c r="O47">
        <v>58</v>
      </c>
      <c r="P47">
        <v>30.99</v>
      </c>
      <c r="Q47">
        <v>1.91</v>
      </c>
      <c r="R47">
        <v>71.59999999999999</v>
      </c>
      <c r="S47">
        <v>17.91</v>
      </c>
      <c r="T47">
        <v>2.57</v>
      </c>
    </row>
    <row r="48" spans="1:20">
      <c r="A48" t="s">
        <v>411</v>
      </c>
      <c r="B48">
        <v>7</v>
      </c>
      <c r="C48">
        <v>1690</v>
      </c>
      <c r="D48">
        <v>3339</v>
      </c>
      <c r="E48">
        <v>55805.25</v>
      </c>
      <c r="F48">
        <v>9033.530000000001</v>
      </c>
      <c r="G48">
        <v>228.33</v>
      </c>
      <c r="H48">
        <v>46543.39</v>
      </c>
      <c r="I48">
        <v>15466.75</v>
      </c>
      <c r="J48">
        <v>31076.64</v>
      </c>
      <c r="K48">
        <v>352.37</v>
      </c>
      <c r="L48">
        <v>1944.52</v>
      </c>
      <c r="M48">
        <v>32202.67</v>
      </c>
      <c r="N48">
        <v>-3422.92</v>
      </c>
      <c r="O48">
        <v>138</v>
      </c>
      <c r="P48">
        <v>27.54</v>
      </c>
      <c r="Q48">
        <v>1.98</v>
      </c>
      <c r="R48">
        <v>66.77</v>
      </c>
      <c r="S48">
        <v>-7.35</v>
      </c>
      <c r="T48">
        <v>16.19</v>
      </c>
    </row>
    <row r="49" spans="1:20">
      <c r="A49" t="s">
        <v>412</v>
      </c>
      <c r="B49">
        <v>7</v>
      </c>
      <c r="C49">
        <v>1749</v>
      </c>
      <c r="D49">
        <v>3347</v>
      </c>
      <c r="E49">
        <v>56450.18</v>
      </c>
      <c r="F49">
        <v>4925.95</v>
      </c>
      <c r="G49">
        <v>106.95</v>
      </c>
      <c r="H49">
        <v>51417.28</v>
      </c>
      <c r="I49">
        <v>15799.25</v>
      </c>
      <c r="J49">
        <v>35618.03</v>
      </c>
      <c r="K49">
        <v>393</v>
      </c>
      <c r="L49">
        <v>2194.5</v>
      </c>
      <c r="M49">
        <v>29179.08</v>
      </c>
      <c r="N49">
        <v>3851.45</v>
      </c>
      <c r="O49">
        <v>75</v>
      </c>
      <c r="P49">
        <v>29.4</v>
      </c>
      <c r="Q49">
        <v>1.91</v>
      </c>
      <c r="R49">
        <v>69.27</v>
      </c>
      <c r="S49">
        <v>7.49</v>
      </c>
      <c r="T49">
        <v>8.73</v>
      </c>
    </row>
    <row r="50" spans="1:20">
      <c r="A50" t="s">
        <v>413</v>
      </c>
      <c r="B50">
        <v>7</v>
      </c>
      <c r="C50">
        <v>1684</v>
      </c>
      <c r="D50">
        <v>3194</v>
      </c>
      <c r="E50">
        <v>53854.09</v>
      </c>
      <c r="F50">
        <v>1465.08</v>
      </c>
      <c r="G50">
        <v>120.87</v>
      </c>
      <c r="H50">
        <v>52268.14</v>
      </c>
      <c r="I50">
        <v>15151.1</v>
      </c>
      <c r="J50">
        <v>37117.04</v>
      </c>
      <c r="K50">
        <v>424.31</v>
      </c>
      <c r="L50">
        <v>1714.61</v>
      </c>
      <c r="M50">
        <v>25725.44</v>
      </c>
      <c r="N50">
        <v>9252.68</v>
      </c>
      <c r="O50">
        <v>55</v>
      </c>
      <c r="P50">
        <v>31.04</v>
      </c>
      <c r="Q50">
        <v>1.9</v>
      </c>
      <c r="R50">
        <v>71.01000000000001</v>
      </c>
      <c r="S50">
        <v>17.7</v>
      </c>
      <c r="T50">
        <v>2.72</v>
      </c>
    </row>
    <row r="51" spans="1:20">
      <c r="A51" t="s">
        <v>414</v>
      </c>
      <c r="B51">
        <v>7</v>
      </c>
      <c r="C51">
        <v>1801</v>
      </c>
      <c r="D51">
        <v>3401</v>
      </c>
      <c r="E51">
        <v>56780.04</v>
      </c>
      <c r="F51">
        <v>1582.8</v>
      </c>
      <c r="G51">
        <v>198.25</v>
      </c>
      <c r="H51">
        <v>54998.99</v>
      </c>
      <c r="I51">
        <v>16020.6</v>
      </c>
      <c r="J51">
        <v>38978.39</v>
      </c>
      <c r="K51">
        <v>435.72</v>
      </c>
      <c r="L51">
        <v>1815.07</v>
      </c>
      <c r="M51">
        <v>25552.48</v>
      </c>
      <c r="N51">
        <v>11175.12</v>
      </c>
      <c r="O51">
        <v>78</v>
      </c>
      <c r="P51">
        <v>30.54</v>
      </c>
      <c r="Q51">
        <v>1.89</v>
      </c>
      <c r="R51">
        <v>70.87</v>
      </c>
      <c r="S51">
        <v>20.32</v>
      </c>
      <c r="T51">
        <v>2.79</v>
      </c>
    </row>
    <row r="52" spans="1:20">
      <c r="A52" t="s">
        <v>415</v>
      </c>
      <c r="B52">
        <v>7</v>
      </c>
      <c r="C52">
        <v>1572</v>
      </c>
      <c r="D52">
        <v>2931</v>
      </c>
      <c r="E52">
        <v>49128.12</v>
      </c>
      <c r="F52">
        <v>1519.93</v>
      </c>
      <c r="G52">
        <v>67.83</v>
      </c>
      <c r="H52">
        <v>47540.36</v>
      </c>
      <c r="I52">
        <v>13955.85</v>
      </c>
      <c r="J52">
        <v>33584.51</v>
      </c>
      <c r="K52">
        <v>373.51</v>
      </c>
      <c r="L52">
        <v>1670.78</v>
      </c>
      <c r="M52">
        <v>25610.61</v>
      </c>
      <c r="N52">
        <v>5929.61</v>
      </c>
      <c r="O52">
        <v>68</v>
      </c>
      <c r="P52">
        <v>30.24</v>
      </c>
      <c r="Q52">
        <v>1.86</v>
      </c>
      <c r="R52">
        <v>70.64</v>
      </c>
      <c r="S52">
        <v>12.47</v>
      </c>
      <c r="T52">
        <v>3.09</v>
      </c>
    </row>
    <row r="53" spans="1:20">
      <c r="A53" t="s">
        <v>416</v>
      </c>
      <c r="B53">
        <v>7</v>
      </c>
      <c r="C53">
        <v>1715</v>
      </c>
      <c r="D53">
        <v>3286</v>
      </c>
      <c r="E53">
        <v>54734.88</v>
      </c>
      <c r="F53">
        <v>1778.16</v>
      </c>
      <c r="G53">
        <v>292.17</v>
      </c>
      <c r="H53">
        <v>52664.55</v>
      </c>
      <c r="I53">
        <v>15397.5</v>
      </c>
      <c r="J53">
        <v>37267.05</v>
      </c>
      <c r="K53">
        <v>406.41</v>
      </c>
      <c r="L53">
        <v>1814.96</v>
      </c>
      <c r="M53">
        <v>25787.67</v>
      </c>
      <c r="N53">
        <v>9258.01</v>
      </c>
      <c r="O53">
        <v>51</v>
      </c>
      <c r="P53">
        <v>30.71</v>
      </c>
      <c r="Q53">
        <v>1.92</v>
      </c>
      <c r="R53">
        <v>70.76000000000001</v>
      </c>
      <c r="S53">
        <v>17.58</v>
      </c>
      <c r="T53">
        <v>3.25</v>
      </c>
    </row>
    <row r="54" spans="1:20">
      <c r="A54" t="s">
        <v>417</v>
      </c>
      <c r="B54">
        <v>7</v>
      </c>
      <c r="C54">
        <v>1770</v>
      </c>
      <c r="D54">
        <v>3329</v>
      </c>
      <c r="E54">
        <v>56039.25</v>
      </c>
      <c r="F54">
        <v>1458.2</v>
      </c>
      <c r="G54">
        <v>75.65000000000001</v>
      </c>
      <c r="H54">
        <v>54505.4</v>
      </c>
      <c r="I54">
        <v>16284.04</v>
      </c>
      <c r="J54">
        <v>38221.36</v>
      </c>
      <c r="K54">
        <v>431.79</v>
      </c>
      <c r="L54">
        <v>1908.03</v>
      </c>
      <c r="M54">
        <v>26699.02</v>
      </c>
      <c r="N54">
        <v>9182.52</v>
      </c>
      <c r="O54">
        <v>75</v>
      </c>
      <c r="P54">
        <v>30.79</v>
      </c>
      <c r="Q54">
        <v>1.88</v>
      </c>
      <c r="R54">
        <v>70.12</v>
      </c>
      <c r="S54">
        <v>16.85</v>
      </c>
      <c r="T54">
        <v>2.6</v>
      </c>
    </row>
    <row r="55" spans="1:20">
      <c r="A55" t="s">
        <v>418</v>
      </c>
      <c r="B55">
        <v>7</v>
      </c>
      <c r="C55">
        <v>1653</v>
      </c>
      <c r="D55">
        <v>3263</v>
      </c>
      <c r="E55">
        <v>54975.07</v>
      </c>
      <c r="F55">
        <v>1482.01</v>
      </c>
      <c r="G55">
        <v>119.99</v>
      </c>
      <c r="H55">
        <v>53373.07</v>
      </c>
      <c r="I55">
        <v>16287.96</v>
      </c>
      <c r="J55">
        <v>37085.11</v>
      </c>
      <c r="K55">
        <v>410.3</v>
      </c>
      <c r="L55">
        <v>1883.86</v>
      </c>
      <c r="M55">
        <v>26920.97</v>
      </c>
      <c r="N55">
        <v>7869.98</v>
      </c>
      <c r="O55">
        <v>67</v>
      </c>
      <c r="P55">
        <v>32.29</v>
      </c>
      <c r="Q55">
        <v>1.97</v>
      </c>
      <c r="R55">
        <v>69.48</v>
      </c>
      <c r="S55">
        <v>14.75</v>
      </c>
      <c r="T55">
        <v>2.7</v>
      </c>
    </row>
    <row r="56" spans="1:20">
      <c r="A56" t="s">
        <v>419</v>
      </c>
      <c r="B56">
        <v>7</v>
      </c>
      <c r="C56">
        <v>1754</v>
      </c>
      <c r="D56">
        <v>3249</v>
      </c>
      <c r="E56">
        <v>54198.19</v>
      </c>
      <c r="F56">
        <v>1688.58</v>
      </c>
      <c r="G56">
        <v>239.99</v>
      </c>
      <c r="H56">
        <v>52269.62</v>
      </c>
      <c r="I56">
        <v>15625.39</v>
      </c>
      <c r="J56">
        <v>36644.23</v>
      </c>
      <c r="K56">
        <v>397.76</v>
      </c>
      <c r="L56">
        <v>1999.47</v>
      </c>
      <c r="M56">
        <v>26871.95</v>
      </c>
      <c r="N56">
        <v>7375.05</v>
      </c>
      <c r="O56">
        <v>77</v>
      </c>
      <c r="P56">
        <v>29.8</v>
      </c>
      <c r="Q56">
        <v>1.85</v>
      </c>
      <c r="R56">
        <v>70.11</v>
      </c>
      <c r="S56">
        <v>14.11</v>
      </c>
      <c r="T56">
        <v>3.12</v>
      </c>
    </row>
    <row r="57" spans="1:20">
      <c r="A57" t="s">
        <v>420</v>
      </c>
      <c r="B57">
        <v>7</v>
      </c>
      <c r="C57">
        <v>1657</v>
      </c>
      <c r="D57">
        <v>3208</v>
      </c>
      <c r="E57">
        <v>53533.09</v>
      </c>
      <c r="F57">
        <v>1703.35</v>
      </c>
      <c r="G57">
        <v>48.69</v>
      </c>
      <c r="H57">
        <v>51781.05</v>
      </c>
      <c r="I57">
        <v>15549.46</v>
      </c>
      <c r="J57">
        <v>36231.59</v>
      </c>
      <c r="K57">
        <v>406.36</v>
      </c>
      <c r="L57">
        <v>1956.56</v>
      </c>
      <c r="M57">
        <v>26838.68</v>
      </c>
      <c r="N57">
        <v>7029.99</v>
      </c>
      <c r="O57">
        <v>58</v>
      </c>
      <c r="P57">
        <v>31.25</v>
      </c>
      <c r="Q57">
        <v>1.94</v>
      </c>
      <c r="R57">
        <v>69.97</v>
      </c>
      <c r="S57">
        <v>13.58</v>
      </c>
      <c r="T57">
        <v>3.18</v>
      </c>
    </row>
    <row r="58" spans="1:20">
      <c r="A58" t="s">
        <v>421</v>
      </c>
      <c r="B58">
        <v>7</v>
      </c>
      <c r="C58">
        <v>1794</v>
      </c>
      <c r="D58">
        <v>3343</v>
      </c>
      <c r="E58">
        <v>55901.03</v>
      </c>
      <c r="F58">
        <v>1889.48</v>
      </c>
      <c r="G58">
        <v>91.31</v>
      </c>
      <c r="H58">
        <v>53920.24</v>
      </c>
      <c r="I58">
        <v>16220.57</v>
      </c>
      <c r="J58">
        <v>37699.67</v>
      </c>
      <c r="K58">
        <v>423.54</v>
      </c>
      <c r="L58">
        <v>1939.52</v>
      </c>
      <c r="M58">
        <v>27323.8</v>
      </c>
      <c r="N58">
        <v>8012.81</v>
      </c>
      <c r="O58">
        <v>68</v>
      </c>
      <c r="P58">
        <v>30.06</v>
      </c>
      <c r="Q58">
        <v>1.86</v>
      </c>
      <c r="R58">
        <v>69.92</v>
      </c>
      <c r="S58">
        <v>14.86</v>
      </c>
      <c r="T58">
        <v>3.38</v>
      </c>
    </row>
    <row r="59" spans="1:20">
      <c r="A59" t="s">
        <v>422</v>
      </c>
      <c r="B59">
        <v>7</v>
      </c>
      <c r="C59">
        <v>2199</v>
      </c>
      <c r="D59">
        <v>4200</v>
      </c>
      <c r="E59">
        <v>70634.57000000001</v>
      </c>
      <c r="F59">
        <v>1858.17</v>
      </c>
      <c r="G59">
        <v>166.08</v>
      </c>
      <c r="H59">
        <v>68610.32000000001</v>
      </c>
      <c r="I59">
        <v>20469.56</v>
      </c>
      <c r="J59">
        <v>48140.76</v>
      </c>
      <c r="K59">
        <v>556.52</v>
      </c>
      <c r="L59">
        <v>2317.3</v>
      </c>
      <c r="M59">
        <v>27921.79</v>
      </c>
      <c r="N59">
        <v>17345.15</v>
      </c>
      <c r="O59">
        <v>149</v>
      </c>
      <c r="P59">
        <v>31.2</v>
      </c>
      <c r="Q59">
        <v>1.91</v>
      </c>
      <c r="R59">
        <v>70.17</v>
      </c>
      <c r="S59">
        <v>25.28</v>
      </c>
      <c r="T59">
        <v>2.63</v>
      </c>
    </row>
    <row r="60" spans="1:20">
      <c r="A60" t="s">
        <v>423</v>
      </c>
      <c r="B60">
        <v>7</v>
      </c>
      <c r="C60">
        <v>1934</v>
      </c>
      <c r="D60">
        <v>3823</v>
      </c>
      <c r="E60">
        <v>63909.69</v>
      </c>
      <c r="F60">
        <v>2063.03</v>
      </c>
      <c r="G60">
        <v>214.77</v>
      </c>
      <c r="H60">
        <v>61631.89</v>
      </c>
      <c r="I60">
        <v>18590.42</v>
      </c>
      <c r="J60">
        <v>43041.47</v>
      </c>
      <c r="K60">
        <v>447.29</v>
      </c>
      <c r="L60">
        <v>2341.28</v>
      </c>
      <c r="M60">
        <v>27919.91</v>
      </c>
      <c r="N60">
        <v>12332.99</v>
      </c>
      <c r="O60">
        <v>93</v>
      </c>
      <c r="P60">
        <v>31.87</v>
      </c>
      <c r="Q60">
        <v>1.98</v>
      </c>
      <c r="R60">
        <v>69.84</v>
      </c>
      <c r="S60">
        <v>20.01</v>
      </c>
      <c r="T60">
        <v>3.23</v>
      </c>
    </row>
    <row r="61" spans="1:20">
      <c r="A61" t="s">
        <v>424</v>
      </c>
      <c r="B61">
        <v>7</v>
      </c>
      <c r="C61">
        <v>1703</v>
      </c>
      <c r="D61">
        <v>3197</v>
      </c>
      <c r="E61">
        <v>53306.15</v>
      </c>
      <c r="F61">
        <v>4727.62</v>
      </c>
      <c r="G61">
        <v>141.38</v>
      </c>
      <c r="H61">
        <v>48437.15</v>
      </c>
      <c r="I61">
        <v>15364.48</v>
      </c>
      <c r="J61">
        <v>33072.67</v>
      </c>
      <c r="K61">
        <v>370.33</v>
      </c>
      <c r="L61">
        <v>1802.23</v>
      </c>
      <c r="M61">
        <v>29421.51</v>
      </c>
      <c r="N61">
        <v>1478.6</v>
      </c>
      <c r="O61">
        <v>78</v>
      </c>
      <c r="P61">
        <v>28.44</v>
      </c>
      <c r="Q61">
        <v>1.88</v>
      </c>
      <c r="R61">
        <v>68.28</v>
      </c>
      <c r="S61">
        <v>3.05</v>
      </c>
      <c r="T61">
        <v>8.869999999999999</v>
      </c>
    </row>
    <row r="62" spans="1:20">
      <c r="A62" t="s">
        <v>425</v>
      </c>
      <c r="B62">
        <v>7</v>
      </c>
      <c r="C62">
        <v>1667</v>
      </c>
      <c r="D62">
        <v>3326</v>
      </c>
      <c r="E62">
        <v>56058.48</v>
      </c>
      <c r="F62">
        <v>1739.04</v>
      </c>
      <c r="G62">
        <v>115.66</v>
      </c>
      <c r="H62">
        <v>54203.78</v>
      </c>
      <c r="I62">
        <v>16000.62</v>
      </c>
      <c r="J62">
        <v>38203.16</v>
      </c>
      <c r="K62">
        <v>438.99</v>
      </c>
      <c r="L62">
        <v>1745.49</v>
      </c>
      <c r="M62">
        <v>27777.43</v>
      </c>
      <c r="N62">
        <v>8241.25</v>
      </c>
      <c r="O62">
        <v>59</v>
      </c>
      <c r="P62">
        <v>32.52</v>
      </c>
      <c r="Q62">
        <v>2</v>
      </c>
      <c r="R62">
        <v>70.48</v>
      </c>
      <c r="S62">
        <v>15.2</v>
      </c>
      <c r="T62">
        <v>3.1</v>
      </c>
    </row>
    <row r="63" spans="1:20">
      <c r="A63" t="s">
        <v>426</v>
      </c>
      <c r="B63">
        <v>7</v>
      </c>
      <c r="C63">
        <v>1805</v>
      </c>
      <c r="D63">
        <v>3449</v>
      </c>
      <c r="E63">
        <v>58678.58</v>
      </c>
      <c r="F63">
        <v>1939.81</v>
      </c>
      <c r="G63">
        <v>72.17</v>
      </c>
      <c r="H63">
        <v>56666.6</v>
      </c>
      <c r="I63">
        <v>16462.69</v>
      </c>
      <c r="J63">
        <v>40203.91</v>
      </c>
      <c r="K63">
        <v>445.33</v>
      </c>
      <c r="L63">
        <v>1975.21</v>
      </c>
      <c r="M63">
        <v>26841.65</v>
      </c>
      <c r="N63">
        <v>10941.72</v>
      </c>
      <c r="O63">
        <v>55</v>
      </c>
      <c r="P63">
        <v>31.39</v>
      </c>
      <c r="Q63">
        <v>1.91</v>
      </c>
      <c r="R63">
        <v>70.95</v>
      </c>
      <c r="S63">
        <v>19.31</v>
      </c>
      <c r="T63">
        <v>3.31</v>
      </c>
    </row>
    <row r="64" spans="1:20">
      <c r="A64" t="s">
        <v>427</v>
      </c>
      <c r="B64">
        <v>7</v>
      </c>
      <c r="C64">
        <v>1743</v>
      </c>
      <c r="D64">
        <v>3557</v>
      </c>
      <c r="E64">
        <v>66519.39999999999</v>
      </c>
      <c r="F64">
        <v>2336.95</v>
      </c>
      <c r="G64">
        <v>167.83</v>
      </c>
      <c r="H64">
        <v>64014.62</v>
      </c>
      <c r="I64">
        <v>18622.73</v>
      </c>
      <c r="J64">
        <v>45391.89</v>
      </c>
      <c r="K64">
        <v>494.33</v>
      </c>
      <c r="L64">
        <v>2761.53</v>
      </c>
      <c r="M64">
        <v>29882.97</v>
      </c>
      <c r="N64">
        <v>12253.06</v>
      </c>
      <c r="O64">
        <v>77</v>
      </c>
      <c r="P64">
        <v>36.73</v>
      </c>
      <c r="Q64">
        <v>2.04</v>
      </c>
      <c r="R64">
        <v>70.91</v>
      </c>
      <c r="S64">
        <v>19.14</v>
      </c>
      <c r="T64">
        <v>3.51</v>
      </c>
    </row>
    <row r="65" spans="1:20">
      <c r="A65" t="s">
        <v>428</v>
      </c>
      <c r="B65">
        <v>7</v>
      </c>
      <c r="C65">
        <v>1698</v>
      </c>
      <c r="D65">
        <v>3590</v>
      </c>
      <c r="E65">
        <v>68164.14</v>
      </c>
      <c r="F65">
        <v>2278.77</v>
      </c>
      <c r="G65">
        <v>259.22</v>
      </c>
      <c r="H65">
        <v>65626.14999999999</v>
      </c>
      <c r="I65">
        <v>19293.27</v>
      </c>
      <c r="J65">
        <v>46332.88</v>
      </c>
      <c r="K65">
        <v>472.23</v>
      </c>
      <c r="L65">
        <v>3296.66</v>
      </c>
      <c r="M65">
        <v>30464.07</v>
      </c>
      <c r="N65">
        <v>12099.92</v>
      </c>
      <c r="O65">
        <v>63</v>
      </c>
      <c r="P65">
        <v>38.65</v>
      </c>
      <c r="Q65">
        <v>2.11</v>
      </c>
      <c r="R65">
        <v>70.59999999999999</v>
      </c>
      <c r="S65">
        <v>18.44</v>
      </c>
      <c r="T65">
        <v>3.34</v>
      </c>
    </row>
    <row r="66" spans="1:20">
      <c r="A66" t="s">
        <v>429</v>
      </c>
      <c r="B66">
        <v>7</v>
      </c>
      <c r="C66">
        <v>1942</v>
      </c>
      <c r="D66">
        <v>4106</v>
      </c>
      <c r="E66">
        <v>76864.96000000001</v>
      </c>
      <c r="F66">
        <v>2631.84</v>
      </c>
      <c r="G66">
        <v>276</v>
      </c>
      <c r="H66">
        <v>73957.12</v>
      </c>
      <c r="I66">
        <v>21572.71</v>
      </c>
      <c r="J66">
        <v>52384.41</v>
      </c>
      <c r="K66">
        <v>530.3099999999999</v>
      </c>
      <c r="L66">
        <v>3996.55</v>
      </c>
      <c r="M66">
        <v>30389.76</v>
      </c>
      <c r="N66">
        <v>17467.79</v>
      </c>
      <c r="O66">
        <v>92</v>
      </c>
      <c r="P66">
        <v>38.08</v>
      </c>
      <c r="Q66">
        <v>2.11</v>
      </c>
      <c r="R66">
        <v>70.83</v>
      </c>
      <c r="S66">
        <v>23.62</v>
      </c>
      <c r="T66">
        <v>3.42</v>
      </c>
    </row>
    <row r="67" spans="1:20">
      <c r="A67" t="s">
        <v>430</v>
      </c>
      <c r="B67">
        <v>7</v>
      </c>
      <c r="C67">
        <v>1732</v>
      </c>
      <c r="D67">
        <v>3802</v>
      </c>
      <c r="E67">
        <v>73301.19</v>
      </c>
      <c r="F67">
        <v>2125.3</v>
      </c>
      <c r="G67">
        <v>197.37</v>
      </c>
      <c r="H67">
        <v>70978.52</v>
      </c>
      <c r="I67">
        <v>20911.56</v>
      </c>
      <c r="J67">
        <v>50066.96</v>
      </c>
      <c r="K67">
        <v>496.33</v>
      </c>
      <c r="L67">
        <v>4092.99</v>
      </c>
      <c r="M67">
        <v>31432.36</v>
      </c>
      <c r="N67">
        <v>14045.28</v>
      </c>
      <c r="O67">
        <v>75</v>
      </c>
      <c r="P67">
        <v>40.98</v>
      </c>
      <c r="Q67">
        <v>2.2</v>
      </c>
      <c r="R67">
        <v>70.54000000000001</v>
      </c>
      <c r="S67">
        <v>19.79</v>
      </c>
      <c r="T67">
        <v>2.9</v>
      </c>
    </row>
    <row r="68" spans="1:20">
      <c r="A68" t="s">
        <v>431</v>
      </c>
      <c r="B68">
        <v>7</v>
      </c>
      <c r="C68">
        <v>1644</v>
      </c>
      <c r="D68">
        <v>3725</v>
      </c>
      <c r="E68">
        <v>70714.85000000001</v>
      </c>
      <c r="F68">
        <v>2046.09</v>
      </c>
      <c r="G68">
        <v>200.87</v>
      </c>
      <c r="H68">
        <v>68467.89</v>
      </c>
      <c r="I68">
        <v>20525.18</v>
      </c>
      <c r="J68">
        <v>47942.71</v>
      </c>
      <c r="K68">
        <v>508.18</v>
      </c>
      <c r="L68">
        <v>3186.38</v>
      </c>
      <c r="M68">
        <v>29451.33</v>
      </c>
      <c r="N68">
        <v>14796.82</v>
      </c>
      <c r="O68">
        <v>79</v>
      </c>
      <c r="P68">
        <v>41.65</v>
      </c>
      <c r="Q68">
        <v>2.27</v>
      </c>
      <c r="R68">
        <v>70.02</v>
      </c>
      <c r="S68">
        <v>21.61</v>
      </c>
      <c r="T68">
        <v>2.89</v>
      </c>
    </row>
    <row r="69" spans="1:20">
      <c r="A69" t="s">
        <v>432</v>
      </c>
      <c r="B69">
        <v>7</v>
      </c>
      <c r="C69">
        <v>1530</v>
      </c>
      <c r="D69">
        <v>2946</v>
      </c>
      <c r="E69">
        <v>50565.98</v>
      </c>
      <c r="F69">
        <v>1416.46</v>
      </c>
      <c r="G69">
        <v>144.35</v>
      </c>
      <c r="H69">
        <v>49005.17</v>
      </c>
      <c r="I69">
        <v>14188.72</v>
      </c>
      <c r="J69">
        <v>34816.45</v>
      </c>
      <c r="K69">
        <v>367.02</v>
      </c>
      <c r="L69">
        <v>1937.36</v>
      </c>
      <c r="M69">
        <v>27728.1</v>
      </c>
      <c r="N69">
        <v>4783.97</v>
      </c>
      <c r="O69">
        <v>45</v>
      </c>
      <c r="P69">
        <v>32.03</v>
      </c>
      <c r="Q69">
        <v>1.93</v>
      </c>
      <c r="R69">
        <v>71.05</v>
      </c>
      <c r="S69">
        <v>9.76</v>
      </c>
      <c r="T69">
        <v>2.8</v>
      </c>
    </row>
    <row r="70" spans="1:20">
      <c r="A70" t="s">
        <v>433</v>
      </c>
      <c r="B70">
        <v>7</v>
      </c>
      <c r="C70">
        <v>1716</v>
      </c>
      <c r="D70">
        <v>3257</v>
      </c>
      <c r="E70">
        <v>56008.02</v>
      </c>
      <c r="F70">
        <v>1707.31</v>
      </c>
      <c r="G70">
        <v>154.77</v>
      </c>
      <c r="H70">
        <v>54145.94</v>
      </c>
      <c r="I70">
        <v>15585.17</v>
      </c>
      <c r="J70">
        <v>38560.77</v>
      </c>
      <c r="K70">
        <v>411.63</v>
      </c>
      <c r="L70">
        <v>2143.98</v>
      </c>
      <c r="M70">
        <v>27774.5</v>
      </c>
      <c r="N70">
        <v>8230.66</v>
      </c>
      <c r="O70">
        <v>78</v>
      </c>
      <c r="P70">
        <v>31.55</v>
      </c>
      <c r="Q70">
        <v>1.9</v>
      </c>
      <c r="R70">
        <v>71.22</v>
      </c>
      <c r="S70">
        <v>15.2</v>
      </c>
      <c r="T70">
        <v>3.05</v>
      </c>
    </row>
    <row r="71" spans="1:20">
      <c r="A71" t="s">
        <v>434</v>
      </c>
      <c r="B71">
        <v>7</v>
      </c>
      <c r="C71">
        <v>1435</v>
      </c>
      <c r="D71">
        <v>2737</v>
      </c>
      <c r="E71">
        <v>47090.13</v>
      </c>
      <c r="F71">
        <v>1466.87</v>
      </c>
      <c r="G71">
        <v>166.96</v>
      </c>
      <c r="H71">
        <v>45456.3</v>
      </c>
      <c r="I71">
        <v>13137.73</v>
      </c>
      <c r="J71">
        <v>32318.57</v>
      </c>
      <c r="K71">
        <v>329.41</v>
      </c>
      <c r="L71">
        <v>2248.5</v>
      </c>
      <c r="M71">
        <v>27595.15</v>
      </c>
      <c r="N71">
        <v>2145.51</v>
      </c>
      <c r="O71">
        <v>52</v>
      </c>
      <c r="P71">
        <v>31.68</v>
      </c>
      <c r="Q71">
        <v>1.91</v>
      </c>
      <c r="R71">
        <v>71.09999999999999</v>
      </c>
      <c r="S71">
        <v>4.72</v>
      </c>
      <c r="T71">
        <v>3.12</v>
      </c>
    </row>
    <row r="72" spans="1:20">
      <c r="A72" t="s">
        <v>435</v>
      </c>
      <c r="B72">
        <v>7</v>
      </c>
      <c r="C72">
        <v>1484</v>
      </c>
      <c r="D72">
        <v>2803</v>
      </c>
      <c r="E72">
        <v>48265.59</v>
      </c>
      <c r="F72">
        <v>1455.59</v>
      </c>
      <c r="G72">
        <v>100</v>
      </c>
      <c r="H72">
        <v>46710</v>
      </c>
      <c r="I72">
        <v>13433.89</v>
      </c>
      <c r="J72">
        <v>33276.11</v>
      </c>
      <c r="K72">
        <v>345.74</v>
      </c>
      <c r="L72">
        <v>2275.76</v>
      </c>
      <c r="M72">
        <v>27617.48</v>
      </c>
      <c r="N72">
        <v>3037.13</v>
      </c>
      <c r="O72">
        <v>54</v>
      </c>
      <c r="P72">
        <v>31.48</v>
      </c>
      <c r="Q72">
        <v>1.89</v>
      </c>
      <c r="R72">
        <v>71.23999999999999</v>
      </c>
      <c r="S72">
        <v>6.5</v>
      </c>
      <c r="T72">
        <v>3.02</v>
      </c>
    </row>
    <row r="73" spans="1:20">
      <c r="A73" t="s">
        <v>436</v>
      </c>
      <c r="B73">
        <v>7</v>
      </c>
      <c r="C73">
        <v>1475</v>
      </c>
      <c r="D73">
        <v>2799</v>
      </c>
      <c r="E73">
        <v>46986.86</v>
      </c>
      <c r="F73">
        <v>1731.19</v>
      </c>
      <c r="G73">
        <v>128.69</v>
      </c>
      <c r="H73">
        <v>45126.98</v>
      </c>
      <c r="I73">
        <v>13092.5</v>
      </c>
      <c r="J73">
        <v>32034.48</v>
      </c>
      <c r="K73">
        <v>333.84</v>
      </c>
      <c r="L73">
        <v>2212.2</v>
      </c>
      <c r="M73">
        <v>27796.87</v>
      </c>
      <c r="N73">
        <v>1691.57</v>
      </c>
      <c r="O73">
        <v>55</v>
      </c>
      <c r="P73">
        <v>30.59</v>
      </c>
      <c r="Q73">
        <v>1.9</v>
      </c>
      <c r="R73">
        <v>70.98999999999999</v>
      </c>
      <c r="S73">
        <v>3.75</v>
      </c>
      <c r="T73">
        <v>3.68</v>
      </c>
    </row>
    <row r="74" spans="1:20">
      <c r="A74" t="s">
        <v>437</v>
      </c>
      <c r="B74">
        <v>7</v>
      </c>
      <c r="C74">
        <v>1543</v>
      </c>
      <c r="D74">
        <v>2976</v>
      </c>
      <c r="E74">
        <v>50659.94</v>
      </c>
      <c r="F74">
        <v>1860.21</v>
      </c>
      <c r="G74">
        <v>114.78</v>
      </c>
      <c r="H74">
        <v>48684.95</v>
      </c>
      <c r="I74">
        <v>14202.64</v>
      </c>
      <c r="J74">
        <v>34482.31</v>
      </c>
      <c r="K74">
        <v>339.77</v>
      </c>
      <c r="L74">
        <v>2278.32</v>
      </c>
      <c r="M74">
        <v>27928.07</v>
      </c>
      <c r="N74">
        <v>3936.15</v>
      </c>
      <c r="O74">
        <v>62</v>
      </c>
      <c r="P74">
        <v>31.55</v>
      </c>
      <c r="Q74">
        <v>1.93</v>
      </c>
      <c r="R74">
        <v>70.83</v>
      </c>
      <c r="S74">
        <v>8.08</v>
      </c>
      <c r="T74">
        <v>3.67</v>
      </c>
    </row>
    <row r="75" spans="1:20">
      <c r="A75" t="s">
        <v>438</v>
      </c>
      <c r="B75">
        <v>7</v>
      </c>
      <c r="C75">
        <v>1480</v>
      </c>
      <c r="D75">
        <v>3059</v>
      </c>
      <c r="E75">
        <v>51595.51</v>
      </c>
      <c r="F75">
        <v>1664.7</v>
      </c>
      <c r="G75">
        <v>185.21</v>
      </c>
      <c r="H75">
        <v>49745.6</v>
      </c>
      <c r="I75">
        <v>14605.43</v>
      </c>
      <c r="J75">
        <v>35140.17</v>
      </c>
      <c r="K75">
        <v>359.29</v>
      </c>
      <c r="L75">
        <v>2284.34</v>
      </c>
      <c r="M75">
        <v>27904.73</v>
      </c>
      <c r="N75">
        <v>4591.81</v>
      </c>
      <c r="O75">
        <v>63</v>
      </c>
      <c r="P75">
        <v>33.61</v>
      </c>
      <c r="Q75">
        <v>2.07</v>
      </c>
      <c r="R75">
        <v>70.64</v>
      </c>
      <c r="S75">
        <v>9.23</v>
      </c>
      <c r="T75">
        <v>3.23</v>
      </c>
    </row>
    <row r="76" spans="1:20">
      <c r="A76" t="s">
        <v>439</v>
      </c>
      <c r="B76">
        <v>7</v>
      </c>
      <c r="C76">
        <v>1517</v>
      </c>
      <c r="D76">
        <v>3022</v>
      </c>
      <c r="E76">
        <v>51489.85</v>
      </c>
      <c r="F76">
        <v>1487.76</v>
      </c>
      <c r="G76">
        <v>96.52</v>
      </c>
      <c r="H76">
        <v>49905.57</v>
      </c>
      <c r="I76">
        <v>14769.19</v>
      </c>
      <c r="J76">
        <v>35136.38</v>
      </c>
      <c r="K76">
        <v>368.93</v>
      </c>
      <c r="L76">
        <v>2210.25</v>
      </c>
      <c r="M76">
        <v>28207.32</v>
      </c>
      <c r="N76">
        <v>4349.88</v>
      </c>
      <c r="O76">
        <v>52</v>
      </c>
      <c r="P76">
        <v>32.9</v>
      </c>
      <c r="Q76">
        <v>1.99</v>
      </c>
      <c r="R76">
        <v>70.41</v>
      </c>
      <c r="S76">
        <v>8.720000000000001</v>
      </c>
      <c r="T76">
        <v>2.89</v>
      </c>
    </row>
    <row r="77" spans="1:20">
      <c r="A77" t="s">
        <v>440</v>
      </c>
      <c r="B77">
        <v>7</v>
      </c>
      <c r="C77">
        <v>1427</v>
      </c>
      <c r="D77">
        <v>2660</v>
      </c>
      <c r="E77">
        <v>46992.51</v>
      </c>
      <c r="F77">
        <v>1239.06</v>
      </c>
      <c r="G77">
        <v>84.34999999999999</v>
      </c>
      <c r="H77">
        <v>45669.1</v>
      </c>
      <c r="I77">
        <v>13665.76</v>
      </c>
      <c r="J77">
        <v>32003.34</v>
      </c>
      <c r="K77">
        <v>335.47</v>
      </c>
      <c r="L77">
        <v>2025.83</v>
      </c>
      <c r="M77">
        <v>28446.04</v>
      </c>
      <c r="N77">
        <v>1196</v>
      </c>
      <c r="O77">
        <v>51</v>
      </c>
      <c r="P77">
        <v>32</v>
      </c>
      <c r="Q77">
        <v>1.86</v>
      </c>
      <c r="R77">
        <v>70.08</v>
      </c>
      <c r="S77">
        <v>2.62</v>
      </c>
      <c r="T77">
        <v>2.64</v>
      </c>
    </row>
    <row r="78" spans="1:20">
      <c r="A78" t="s">
        <v>441</v>
      </c>
      <c r="B78">
        <v>7</v>
      </c>
      <c r="C78">
        <v>1130</v>
      </c>
      <c r="D78">
        <v>2554</v>
      </c>
      <c r="E78">
        <v>45829.17</v>
      </c>
      <c r="F78">
        <v>1176.46</v>
      </c>
      <c r="G78">
        <v>82.59999999999999</v>
      </c>
      <c r="H78">
        <v>44570.11</v>
      </c>
      <c r="I78">
        <v>13530.67</v>
      </c>
      <c r="J78">
        <v>31039.44</v>
      </c>
      <c r="K78">
        <v>300.5</v>
      </c>
      <c r="L78">
        <v>2633.25</v>
      </c>
      <c r="M78">
        <v>28420.41</v>
      </c>
      <c r="N78">
        <v>-314.72</v>
      </c>
      <c r="O78">
        <v>58</v>
      </c>
      <c r="P78">
        <v>39.44</v>
      </c>
      <c r="Q78">
        <v>2.26</v>
      </c>
      <c r="R78">
        <v>69.64</v>
      </c>
      <c r="S78">
        <v>-0.71</v>
      </c>
      <c r="T78">
        <v>2.57</v>
      </c>
    </row>
    <row r="79" spans="1:20">
      <c r="A79" t="s">
        <v>442</v>
      </c>
      <c r="B79">
        <v>7</v>
      </c>
      <c r="C79">
        <v>1262</v>
      </c>
      <c r="D79">
        <v>2418</v>
      </c>
      <c r="E79">
        <v>42282.7</v>
      </c>
      <c r="F79">
        <v>1002.57</v>
      </c>
      <c r="G79">
        <v>117.39</v>
      </c>
      <c r="H79">
        <v>41162.74</v>
      </c>
      <c r="I79">
        <v>12019.2</v>
      </c>
      <c r="J79">
        <v>29143.54</v>
      </c>
      <c r="K79">
        <v>278.25</v>
      </c>
      <c r="L79">
        <v>2519.14</v>
      </c>
      <c r="M79">
        <v>28371.18</v>
      </c>
      <c r="N79">
        <v>-2025.03</v>
      </c>
      <c r="O79">
        <v>44</v>
      </c>
      <c r="P79">
        <v>32.62</v>
      </c>
      <c r="Q79">
        <v>1.92</v>
      </c>
      <c r="R79">
        <v>70.8</v>
      </c>
      <c r="S79">
        <v>-4.92</v>
      </c>
      <c r="T79">
        <v>2.37</v>
      </c>
    </row>
    <row r="80" spans="1:20">
      <c r="A80" t="s">
        <v>443</v>
      </c>
      <c r="B80">
        <v>7</v>
      </c>
      <c r="C80">
        <v>1439</v>
      </c>
      <c r="D80">
        <v>2888</v>
      </c>
      <c r="E80">
        <v>50136.61</v>
      </c>
      <c r="F80">
        <v>2127.16</v>
      </c>
      <c r="G80">
        <v>157.38</v>
      </c>
      <c r="H80">
        <v>47852.07</v>
      </c>
      <c r="I80">
        <v>14696.97</v>
      </c>
      <c r="J80">
        <v>33155.1</v>
      </c>
      <c r="K80">
        <v>312.84</v>
      </c>
      <c r="L80">
        <v>3021.02</v>
      </c>
      <c r="M80">
        <v>29163.71</v>
      </c>
      <c r="N80">
        <v>657.53</v>
      </c>
      <c r="O80">
        <v>86</v>
      </c>
      <c r="P80">
        <v>33.25</v>
      </c>
      <c r="Q80">
        <v>2.01</v>
      </c>
      <c r="R80">
        <v>69.29000000000001</v>
      </c>
      <c r="S80">
        <v>1.37</v>
      </c>
      <c r="T80">
        <v>4.24</v>
      </c>
    </row>
    <row r="81" spans="1:20">
      <c r="A81" t="s">
        <v>444</v>
      </c>
      <c r="B81">
        <v>7</v>
      </c>
      <c r="C81">
        <v>1308</v>
      </c>
      <c r="D81">
        <v>2616</v>
      </c>
      <c r="E81">
        <v>45036.74</v>
      </c>
      <c r="F81">
        <v>2224.74</v>
      </c>
      <c r="G81">
        <v>160.21</v>
      </c>
      <c r="H81">
        <v>42651.79</v>
      </c>
      <c r="I81">
        <v>13254.65</v>
      </c>
      <c r="J81">
        <v>29397.14</v>
      </c>
      <c r="K81">
        <v>297.9</v>
      </c>
      <c r="L81">
        <v>2528.75</v>
      </c>
      <c r="M81">
        <v>29279.08</v>
      </c>
      <c r="N81">
        <v>-2708.59</v>
      </c>
      <c r="O81">
        <v>51</v>
      </c>
      <c r="P81">
        <v>32.61</v>
      </c>
      <c r="Q81">
        <v>2</v>
      </c>
      <c r="R81">
        <v>68.92</v>
      </c>
      <c r="S81">
        <v>-6.35</v>
      </c>
      <c r="T81">
        <v>4.94</v>
      </c>
    </row>
    <row r="82" spans="1:20">
      <c r="A82" t="s">
        <v>445</v>
      </c>
      <c r="B82">
        <v>7</v>
      </c>
      <c r="C82">
        <v>1248</v>
      </c>
      <c r="D82">
        <v>2376</v>
      </c>
      <c r="E82">
        <v>41015.71</v>
      </c>
      <c r="F82">
        <v>1916.98</v>
      </c>
      <c r="G82">
        <v>77.39</v>
      </c>
      <c r="H82">
        <v>39021.34</v>
      </c>
      <c r="I82">
        <v>11961.95</v>
      </c>
      <c r="J82">
        <v>27059.39</v>
      </c>
      <c r="K82">
        <v>283.75</v>
      </c>
      <c r="L82">
        <v>2266.85</v>
      </c>
      <c r="M82">
        <v>29306.47</v>
      </c>
      <c r="N82">
        <v>-4797.68</v>
      </c>
      <c r="O82">
        <v>51</v>
      </c>
      <c r="P82">
        <v>31.27</v>
      </c>
      <c r="Q82">
        <v>1.9</v>
      </c>
      <c r="R82">
        <v>69.34999999999999</v>
      </c>
      <c r="S82">
        <v>-12.3</v>
      </c>
      <c r="T82">
        <v>4.67</v>
      </c>
    </row>
    <row r="83" spans="1:20">
      <c r="A83" t="s">
        <v>446</v>
      </c>
      <c r="B83">
        <v>7</v>
      </c>
      <c r="C83">
        <v>1317</v>
      </c>
      <c r="D83">
        <v>2660</v>
      </c>
      <c r="E83">
        <v>46122.68</v>
      </c>
      <c r="F83">
        <v>2433.51</v>
      </c>
      <c r="G83">
        <v>90.43000000000001</v>
      </c>
      <c r="H83">
        <v>43598.74</v>
      </c>
      <c r="I83">
        <v>13346.29</v>
      </c>
      <c r="J83">
        <v>30252.45</v>
      </c>
      <c r="K83">
        <v>301.95</v>
      </c>
      <c r="L83">
        <v>2626.1</v>
      </c>
      <c r="M83">
        <v>29167.61</v>
      </c>
      <c r="N83">
        <v>-1843.21</v>
      </c>
      <c r="O83">
        <v>54</v>
      </c>
      <c r="P83">
        <v>33.1</v>
      </c>
      <c r="Q83">
        <v>2.02</v>
      </c>
      <c r="R83">
        <v>69.39</v>
      </c>
      <c r="S83">
        <v>-4.23</v>
      </c>
      <c r="T83">
        <v>5.28</v>
      </c>
    </row>
    <row r="84" spans="1:20">
      <c r="A84" t="s">
        <v>447</v>
      </c>
      <c r="B84">
        <v>7</v>
      </c>
      <c r="C84">
        <v>1288</v>
      </c>
      <c r="D84">
        <v>2560</v>
      </c>
      <c r="E84">
        <v>44257.69</v>
      </c>
      <c r="F84">
        <v>2073.52</v>
      </c>
      <c r="G84">
        <v>159.12</v>
      </c>
      <c r="H84">
        <v>42025.05</v>
      </c>
      <c r="I84">
        <v>12930.78</v>
      </c>
      <c r="J84">
        <v>29094.27</v>
      </c>
      <c r="K84">
        <v>296.3</v>
      </c>
      <c r="L84">
        <v>2595.85</v>
      </c>
      <c r="M84">
        <v>29310.01</v>
      </c>
      <c r="N84">
        <v>-3107.89</v>
      </c>
      <c r="O84">
        <v>62</v>
      </c>
      <c r="P84">
        <v>32.63</v>
      </c>
      <c r="Q84">
        <v>1.99</v>
      </c>
      <c r="R84">
        <v>69.23</v>
      </c>
      <c r="S84">
        <v>-7.4</v>
      </c>
      <c r="T84">
        <v>4.69</v>
      </c>
    </row>
    <row r="85" spans="1:20">
      <c r="A85" t="s">
        <v>448</v>
      </c>
      <c r="B85">
        <v>7</v>
      </c>
      <c r="C85">
        <v>1176</v>
      </c>
      <c r="D85">
        <v>2291</v>
      </c>
      <c r="E85">
        <v>39823.71</v>
      </c>
      <c r="F85">
        <v>1927.57</v>
      </c>
      <c r="G85">
        <v>96.52</v>
      </c>
      <c r="H85">
        <v>37799.62</v>
      </c>
      <c r="I85">
        <v>11699.08</v>
      </c>
      <c r="J85">
        <v>26100.54</v>
      </c>
      <c r="K85">
        <v>254.96</v>
      </c>
      <c r="L85">
        <v>2334.48</v>
      </c>
      <c r="M85">
        <v>29203.22</v>
      </c>
      <c r="N85">
        <v>-5692.12</v>
      </c>
      <c r="O85">
        <v>46</v>
      </c>
      <c r="P85">
        <v>32.14</v>
      </c>
      <c r="Q85">
        <v>1.95</v>
      </c>
      <c r="R85">
        <v>69.05</v>
      </c>
      <c r="S85">
        <v>-15.06</v>
      </c>
      <c r="T85">
        <v>4.84</v>
      </c>
    </row>
    <row r="86" spans="1:20">
      <c r="A86" t="s">
        <v>449</v>
      </c>
      <c r="B86">
        <v>7</v>
      </c>
      <c r="C86">
        <v>1258</v>
      </c>
      <c r="D86">
        <v>2457</v>
      </c>
      <c r="E86">
        <v>42703.73</v>
      </c>
      <c r="F86">
        <v>2162.26</v>
      </c>
      <c r="G86">
        <v>125.21</v>
      </c>
      <c r="H86">
        <v>40416.26</v>
      </c>
      <c r="I86">
        <v>12520.78</v>
      </c>
      <c r="J86">
        <v>27895.48</v>
      </c>
      <c r="K86">
        <v>277.99</v>
      </c>
      <c r="L86">
        <v>2506.53</v>
      </c>
      <c r="M86">
        <v>29325.9</v>
      </c>
      <c r="N86">
        <v>-4214.94</v>
      </c>
      <c r="O86">
        <v>56</v>
      </c>
      <c r="P86">
        <v>32.13</v>
      </c>
      <c r="Q86">
        <v>1.95</v>
      </c>
      <c r="R86">
        <v>69.02</v>
      </c>
      <c r="S86">
        <v>-10.43</v>
      </c>
      <c r="T86">
        <v>5.06</v>
      </c>
    </row>
    <row r="87" spans="1:20">
      <c r="A87" t="s">
        <v>450</v>
      </c>
      <c r="B87">
        <v>7</v>
      </c>
      <c r="C87">
        <v>1566</v>
      </c>
      <c r="D87">
        <v>3002</v>
      </c>
      <c r="E87">
        <v>51794.86</v>
      </c>
      <c r="F87">
        <v>3183.65</v>
      </c>
      <c r="G87">
        <v>173.92</v>
      </c>
      <c r="H87">
        <v>48437.29</v>
      </c>
      <c r="I87">
        <v>15123.4</v>
      </c>
      <c r="J87">
        <v>33313.89</v>
      </c>
      <c r="K87">
        <v>351.56</v>
      </c>
      <c r="L87">
        <v>2529.39</v>
      </c>
      <c r="M87">
        <v>31337.49</v>
      </c>
      <c r="N87">
        <v>-904.55</v>
      </c>
      <c r="O87">
        <v>120</v>
      </c>
      <c r="P87">
        <v>30.93</v>
      </c>
      <c r="Q87">
        <v>1.92</v>
      </c>
      <c r="R87">
        <v>68.78</v>
      </c>
      <c r="S87">
        <v>-1.87</v>
      </c>
      <c r="T87">
        <v>6.15</v>
      </c>
    </row>
    <row r="88" spans="1:20">
      <c r="A88" t="s">
        <v>451</v>
      </c>
      <c r="B88">
        <v>7</v>
      </c>
      <c r="C88">
        <v>1657</v>
      </c>
      <c r="D88">
        <v>3245</v>
      </c>
      <c r="E88">
        <v>56108.86</v>
      </c>
      <c r="F88">
        <v>3810.86</v>
      </c>
      <c r="G88">
        <v>129.56</v>
      </c>
      <c r="H88">
        <v>52168.44</v>
      </c>
      <c r="I88">
        <v>16474.21</v>
      </c>
      <c r="J88">
        <v>35694.23</v>
      </c>
      <c r="K88">
        <v>374.05</v>
      </c>
      <c r="L88">
        <v>2717.49</v>
      </c>
      <c r="M88">
        <v>31213.92</v>
      </c>
      <c r="N88">
        <v>1388.77</v>
      </c>
      <c r="O88">
        <v>109</v>
      </c>
      <c r="P88">
        <v>31.48</v>
      </c>
      <c r="Q88">
        <v>1.96</v>
      </c>
      <c r="R88">
        <v>68.42</v>
      </c>
      <c r="S88">
        <v>2.66</v>
      </c>
      <c r="T88">
        <v>6.79</v>
      </c>
    </row>
    <row r="89" spans="1:20">
      <c r="A89" t="s">
        <v>452</v>
      </c>
      <c r="B89">
        <v>7</v>
      </c>
      <c r="C89">
        <v>1634</v>
      </c>
      <c r="D89">
        <v>3139</v>
      </c>
      <c r="E89">
        <v>52955.16</v>
      </c>
      <c r="F89">
        <v>1620.78</v>
      </c>
      <c r="G89">
        <v>142.59</v>
      </c>
      <c r="H89">
        <v>51191.79</v>
      </c>
      <c r="I89">
        <v>14818.48</v>
      </c>
      <c r="J89">
        <v>36373.31</v>
      </c>
      <c r="K89">
        <v>380.03</v>
      </c>
      <c r="L89">
        <v>2461.81</v>
      </c>
      <c r="M89">
        <v>28319.42</v>
      </c>
      <c r="N89">
        <v>5212.05</v>
      </c>
      <c r="O89">
        <v>60</v>
      </c>
      <c r="P89">
        <v>31.33</v>
      </c>
      <c r="Q89">
        <v>1.92</v>
      </c>
      <c r="R89">
        <v>71.05</v>
      </c>
      <c r="S89">
        <v>10.18</v>
      </c>
      <c r="T89">
        <v>3.06</v>
      </c>
    </row>
    <row r="90" spans="1:20">
      <c r="A90" t="s">
        <v>453</v>
      </c>
      <c r="B90">
        <v>7</v>
      </c>
      <c r="C90">
        <v>1650</v>
      </c>
      <c r="D90">
        <v>3237</v>
      </c>
      <c r="E90">
        <v>55060.85</v>
      </c>
      <c r="F90">
        <v>1823.83</v>
      </c>
      <c r="G90">
        <v>85.22</v>
      </c>
      <c r="H90">
        <v>53151.8</v>
      </c>
      <c r="I90">
        <v>15921.81</v>
      </c>
      <c r="J90">
        <v>37229.99</v>
      </c>
      <c r="K90">
        <v>388.92</v>
      </c>
      <c r="L90">
        <v>2521.45</v>
      </c>
      <c r="M90">
        <v>28416.64</v>
      </c>
      <c r="N90">
        <v>5902.98</v>
      </c>
      <c r="O90">
        <v>79</v>
      </c>
      <c r="P90">
        <v>32.21</v>
      </c>
      <c r="Q90">
        <v>1.96</v>
      </c>
      <c r="R90">
        <v>70.04000000000001</v>
      </c>
      <c r="S90">
        <v>11.11</v>
      </c>
      <c r="T90">
        <v>3.31</v>
      </c>
    </row>
    <row r="91" spans="1:20">
      <c r="A91" t="s">
        <v>454</v>
      </c>
      <c r="B91">
        <v>7</v>
      </c>
      <c r="C91">
        <v>1731</v>
      </c>
      <c r="D91">
        <v>3267</v>
      </c>
      <c r="E91">
        <v>56329.55</v>
      </c>
      <c r="F91">
        <v>2969.28</v>
      </c>
      <c r="G91">
        <v>90.95999999999999</v>
      </c>
      <c r="H91">
        <v>53269.31</v>
      </c>
      <c r="I91">
        <v>16194.12</v>
      </c>
      <c r="J91">
        <v>37075.19</v>
      </c>
      <c r="K91">
        <v>408.25</v>
      </c>
      <c r="L91">
        <v>2188.47</v>
      </c>
      <c r="M91">
        <v>29459.6</v>
      </c>
      <c r="N91">
        <v>5018.87</v>
      </c>
      <c r="O91">
        <v>77</v>
      </c>
      <c r="P91">
        <v>30.77</v>
      </c>
      <c r="Q91">
        <v>1.89</v>
      </c>
      <c r="R91">
        <v>69.59999999999999</v>
      </c>
      <c r="S91">
        <v>9.42</v>
      </c>
      <c r="T91">
        <v>5.27</v>
      </c>
    </row>
    <row r="92" spans="1:20">
      <c r="A92" t="s">
        <v>455</v>
      </c>
      <c r="B92">
        <v>7</v>
      </c>
      <c r="C92">
        <v>1760</v>
      </c>
      <c r="D92">
        <v>3768</v>
      </c>
      <c r="E92">
        <v>65478.98</v>
      </c>
      <c r="F92">
        <v>6222.56</v>
      </c>
      <c r="G92">
        <v>193.23</v>
      </c>
      <c r="H92">
        <v>59063.19</v>
      </c>
      <c r="I92">
        <v>19060.99</v>
      </c>
      <c r="J92">
        <v>40002.2</v>
      </c>
      <c r="K92">
        <v>433.09</v>
      </c>
      <c r="L92">
        <v>2482.59</v>
      </c>
      <c r="M92">
        <v>31614.58</v>
      </c>
      <c r="N92">
        <v>5471.94</v>
      </c>
      <c r="O92">
        <v>81</v>
      </c>
      <c r="P92">
        <v>33.56</v>
      </c>
      <c r="Q92">
        <v>2.14</v>
      </c>
      <c r="R92">
        <v>67.73</v>
      </c>
      <c r="S92">
        <v>9.26</v>
      </c>
      <c r="T92">
        <v>9.5</v>
      </c>
    </row>
    <row r="93" spans="1:20">
      <c r="A93" t="s">
        <v>456</v>
      </c>
      <c r="B93">
        <v>7</v>
      </c>
      <c r="C93">
        <v>1672</v>
      </c>
      <c r="D93">
        <v>3238</v>
      </c>
      <c r="E93">
        <v>56212.07</v>
      </c>
      <c r="F93">
        <v>1627.71</v>
      </c>
      <c r="G93">
        <v>163.48</v>
      </c>
      <c r="H93">
        <v>54420.88</v>
      </c>
      <c r="I93">
        <v>16247.14</v>
      </c>
      <c r="J93">
        <v>38173.74</v>
      </c>
      <c r="K93">
        <v>406.16</v>
      </c>
      <c r="L93">
        <v>2511.89</v>
      </c>
      <c r="M93">
        <v>27692.53</v>
      </c>
      <c r="N93">
        <v>7563.16</v>
      </c>
      <c r="O93">
        <v>61</v>
      </c>
      <c r="P93">
        <v>32.55</v>
      </c>
      <c r="Q93">
        <v>1.94</v>
      </c>
      <c r="R93">
        <v>70.15000000000001</v>
      </c>
      <c r="S93">
        <v>13.9</v>
      </c>
      <c r="T93">
        <v>2.9</v>
      </c>
    </row>
    <row r="94" spans="1:20">
      <c r="A94" t="s">
        <v>457</v>
      </c>
      <c r="B94">
        <v>7</v>
      </c>
      <c r="C94">
        <v>1574</v>
      </c>
      <c r="D94">
        <v>3024</v>
      </c>
      <c r="E94">
        <v>52730.26</v>
      </c>
      <c r="F94">
        <v>1947.19</v>
      </c>
      <c r="G94">
        <v>210.43</v>
      </c>
      <c r="H94">
        <v>50572.64</v>
      </c>
      <c r="I94">
        <v>15108.6</v>
      </c>
      <c r="J94">
        <v>35464.04</v>
      </c>
      <c r="K94">
        <v>363.7</v>
      </c>
      <c r="L94">
        <v>2524.54</v>
      </c>
      <c r="M94">
        <v>27494.1</v>
      </c>
      <c r="N94">
        <v>5081.7</v>
      </c>
      <c r="O94">
        <v>66</v>
      </c>
      <c r="P94">
        <v>32.13</v>
      </c>
      <c r="Q94">
        <v>1.92</v>
      </c>
      <c r="R94">
        <v>70.12</v>
      </c>
      <c r="S94">
        <v>10.05</v>
      </c>
      <c r="T94">
        <v>3.69</v>
      </c>
    </row>
    <row r="95" spans="1:20">
      <c r="A95" t="s">
        <v>458</v>
      </c>
      <c r="B95">
        <v>7</v>
      </c>
      <c r="C95">
        <v>1796</v>
      </c>
      <c r="D95">
        <v>3230</v>
      </c>
      <c r="E95">
        <v>55961.41</v>
      </c>
      <c r="F95">
        <v>1918.17</v>
      </c>
      <c r="G95">
        <v>120</v>
      </c>
      <c r="H95">
        <v>53923.24</v>
      </c>
      <c r="I95">
        <v>16009.92</v>
      </c>
      <c r="J95">
        <v>37913.32</v>
      </c>
      <c r="K95">
        <v>409.41</v>
      </c>
      <c r="L95">
        <v>2241.3</v>
      </c>
      <c r="M95">
        <v>28589.66</v>
      </c>
      <c r="N95">
        <v>6672.95</v>
      </c>
      <c r="O95">
        <v>78</v>
      </c>
      <c r="P95">
        <v>30.02</v>
      </c>
      <c r="Q95">
        <v>1.8</v>
      </c>
      <c r="R95">
        <v>70.31</v>
      </c>
      <c r="S95">
        <v>12.37</v>
      </c>
      <c r="T95">
        <v>3.43</v>
      </c>
    </row>
    <row r="96" spans="1:20">
      <c r="A96" t="s">
        <v>459</v>
      </c>
      <c r="B96">
        <v>7</v>
      </c>
      <c r="C96">
        <v>1711</v>
      </c>
      <c r="D96">
        <v>3235</v>
      </c>
      <c r="E96">
        <v>56039.85</v>
      </c>
      <c r="F96">
        <v>1698.18</v>
      </c>
      <c r="G96">
        <v>213.91</v>
      </c>
      <c r="H96">
        <v>54127.76</v>
      </c>
      <c r="I96">
        <v>16179.31</v>
      </c>
      <c r="J96">
        <v>37948.45</v>
      </c>
      <c r="K96">
        <v>423.04</v>
      </c>
      <c r="L96">
        <v>2138.17</v>
      </c>
      <c r="M96">
        <v>27001.9</v>
      </c>
      <c r="N96">
        <v>8385.34</v>
      </c>
      <c r="O96">
        <v>54</v>
      </c>
      <c r="P96">
        <v>31.64</v>
      </c>
      <c r="Q96">
        <v>1.89</v>
      </c>
      <c r="R96">
        <v>70.11</v>
      </c>
      <c r="S96">
        <v>15.49</v>
      </c>
      <c r="T96">
        <v>3.03</v>
      </c>
    </row>
    <row r="97" spans="1:20">
      <c r="A97" t="s">
        <v>460</v>
      </c>
      <c r="B97">
        <v>7</v>
      </c>
      <c r="C97">
        <v>1847</v>
      </c>
      <c r="D97">
        <v>3640</v>
      </c>
      <c r="E97">
        <v>62630.94</v>
      </c>
      <c r="F97">
        <v>1770.35</v>
      </c>
      <c r="G97">
        <v>150.43</v>
      </c>
      <c r="H97">
        <v>60710.16</v>
      </c>
      <c r="I97">
        <v>17998.95</v>
      </c>
      <c r="J97">
        <v>42711.21</v>
      </c>
      <c r="K97">
        <v>497.65</v>
      </c>
      <c r="L97">
        <v>2137.15</v>
      </c>
      <c r="M97">
        <v>27098.79</v>
      </c>
      <c r="N97">
        <v>12977.62</v>
      </c>
      <c r="O97">
        <v>73</v>
      </c>
      <c r="P97">
        <v>32.87</v>
      </c>
      <c r="Q97">
        <v>1.97</v>
      </c>
      <c r="R97">
        <v>70.34999999999999</v>
      </c>
      <c r="S97">
        <v>21.38</v>
      </c>
      <c r="T97">
        <v>2.83</v>
      </c>
    </row>
    <row r="98" spans="1:20">
      <c r="A98" t="s">
        <v>461</v>
      </c>
      <c r="B98">
        <v>7</v>
      </c>
      <c r="C98">
        <v>1932</v>
      </c>
      <c r="D98">
        <v>3738</v>
      </c>
      <c r="E98">
        <v>64739.53</v>
      </c>
      <c r="F98">
        <v>2345.47</v>
      </c>
      <c r="G98">
        <v>75.66</v>
      </c>
      <c r="H98">
        <v>62318.4</v>
      </c>
      <c r="I98">
        <v>18604.35</v>
      </c>
      <c r="J98">
        <v>43714.05</v>
      </c>
      <c r="K98">
        <v>483.56</v>
      </c>
      <c r="L98">
        <v>2332.13</v>
      </c>
      <c r="M98">
        <v>27486.87</v>
      </c>
      <c r="N98">
        <v>13411.49</v>
      </c>
      <c r="O98">
        <v>68</v>
      </c>
      <c r="P98">
        <v>32.26</v>
      </c>
      <c r="Q98">
        <v>1.93</v>
      </c>
      <c r="R98">
        <v>70.15000000000001</v>
      </c>
      <c r="S98">
        <v>21.52</v>
      </c>
      <c r="T98">
        <v>3.62</v>
      </c>
    </row>
    <row r="99" spans="1:20">
      <c r="A99" t="s">
        <v>462</v>
      </c>
      <c r="B99">
        <v>7</v>
      </c>
      <c r="C99">
        <v>1842</v>
      </c>
      <c r="D99">
        <v>3516</v>
      </c>
      <c r="E99">
        <v>60811.68</v>
      </c>
      <c r="F99">
        <v>1785.09</v>
      </c>
      <c r="G99">
        <v>106.95</v>
      </c>
      <c r="H99">
        <v>58919.64</v>
      </c>
      <c r="I99">
        <v>17665.67</v>
      </c>
      <c r="J99">
        <v>41253.97</v>
      </c>
      <c r="K99">
        <v>472.15</v>
      </c>
      <c r="L99">
        <v>2226.37</v>
      </c>
      <c r="M99">
        <v>27343.02</v>
      </c>
      <c r="N99">
        <v>11212.43</v>
      </c>
      <c r="O99">
        <v>74</v>
      </c>
      <c r="P99">
        <v>31.99</v>
      </c>
      <c r="Q99">
        <v>1.91</v>
      </c>
      <c r="R99">
        <v>70.02</v>
      </c>
      <c r="S99">
        <v>19.03</v>
      </c>
      <c r="T99">
        <v>2.94</v>
      </c>
    </row>
    <row r="100" spans="1:20">
      <c r="A100" t="s">
        <v>463</v>
      </c>
      <c r="B100">
        <v>7</v>
      </c>
      <c r="C100">
        <v>1680</v>
      </c>
      <c r="D100">
        <v>3460</v>
      </c>
      <c r="E100">
        <v>59007.37</v>
      </c>
      <c r="F100">
        <v>2400.76</v>
      </c>
      <c r="G100">
        <v>157.4</v>
      </c>
      <c r="H100">
        <v>56449.21</v>
      </c>
      <c r="I100">
        <v>17003.35</v>
      </c>
      <c r="J100">
        <v>39445.86</v>
      </c>
      <c r="K100">
        <v>423.68</v>
      </c>
      <c r="L100">
        <v>2144.64</v>
      </c>
      <c r="M100">
        <v>27432.2</v>
      </c>
      <c r="N100">
        <v>9445.34</v>
      </c>
      <c r="O100">
        <v>74</v>
      </c>
      <c r="P100">
        <v>33.6</v>
      </c>
      <c r="Q100">
        <v>2.06</v>
      </c>
      <c r="R100">
        <v>69.88</v>
      </c>
      <c r="S100">
        <v>16.73</v>
      </c>
      <c r="T100">
        <v>4.07</v>
      </c>
    </row>
    <row r="101" spans="1:20">
      <c r="A101" t="s">
        <v>464</v>
      </c>
      <c r="B101">
        <v>7</v>
      </c>
      <c r="C101">
        <v>2244</v>
      </c>
      <c r="D101">
        <v>4642</v>
      </c>
      <c r="E101">
        <v>80784.02</v>
      </c>
      <c r="F101">
        <v>13726.74</v>
      </c>
      <c r="G101">
        <v>202.08</v>
      </c>
      <c r="H101">
        <v>66855.2</v>
      </c>
      <c r="I101">
        <v>23452.81</v>
      </c>
      <c r="J101">
        <v>43402.39</v>
      </c>
      <c r="K101">
        <v>512.86</v>
      </c>
      <c r="L101">
        <v>2475.65</v>
      </c>
      <c r="M101">
        <v>33543.23</v>
      </c>
      <c r="N101">
        <v>6870.65</v>
      </c>
      <c r="O101">
        <v>188</v>
      </c>
      <c r="P101">
        <v>29.79</v>
      </c>
      <c r="Q101">
        <v>2.07</v>
      </c>
      <c r="R101">
        <v>64.92</v>
      </c>
      <c r="S101">
        <v>10.28</v>
      </c>
      <c r="T101">
        <v>16.99</v>
      </c>
    </row>
    <row r="102" spans="1:20">
      <c r="A102" t="s">
        <v>465</v>
      </c>
      <c r="B102">
        <v>7</v>
      </c>
      <c r="C102">
        <v>2142</v>
      </c>
      <c r="D102">
        <v>4062</v>
      </c>
      <c r="E102">
        <v>70377.69</v>
      </c>
      <c r="F102">
        <v>6373.42</v>
      </c>
      <c r="G102">
        <v>239.64</v>
      </c>
      <c r="H102">
        <v>63764.63</v>
      </c>
      <c r="I102">
        <v>20356.49</v>
      </c>
      <c r="J102">
        <v>43408.14</v>
      </c>
      <c r="K102">
        <v>521.4400000000001</v>
      </c>
      <c r="L102">
        <v>2318.02</v>
      </c>
      <c r="M102">
        <v>29996.59</v>
      </c>
      <c r="N102">
        <v>10572.09</v>
      </c>
      <c r="O102">
        <v>135</v>
      </c>
      <c r="P102">
        <v>29.77</v>
      </c>
      <c r="Q102">
        <v>1.9</v>
      </c>
      <c r="R102">
        <v>68.08</v>
      </c>
      <c r="S102">
        <v>16.58</v>
      </c>
      <c r="T102">
        <v>9.06</v>
      </c>
    </row>
    <row r="103" spans="1:20">
      <c r="A103" t="s">
        <v>466</v>
      </c>
      <c r="B103">
        <v>7</v>
      </c>
      <c r="C103">
        <v>2057</v>
      </c>
      <c r="D103">
        <v>3899</v>
      </c>
      <c r="E103">
        <v>67051.7</v>
      </c>
      <c r="F103">
        <v>2414.1</v>
      </c>
      <c r="G103">
        <v>281.73</v>
      </c>
      <c r="H103">
        <v>64355.87</v>
      </c>
      <c r="I103">
        <v>19561.58</v>
      </c>
      <c r="J103">
        <v>44794.29</v>
      </c>
      <c r="K103">
        <v>521.49</v>
      </c>
      <c r="L103">
        <v>2129.78</v>
      </c>
      <c r="M103">
        <v>26929.41</v>
      </c>
      <c r="N103">
        <v>15213.61</v>
      </c>
      <c r="O103">
        <v>81</v>
      </c>
      <c r="P103">
        <v>31.29</v>
      </c>
      <c r="Q103">
        <v>1.9</v>
      </c>
      <c r="R103">
        <v>69.59999999999999</v>
      </c>
      <c r="S103">
        <v>23.64</v>
      </c>
      <c r="T103">
        <v>3.6</v>
      </c>
    </row>
    <row r="104" spans="1:20">
      <c r="A104" t="s">
        <v>467</v>
      </c>
      <c r="B104">
        <v>7</v>
      </c>
      <c r="C104">
        <v>2041</v>
      </c>
      <c r="D104">
        <v>3813</v>
      </c>
      <c r="E104">
        <v>66081.62</v>
      </c>
      <c r="F104">
        <v>1982.23</v>
      </c>
      <c r="G104">
        <v>224.34</v>
      </c>
      <c r="H104">
        <v>63875.05</v>
      </c>
      <c r="I104">
        <v>19241.7</v>
      </c>
      <c r="J104">
        <v>44633.35</v>
      </c>
      <c r="K104">
        <v>482.94</v>
      </c>
      <c r="L104">
        <v>2513.08</v>
      </c>
      <c r="M104">
        <v>26923.1</v>
      </c>
      <c r="N104">
        <v>14714.23</v>
      </c>
      <c r="O104">
        <v>90</v>
      </c>
      <c r="P104">
        <v>31.3</v>
      </c>
      <c r="Q104">
        <v>1.87</v>
      </c>
      <c r="R104">
        <v>69.88</v>
      </c>
      <c r="S104">
        <v>23.04</v>
      </c>
      <c r="T104">
        <v>3</v>
      </c>
    </row>
    <row r="105" spans="1:20">
      <c r="A105" t="s">
        <v>468</v>
      </c>
      <c r="B105">
        <v>7</v>
      </c>
      <c r="C105">
        <v>1977</v>
      </c>
      <c r="D105">
        <v>3842</v>
      </c>
      <c r="E105">
        <v>66072.8</v>
      </c>
      <c r="F105">
        <v>2272.08</v>
      </c>
      <c r="G105">
        <v>108.7</v>
      </c>
      <c r="H105">
        <v>63692.02</v>
      </c>
      <c r="I105">
        <v>19175.06</v>
      </c>
      <c r="J105">
        <v>44516.96</v>
      </c>
      <c r="K105">
        <v>500.64</v>
      </c>
      <c r="L105">
        <v>2355.57</v>
      </c>
      <c r="M105">
        <v>26870.75</v>
      </c>
      <c r="N105">
        <v>14790</v>
      </c>
      <c r="O105">
        <v>63</v>
      </c>
      <c r="P105">
        <v>32.22</v>
      </c>
      <c r="Q105">
        <v>1.94</v>
      </c>
      <c r="R105">
        <v>69.89</v>
      </c>
      <c r="S105">
        <v>23.22</v>
      </c>
      <c r="T105">
        <v>3.44</v>
      </c>
    </row>
    <row r="106" spans="1:20">
      <c r="A106" t="s">
        <v>469</v>
      </c>
      <c r="B106">
        <v>7</v>
      </c>
      <c r="C106">
        <v>1872</v>
      </c>
      <c r="D106">
        <v>3500</v>
      </c>
      <c r="E106">
        <v>60364.33</v>
      </c>
      <c r="F106">
        <v>2178.12</v>
      </c>
      <c r="G106">
        <v>206.08</v>
      </c>
      <c r="H106">
        <v>57980.13</v>
      </c>
      <c r="I106">
        <v>17536.6</v>
      </c>
      <c r="J106">
        <v>40443.53</v>
      </c>
      <c r="K106">
        <v>461.65</v>
      </c>
      <c r="L106">
        <v>2019.76</v>
      </c>
      <c r="M106">
        <v>27869.5</v>
      </c>
      <c r="N106">
        <v>10092.62</v>
      </c>
      <c r="O106">
        <v>85</v>
      </c>
      <c r="P106">
        <v>30.97</v>
      </c>
      <c r="Q106">
        <v>1.87</v>
      </c>
      <c r="R106">
        <v>69.75</v>
      </c>
      <c r="S106">
        <v>17.41</v>
      </c>
      <c r="T106">
        <v>3.61</v>
      </c>
    </row>
    <row r="107" spans="1:20">
      <c r="A107" t="s">
        <v>470</v>
      </c>
      <c r="B107">
        <v>7</v>
      </c>
      <c r="C107">
        <v>1925</v>
      </c>
      <c r="D107">
        <v>3788</v>
      </c>
      <c r="E107">
        <v>65291.97</v>
      </c>
      <c r="F107">
        <v>2822.11</v>
      </c>
      <c r="G107">
        <v>211.03</v>
      </c>
      <c r="H107">
        <v>62258.83</v>
      </c>
      <c r="I107">
        <v>19086.03</v>
      </c>
      <c r="J107">
        <v>43172.8</v>
      </c>
      <c r="K107">
        <v>488.29</v>
      </c>
      <c r="L107">
        <v>2038.53</v>
      </c>
      <c r="M107">
        <v>28871.2</v>
      </c>
      <c r="N107">
        <v>11774.78</v>
      </c>
      <c r="O107">
        <v>80</v>
      </c>
      <c r="P107">
        <v>32.34</v>
      </c>
      <c r="Q107">
        <v>1.97</v>
      </c>
      <c r="R107">
        <v>69.34</v>
      </c>
      <c r="S107">
        <v>18.91</v>
      </c>
      <c r="T107">
        <v>4.32</v>
      </c>
    </row>
    <row r="108" spans="1:20">
      <c r="A108" t="s">
        <v>471</v>
      </c>
      <c r="B108">
        <v>7</v>
      </c>
      <c r="C108">
        <v>1718</v>
      </c>
      <c r="D108">
        <v>3251</v>
      </c>
      <c r="E108">
        <v>55413.11</v>
      </c>
      <c r="F108">
        <v>2422.55</v>
      </c>
      <c r="G108">
        <v>118.51</v>
      </c>
      <c r="H108">
        <v>52872.05</v>
      </c>
      <c r="I108">
        <v>15941.55</v>
      </c>
      <c r="J108">
        <v>36930.5</v>
      </c>
      <c r="K108">
        <v>432.13</v>
      </c>
      <c r="L108">
        <v>1614.54</v>
      </c>
      <c r="M108">
        <v>28782.62</v>
      </c>
      <c r="N108">
        <v>6101.21</v>
      </c>
      <c r="O108">
        <v>86</v>
      </c>
      <c r="P108">
        <v>30.78</v>
      </c>
      <c r="Q108">
        <v>1.89</v>
      </c>
      <c r="R108">
        <v>69.84999999999999</v>
      </c>
      <c r="S108">
        <v>11.54</v>
      </c>
      <c r="T108">
        <v>4.37</v>
      </c>
    </row>
    <row r="109" spans="1:20">
      <c r="A109" t="s">
        <v>472</v>
      </c>
      <c r="B109">
        <v>7</v>
      </c>
      <c r="C109">
        <v>1816</v>
      </c>
      <c r="D109">
        <v>3457</v>
      </c>
      <c r="E109">
        <v>59760.05</v>
      </c>
      <c r="F109">
        <v>3223.64</v>
      </c>
      <c r="G109">
        <v>90.91</v>
      </c>
      <c r="H109">
        <v>56445.5</v>
      </c>
      <c r="I109">
        <v>17666.26</v>
      </c>
      <c r="J109">
        <v>38779.24</v>
      </c>
      <c r="K109">
        <v>432.59</v>
      </c>
      <c r="L109">
        <v>1906.21</v>
      </c>
      <c r="M109">
        <v>28765.22</v>
      </c>
      <c r="N109">
        <v>7675.22</v>
      </c>
      <c r="O109">
        <v>60</v>
      </c>
      <c r="P109">
        <v>31.08</v>
      </c>
      <c r="Q109">
        <v>1.9</v>
      </c>
      <c r="R109">
        <v>68.7</v>
      </c>
      <c r="S109">
        <v>13.6</v>
      </c>
      <c r="T109">
        <v>5.39</v>
      </c>
    </row>
    <row r="110" spans="1:20">
      <c r="A110" t="s">
        <v>473</v>
      </c>
      <c r="B110">
        <v>7</v>
      </c>
      <c r="C110">
        <v>1788</v>
      </c>
      <c r="D110">
        <v>3475</v>
      </c>
      <c r="E110">
        <v>59532.13</v>
      </c>
      <c r="F110">
        <v>2959.3</v>
      </c>
      <c r="G110">
        <v>192.16</v>
      </c>
      <c r="H110">
        <v>56380.67</v>
      </c>
      <c r="I110">
        <v>17427.84</v>
      </c>
      <c r="J110">
        <v>38952.83</v>
      </c>
      <c r="K110">
        <v>442.85</v>
      </c>
      <c r="L110">
        <v>1831.88</v>
      </c>
      <c r="M110">
        <v>28950.01</v>
      </c>
      <c r="N110">
        <v>7728.09</v>
      </c>
      <c r="O110">
        <v>82</v>
      </c>
      <c r="P110">
        <v>31.53</v>
      </c>
      <c r="Q110">
        <v>1.94</v>
      </c>
      <c r="R110">
        <v>69.09</v>
      </c>
      <c r="S110">
        <v>13.71</v>
      </c>
      <c r="T110">
        <v>4.97</v>
      </c>
    </row>
    <row r="111" spans="1:20">
      <c r="A111" t="s">
        <v>474</v>
      </c>
      <c r="B111">
        <v>7</v>
      </c>
      <c r="C111">
        <v>1894</v>
      </c>
      <c r="D111">
        <v>3616</v>
      </c>
      <c r="E111">
        <v>62427.99</v>
      </c>
      <c r="F111">
        <v>2900.54</v>
      </c>
      <c r="G111">
        <v>64.81999999999999</v>
      </c>
      <c r="H111">
        <v>59462.63</v>
      </c>
      <c r="I111">
        <v>18413.5</v>
      </c>
      <c r="J111">
        <v>41049.13</v>
      </c>
      <c r="K111">
        <v>479.96</v>
      </c>
      <c r="L111">
        <v>1836.2</v>
      </c>
      <c r="M111">
        <v>30643.55</v>
      </c>
      <c r="N111">
        <v>8089.42</v>
      </c>
      <c r="O111">
        <v>77</v>
      </c>
      <c r="P111">
        <v>31.4</v>
      </c>
      <c r="Q111">
        <v>1.91</v>
      </c>
      <c r="R111">
        <v>69.03</v>
      </c>
      <c r="S111">
        <v>13.6</v>
      </c>
      <c r="T111">
        <v>4.65</v>
      </c>
    </row>
    <row r="112" spans="1:20">
      <c r="A112" t="s">
        <v>475</v>
      </c>
      <c r="B112">
        <v>7</v>
      </c>
      <c r="C112">
        <v>1952</v>
      </c>
      <c r="D112">
        <v>3807</v>
      </c>
      <c r="E112">
        <v>65452.37</v>
      </c>
      <c r="F112">
        <v>3122.64</v>
      </c>
      <c r="G112">
        <v>75.12</v>
      </c>
      <c r="H112">
        <v>62254.61</v>
      </c>
      <c r="I112">
        <v>19211.95</v>
      </c>
      <c r="J112">
        <v>43042.66</v>
      </c>
      <c r="K112">
        <v>472.06</v>
      </c>
      <c r="L112">
        <v>2289.91</v>
      </c>
      <c r="M112">
        <v>30509.91</v>
      </c>
      <c r="N112">
        <v>9770.780000000001</v>
      </c>
      <c r="O112">
        <v>79</v>
      </c>
      <c r="P112">
        <v>31.89</v>
      </c>
      <c r="Q112">
        <v>1.95</v>
      </c>
      <c r="R112">
        <v>69.14</v>
      </c>
      <c r="S112">
        <v>15.69</v>
      </c>
      <c r="T112">
        <v>4.77</v>
      </c>
    </row>
    <row r="113" spans="1:20">
      <c r="A113" t="s">
        <v>476</v>
      </c>
      <c r="B113">
        <v>7</v>
      </c>
      <c r="C113">
        <v>1952</v>
      </c>
      <c r="D113">
        <v>3932</v>
      </c>
      <c r="E113">
        <v>67834.95</v>
      </c>
      <c r="F113">
        <v>6237.47</v>
      </c>
      <c r="G113">
        <v>90.17</v>
      </c>
      <c r="H113">
        <v>61507.31</v>
      </c>
      <c r="I113">
        <v>19847.36</v>
      </c>
      <c r="J113">
        <v>41659.95</v>
      </c>
      <c r="K113">
        <v>477.01</v>
      </c>
      <c r="L113">
        <v>1804.9</v>
      </c>
      <c r="M113">
        <v>31509.23</v>
      </c>
      <c r="N113">
        <v>7868.81</v>
      </c>
      <c r="O113">
        <v>97</v>
      </c>
      <c r="P113">
        <v>31.51</v>
      </c>
      <c r="Q113">
        <v>2.01</v>
      </c>
      <c r="R113">
        <v>67.73</v>
      </c>
      <c r="S113">
        <v>12.79</v>
      </c>
      <c r="T113">
        <v>9.199999999999999</v>
      </c>
    </row>
    <row r="114" spans="1:20">
      <c r="A114" t="s">
        <v>477</v>
      </c>
      <c r="B114">
        <v>7</v>
      </c>
      <c r="C114">
        <v>1971</v>
      </c>
      <c r="D114">
        <v>4099</v>
      </c>
      <c r="E114">
        <v>72513.03</v>
      </c>
      <c r="F114">
        <v>4681.68</v>
      </c>
      <c r="G114">
        <v>50.65</v>
      </c>
      <c r="H114">
        <v>67780.7</v>
      </c>
      <c r="I114">
        <v>21219.02</v>
      </c>
      <c r="J114">
        <v>46561.68</v>
      </c>
      <c r="K114">
        <v>536.72</v>
      </c>
      <c r="L114">
        <v>2238.2</v>
      </c>
      <c r="M114">
        <v>31358.07</v>
      </c>
      <c r="N114">
        <v>12428.69</v>
      </c>
      <c r="O114">
        <v>87</v>
      </c>
      <c r="P114">
        <v>34.39</v>
      </c>
      <c r="Q114">
        <v>2.08</v>
      </c>
      <c r="R114">
        <v>68.69</v>
      </c>
      <c r="S114">
        <v>18.34</v>
      </c>
      <c r="T114">
        <v>6.46</v>
      </c>
    </row>
    <row r="115" spans="1:20">
      <c r="A115" t="s">
        <v>478</v>
      </c>
      <c r="B115">
        <v>7</v>
      </c>
      <c r="C115">
        <v>1847</v>
      </c>
      <c r="D115">
        <v>3972</v>
      </c>
      <c r="E115">
        <v>76756.55</v>
      </c>
      <c r="F115">
        <v>2547.12</v>
      </c>
      <c r="G115">
        <v>168.96</v>
      </c>
      <c r="H115">
        <v>74040.47</v>
      </c>
      <c r="I115">
        <v>22502.18</v>
      </c>
      <c r="J115">
        <v>51538.29</v>
      </c>
      <c r="K115">
        <v>542.12</v>
      </c>
      <c r="L115">
        <v>3656.64</v>
      </c>
      <c r="M115">
        <v>32278.25</v>
      </c>
      <c r="N115">
        <v>15061.28</v>
      </c>
      <c r="O115">
        <v>77</v>
      </c>
      <c r="P115">
        <v>40.09</v>
      </c>
      <c r="Q115">
        <v>2.15</v>
      </c>
      <c r="R115">
        <v>69.61</v>
      </c>
      <c r="S115">
        <v>20.34</v>
      </c>
      <c r="T115">
        <v>3.32</v>
      </c>
    </row>
    <row r="116" spans="1:20">
      <c r="A116" t="s">
        <v>479</v>
      </c>
      <c r="B116">
        <v>7</v>
      </c>
      <c r="C116">
        <v>1799</v>
      </c>
      <c r="D116">
        <v>3815</v>
      </c>
      <c r="E116">
        <v>72017.38</v>
      </c>
      <c r="F116">
        <v>2709.54</v>
      </c>
      <c r="G116">
        <v>263.91</v>
      </c>
      <c r="H116">
        <v>69043.92999999999</v>
      </c>
      <c r="I116">
        <v>20993</v>
      </c>
      <c r="J116">
        <v>48050.93</v>
      </c>
      <c r="K116">
        <v>511.43</v>
      </c>
      <c r="L116">
        <v>3234.08</v>
      </c>
      <c r="M116">
        <v>32309.29</v>
      </c>
      <c r="N116">
        <v>11996.13</v>
      </c>
      <c r="O116">
        <v>87</v>
      </c>
      <c r="P116">
        <v>38.38</v>
      </c>
      <c r="Q116">
        <v>2.12</v>
      </c>
      <c r="R116">
        <v>69.59</v>
      </c>
      <c r="S116">
        <v>17.37</v>
      </c>
      <c r="T116">
        <v>3.76</v>
      </c>
    </row>
    <row r="117" spans="1:20">
      <c r="A117" t="s">
        <v>480</v>
      </c>
      <c r="B117">
        <v>7</v>
      </c>
      <c r="C117">
        <v>1807</v>
      </c>
      <c r="D117">
        <v>3941</v>
      </c>
      <c r="E117">
        <v>74475.71000000001</v>
      </c>
      <c r="F117">
        <v>2529.13</v>
      </c>
      <c r="G117">
        <v>136.53</v>
      </c>
      <c r="H117">
        <v>71810.05</v>
      </c>
      <c r="I117">
        <v>21578.04</v>
      </c>
      <c r="J117">
        <v>50232.01</v>
      </c>
      <c r="K117">
        <v>511.06</v>
      </c>
      <c r="L117">
        <v>3526.48</v>
      </c>
      <c r="M117">
        <v>32267.09</v>
      </c>
      <c r="N117">
        <v>13927.38</v>
      </c>
      <c r="O117">
        <v>90</v>
      </c>
      <c r="P117">
        <v>39.74</v>
      </c>
      <c r="Q117">
        <v>2.18</v>
      </c>
      <c r="R117">
        <v>69.95</v>
      </c>
      <c r="S117">
        <v>19.39</v>
      </c>
      <c r="T117">
        <v>3.4</v>
      </c>
    </row>
    <row r="118" spans="1:20">
      <c r="A118" t="s">
        <v>481</v>
      </c>
      <c r="B118">
        <v>7</v>
      </c>
      <c r="C118">
        <v>1765</v>
      </c>
      <c r="D118">
        <v>3918</v>
      </c>
      <c r="E118">
        <v>76734.09</v>
      </c>
      <c r="F118">
        <v>2868.55</v>
      </c>
      <c r="G118">
        <v>211.29</v>
      </c>
      <c r="H118">
        <v>73654.25</v>
      </c>
      <c r="I118">
        <v>22981.09</v>
      </c>
      <c r="J118">
        <v>50673.16</v>
      </c>
      <c r="K118">
        <v>534.05</v>
      </c>
      <c r="L118">
        <v>3766.46</v>
      </c>
      <c r="M118">
        <v>32405.8</v>
      </c>
      <c r="N118">
        <v>13966.85</v>
      </c>
      <c r="O118">
        <v>87</v>
      </c>
      <c r="P118">
        <v>41.73</v>
      </c>
      <c r="Q118">
        <v>2.22</v>
      </c>
      <c r="R118">
        <v>68.8</v>
      </c>
      <c r="S118">
        <v>18.96</v>
      </c>
      <c r="T118">
        <v>3.74</v>
      </c>
    </row>
    <row r="119" spans="1:20">
      <c r="A119" t="s">
        <v>482</v>
      </c>
      <c r="B119">
        <v>7</v>
      </c>
      <c r="C119">
        <v>1671</v>
      </c>
      <c r="D119">
        <v>3875</v>
      </c>
      <c r="E119">
        <v>72554.78</v>
      </c>
      <c r="F119">
        <v>2012.11</v>
      </c>
      <c r="G119">
        <v>225.22</v>
      </c>
      <c r="H119">
        <v>70317.45</v>
      </c>
      <c r="I119">
        <v>21841.92</v>
      </c>
      <c r="J119">
        <v>48475.53</v>
      </c>
      <c r="K119">
        <v>558.75</v>
      </c>
      <c r="L119">
        <v>2778.66</v>
      </c>
      <c r="M119">
        <v>29415.78</v>
      </c>
      <c r="N119">
        <v>15722.34</v>
      </c>
      <c r="O119">
        <v>78</v>
      </c>
      <c r="P119">
        <v>42.08</v>
      </c>
      <c r="Q119">
        <v>2.32</v>
      </c>
      <c r="R119">
        <v>68.94</v>
      </c>
      <c r="S119">
        <v>22.36</v>
      </c>
      <c r="T119">
        <v>2.77</v>
      </c>
    </row>
    <row r="120" spans="1:20">
      <c r="A120" t="s">
        <v>483</v>
      </c>
      <c r="B120">
        <v>7</v>
      </c>
      <c r="C120">
        <v>1864</v>
      </c>
      <c r="D120">
        <v>3595</v>
      </c>
      <c r="E120">
        <v>62639.87</v>
      </c>
      <c r="F120">
        <v>2041.61</v>
      </c>
      <c r="G120">
        <v>299.13</v>
      </c>
      <c r="H120">
        <v>60299.13</v>
      </c>
      <c r="I120">
        <v>18210.43</v>
      </c>
      <c r="J120">
        <v>42088.7</v>
      </c>
      <c r="K120">
        <v>477.24</v>
      </c>
      <c r="L120">
        <v>2092.3</v>
      </c>
      <c r="M120">
        <v>29437.52</v>
      </c>
      <c r="N120">
        <v>10081.64</v>
      </c>
      <c r="O120">
        <v>79</v>
      </c>
      <c r="P120">
        <v>32.35</v>
      </c>
      <c r="Q120">
        <v>1.93</v>
      </c>
      <c r="R120">
        <v>69.8</v>
      </c>
      <c r="S120">
        <v>16.72</v>
      </c>
      <c r="T120">
        <v>3.26</v>
      </c>
    </row>
    <row r="121" spans="1:20">
      <c r="A121" t="s">
        <v>484</v>
      </c>
      <c r="B121">
        <v>7</v>
      </c>
      <c r="C121">
        <v>1707</v>
      </c>
      <c r="D121">
        <v>3220</v>
      </c>
      <c r="E121">
        <v>56138.37</v>
      </c>
      <c r="F121">
        <v>2113.73</v>
      </c>
      <c r="G121">
        <v>134.78</v>
      </c>
      <c r="H121">
        <v>53889.86</v>
      </c>
      <c r="I121">
        <v>16196.37</v>
      </c>
      <c r="J121">
        <v>37693.49</v>
      </c>
      <c r="K121">
        <v>426.97</v>
      </c>
      <c r="L121">
        <v>1700.51</v>
      </c>
      <c r="M121">
        <v>29426.75</v>
      </c>
      <c r="N121">
        <v>6139.26</v>
      </c>
      <c r="O121">
        <v>63</v>
      </c>
      <c r="P121">
        <v>31.57</v>
      </c>
      <c r="Q121">
        <v>1.89</v>
      </c>
      <c r="R121">
        <v>69.95</v>
      </c>
      <c r="S121">
        <v>11.39</v>
      </c>
      <c r="T121">
        <v>3.77</v>
      </c>
    </row>
    <row r="122" spans="1:20">
      <c r="A122" t="s">
        <v>485</v>
      </c>
      <c r="B122">
        <v>7</v>
      </c>
      <c r="C122">
        <v>1824</v>
      </c>
      <c r="D122">
        <v>3490</v>
      </c>
      <c r="E122">
        <v>61252.11</v>
      </c>
      <c r="F122">
        <v>2447.02</v>
      </c>
      <c r="G122">
        <v>180.88</v>
      </c>
      <c r="H122">
        <v>58624.21</v>
      </c>
      <c r="I122">
        <v>17913.2</v>
      </c>
      <c r="J122">
        <v>40711.01</v>
      </c>
      <c r="K122">
        <v>445.39</v>
      </c>
      <c r="L122">
        <v>2259.59</v>
      </c>
      <c r="M122">
        <v>29562.9</v>
      </c>
      <c r="N122">
        <v>8443.129999999999</v>
      </c>
      <c r="O122">
        <v>72</v>
      </c>
      <c r="P122">
        <v>32.14</v>
      </c>
      <c r="Q122">
        <v>1.91</v>
      </c>
      <c r="R122">
        <v>69.44</v>
      </c>
      <c r="S122">
        <v>14.4</v>
      </c>
      <c r="T122">
        <v>3.99</v>
      </c>
    </row>
    <row r="123" spans="1:20">
      <c r="A123" t="s">
        <v>486</v>
      </c>
      <c r="B123">
        <v>7</v>
      </c>
      <c r="C123">
        <v>1877</v>
      </c>
      <c r="D123">
        <v>3581</v>
      </c>
      <c r="E123">
        <v>62818.89</v>
      </c>
      <c r="F123">
        <v>2057.28</v>
      </c>
      <c r="G123">
        <v>193.9</v>
      </c>
      <c r="H123">
        <v>60567.71</v>
      </c>
      <c r="I123">
        <v>18781.17</v>
      </c>
      <c r="J123">
        <v>41786.54</v>
      </c>
      <c r="K123">
        <v>473.05</v>
      </c>
      <c r="L123">
        <v>2367.99</v>
      </c>
      <c r="M123">
        <v>29387.08</v>
      </c>
      <c r="N123">
        <v>9558.42</v>
      </c>
      <c r="O123">
        <v>77</v>
      </c>
      <c r="P123">
        <v>32.27</v>
      </c>
      <c r="Q123">
        <v>1.91</v>
      </c>
      <c r="R123">
        <v>68.98999999999999</v>
      </c>
      <c r="S123">
        <v>15.78</v>
      </c>
      <c r="T123">
        <v>3.27</v>
      </c>
    </row>
    <row r="124" spans="1:20">
      <c r="A124" t="s">
        <v>487</v>
      </c>
      <c r="B124">
        <v>7</v>
      </c>
      <c r="C124">
        <v>1770</v>
      </c>
      <c r="D124">
        <v>3499</v>
      </c>
      <c r="E124">
        <v>60538.29</v>
      </c>
      <c r="F124">
        <v>2003.87</v>
      </c>
      <c r="G124">
        <v>244.36</v>
      </c>
      <c r="H124">
        <v>58290.06</v>
      </c>
      <c r="I124">
        <v>18407.68</v>
      </c>
      <c r="J124">
        <v>39882.38</v>
      </c>
      <c r="K124">
        <v>424.03</v>
      </c>
      <c r="L124">
        <v>2677.78</v>
      </c>
      <c r="M124">
        <v>29461.67</v>
      </c>
      <c r="N124">
        <v>7318.9</v>
      </c>
      <c r="O124">
        <v>82</v>
      </c>
      <c r="P124">
        <v>32.93</v>
      </c>
      <c r="Q124">
        <v>1.98</v>
      </c>
      <c r="R124">
        <v>68.42</v>
      </c>
      <c r="S124">
        <v>12.56</v>
      </c>
      <c r="T124">
        <v>3.31</v>
      </c>
    </row>
    <row r="125" spans="1:20">
      <c r="A125" t="s">
        <v>488</v>
      </c>
      <c r="B125">
        <v>7</v>
      </c>
      <c r="C125">
        <v>1749</v>
      </c>
      <c r="D125">
        <v>3282</v>
      </c>
      <c r="E125">
        <v>57160.9</v>
      </c>
      <c r="F125">
        <v>1775.64</v>
      </c>
      <c r="G125">
        <v>174.77</v>
      </c>
      <c r="H125">
        <v>55210.49</v>
      </c>
      <c r="I125">
        <v>17176.96</v>
      </c>
      <c r="J125">
        <v>38033.53</v>
      </c>
      <c r="K125">
        <v>395.6</v>
      </c>
      <c r="L125">
        <v>2705.43</v>
      </c>
      <c r="M125">
        <v>29265.88</v>
      </c>
      <c r="N125">
        <v>5666.62</v>
      </c>
      <c r="O125">
        <v>77</v>
      </c>
      <c r="P125">
        <v>31.57</v>
      </c>
      <c r="Q125">
        <v>1.88</v>
      </c>
      <c r="R125">
        <v>68.89</v>
      </c>
      <c r="S125">
        <v>10.26</v>
      </c>
      <c r="T125">
        <v>3.11</v>
      </c>
    </row>
    <row r="126" spans="1:20">
      <c r="A126" t="s">
        <v>489</v>
      </c>
      <c r="B126">
        <v>7</v>
      </c>
      <c r="C126">
        <v>1757</v>
      </c>
      <c r="D126">
        <v>3371</v>
      </c>
      <c r="E126">
        <v>58426.67</v>
      </c>
      <c r="F126">
        <v>2021.08</v>
      </c>
      <c r="G126">
        <v>87.81999999999999</v>
      </c>
      <c r="H126">
        <v>56317.77</v>
      </c>
      <c r="I126">
        <v>17611.72</v>
      </c>
      <c r="J126">
        <v>38706.05</v>
      </c>
      <c r="K126">
        <v>427.86</v>
      </c>
      <c r="L126">
        <v>2056.12</v>
      </c>
      <c r="M126">
        <v>31675.41</v>
      </c>
      <c r="N126">
        <v>4546.66</v>
      </c>
      <c r="O126">
        <v>81</v>
      </c>
      <c r="P126">
        <v>32.05</v>
      </c>
      <c r="Q126">
        <v>1.92</v>
      </c>
      <c r="R126">
        <v>68.73</v>
      </c>
      <c r="S126">
        <v>8.07</v>
      </c>
      <c r="T126">
        <v>3.46</v>
      </c>
    </row>
    <row r="127" spans="1:20">
      <c r="A127" t="s">
        <v>490</v>
      </c>
      <c r="B127">
        <v>7</v>
      </c>
      <c r="C127">
        <v>1792</v>
      </c>
      <c r="D127">
        <v>3587</v>
      </c>
      <c r="E127">
        <v>62237.22</v>
      </c>
      <c r="F127">
        <v>2174.67</v>
      </c>
      <c r="G127">
        <v>158.26</v>
      </c>
      <c r="H127">
        <v>59904.29</v>
      </c>
      <c r="I127">
        <v>18754.88</v>
      </c>
      <c r="J127">
        <v>41149.41</v>
      </c>
      <c r="K127">
        <v>439.93</v>
      </c>
      <c r="L127">
        <v>2594.52</v>
      </c>
      <c r="M127">
        <v>29071.65</v>
      </c>
      <c r="N127">
        <v>9043.309999999999</v>
      </c>
      <c r="O127">
        <v>66</v>
      </c>
      <c r="P127">
        <v>33.43</v>
      </c>
      <c r="Q127">
        <v>2</v>
      </c>
      <c r="R127">
        <v>68.69</v>
      </c>
      <c r="S127">
        <v>15.1</v>
      </c>
      <c r="T127">
        <v>3.49</v>
      </c>
    </row>
    <row r="128" spans="1:20">
      <c r="A128" t="s">
        <v>491</v>
      </c>
      <c r="B128">
        <v>7</v>
      </c>
      <c r="C128">
        <v>1469</v>
      </c>
      <c r="D128">
        <v>2973</v>
      </c>
      <c r="E128">
        <v>54051.68</v>
      </c>
      <c r="F128">
        <v>1798.11</v>
      </c>
      <c r="G128">
        <v>133.03</v>
      </c>
      <c r="H128">
        <v>52120.54</v>
      </c>
      <c r="I128">
        <v>17174.62</v>
      </c>
      <c r="J128">
        <v>34945.92</v>
      </c>
      <c r="K128">
        <v>396.3</v>
      </c>
      <c r="L128">
        <v>2299.07</v>
      </c>
      <c r="M128">
        <v>29769.98</v>
      </c>
      <c r="N128">
        <v>2480.57</v>
      </c>
      <c r="O128">
        <v>59</v>
      </c>
      <c r="P128">
        <v>35.48</v>
      </c>
      <c r="Q128">
        <v>2.02</v>
      </c>
      <c r="R128">
        <v>67.05</v>
      </c>
      <c r="S128">
        <v>4.76</v>
      </c>
      <c r="T128">
        <v>3.33</v>
      </c>
    </row>
    <row r="129" spans="1:20">
      <c r="A129" t="s">
        <v>492</v>
      </c>
      <c r="B129">
        <v>7</v>
      </c>
      <c r="C129">
        <v>1461</v>
      </c>
      <c r="D129">
        <v>3226</v>
      </c>
      <c r="E129">
        <v>56962.29</v>
      </c>
      <c r="F129">
        <v>1468.58</v>
      </c>
      <c r="G129">
        <v>260.88</v>
      </c>
      <c r="H129">
        <v>55232.83</v>
      </c>
      <c r="I129">
        <v>17903.47</v>
      </c>
      <c r="J129">
        <v>37329.36</v>
      </c>
      <c r="K129">
        <v>410.7</v>
      </c>
      <c r="L129">
        <v>2305.02</v>
      </c>
      <c r="M129">
        <v>30057.03</v>
      </c>
      <c r="N129">
        <v>4556.61</v>
      </c>
      <c r="O129">
        <v>67</v>
      </c>
      <c r="P129">
        <v>37.8</v>
      </c>
      <c r="Q129">
        <v>2.21</v>
      </c>
      <c r="R129">
        <v>67.59</v>
      </c>
      <c r="S129">
        <v>8.25</v>
      </c>
      <c r="T129">
        <v>2.58</v>
      </c>
    </row>
    <row r="130" spans="1:20">
      <c r="A130" t="s">
        <v>493</v>
      </c>
      <c r="B130">
        <v>7</v>
      </c>
      <c r="C130">
        <v>1485</v>
      </c>
      <c r="D130">
        <v>2837</v>
      </c>
      <c r="E130">
        <v>48970.69</v>
      </c>
      <c r="F130">
        <v>1969.99</v>
      </c>
      <c r="G130">
        <v>159.99</v>
      </c>
      <c r="H130">
        <v>46840.71</v>
      </c>
      <c r="I130">
        <v>14967.7</v>
      </c>
      <c r="J130">
        <v>31873.01</v>
      </c>
      <c r="K130">
        <v>341.86</v>
      </c>
      <c r="L130">
        <v>2048.15</v>
      </c>
      <c r="M130">
        <v>30025.08</v>
      </c>
      <c r="N130">
        <v>-542.08</v>
      </c>
      <c r="O130">
        <v>60</v>
      </c>
      <c r="P130">
        <v>31.54</v>
      </c>
      <c r="Q130">
        <v>1.91</v>
      </c>
      <c r="R130">
        <v>68.05</v>
      </c>
      <c r="S130">
        <v>-1.16</v>
      </c>
      <c r="T130">
        <v>4.02</v>
      </c>
    </row>
    <row r="131" spans="1:20">
      <c r="A131" t="s">
        <v>494</v>
      </c>
      <c r="B131">
        <v>7</v>
      </c>
      <c r="C131">
        <v>1642</v>
      </c>
      <c r="D131">
        <v>3230</v>
      </c>
      <c r="E131">
        <v>56318.53</v>
      </c>
      <c r="F131">
        <v>3030.13</v>
      </c>
      <c r="G131">
        <v>174.12</v>
      </c>
      <c r="H131">
        <v>53114.28</v>
      </c>
      <c r="I131">
        <v>17353.38</v>
      </c>
      <c r="J131">
        <v>35760.9</v>
      </c>
      <c r="K131">
        <v>364.68</v>
      </c>
      <c r="L131">
        <v>3027.77</v>
      </c>
      <c r="M131">
        <v>31510.68</v>
      </c>
      <c r="N131">
        <v>857.77</v>
      </c>
      <c r="O131">
        <v>78</v>
      </c>
      <c r="P131">
        <v>32.35</v>
      </c>
      <c r="Q131">
        <v>1.97</v>
      </c>
      <c r="R131">
        <v>67.33</v>
      </c>
      <c r="S131">
        <v>1.61</v>
      </c>
      <c r="T131">
        <v>5.38</v>
      </c>
    </row>
    <row r="132" spans="1:20">
      <c r="A132" t="s">
        <v>495</v>
      </c>
      <c r="B132">
        <v>7</v>
      </c>
      <c r="C132">
        <v>1441</v>
      </c>
      <c r="D132">
        <v>2893</v>
      </c>
      <c r="E132">
        <v>50696.92</v>
      </c>
      <c r="F132">
        <v>2586.12</v>
      </c>
      <c r="G132">
        <v>170.88</v>
      </c>
      <c r="H132">
        <v>47939.92</v>
      </c>
      <c r="I132">
        <v>15594.2</v>
      </c>
      <c r="J132">
        <v>32345.72</v>
      </c>
      <c r="K132">
        <v>331.58</v>
      </c>
      <c r="L132">
        <v>2676.48</v>
      </c>
      <c r="M132">
        <v>31101.17</v>
      </c>
      <c r="N132">
        <v>-1763.51</v>
      </c>
      <c r="O132">
        <v>73</v>
      </c>
      <c r="P132">
        <v>33.27</v>
      </c>
      <c r="Q132">
        <v>2.01</v>
      </c>
      <c r="R132">
        <v>67.47</v>
      </c>
      <c r="S132">
        <v>-3.68</v>
      </c>
      <c r="T132">
        <v>5.1</v>
      </c>
    </row>
    <row r="133" spans="1:20">
      <c r="A133" t="s">
        <v>496</v>
      </c>
      <c r="B133">
        <v>7</v>
      </c>
      <c r="C133">
        <v>1324</v>
      </c>
      <c r="D133">
        <v>2697</v>
      </c>
      <c r="E133">
        <v>46831.71</v>
      </c>
      <c r="F133">
        <v>2311.73</v>
      </c>
      <c r="G133">
        <v>200</v>
      </c>
      <c r="H133">
        <v>44319.98</v>
      </c>
      <c r="I133">
        <v>14444.44</v>
      </c>
      <c r="J133">
        <v>29875.54</v>
      </c>
      <c r="K133">
        <v>320.02</v>
      </c>
      <c r="L133">
        <v>2255.38</v>
      </c>
      <c r="M133">
        <v>30959.73</v>
      </c>
      <c r="N133">
        <v>-3659.59</v>
      </c>
      <c r="O133">
        <v>66</v>
      </c>
      <c r="P133">
        <v>33.47</v>
      </c>
      <c r="Q133">
        <v>2.04</v>
      </c>
      <c r="R133">
        <v>67.41</v>
      </c>
      <c r="S133">
        <v>-8.26</v>
      </c>
      <c r="T133">
        <v>4.94</v>
      </c>
    </row>
    <row r="134" spans="1:20">
      <c r="A134" t="s">
        <v>497</v>
      </c>
      <c r="B134">
        <v>7</v>
      </c>
      <c r="C134">
        <v>1327</v>
      </c>
      <c r="D134">
        <v>2589</v>
      </c>
      <c r="E134">
        <v>44809.3</v>
      </c>
      <c r="F134">
        <v>2223.83</v>
      </c>
      <c r="G134">
        <v>26.09</v>
      </c>
      <c r="H134">
        <v>42559.38</v>
      </c>
      <c r="I134">
        <v>13905.56</v>
      </c>
      <c r="J134">
        <v>28653.82</v>
      </c>
      <c r="K134">
        <v>289.17</v>
      </c>
      <c r="L134">
        <v>2477.39</v>
      </c>
      <c r="M134">
        <v>31147.9</v>
      </c>
      <c r="N134">
        <v>-5260.64</v>
      </c>
      <c r="O134">
        <v>75</v>
      </c>
      <c r="P134">
        <v>32.07</v>
      </c>
      <c r="Q134">
        <v>1.95</v>
      </c>
      <c r="R134">
        <v>67.33</v>
      </c>
      <c r="S134">
        <v>-12.36</v>
      </c>
      <c r="T134">
        <v>4.96</v>
      </c>
    </row>
    <row r="135" spans="1:20">
      <c r="A135" t="s">
        <v>498</v>
      </c>
      <c r="B135">
        <v>7</v>
      </c>
      <c r="C135">
        <v>1354</v>
      </c>
      <c r="D135">
        <v>2712</v>
      </c>
      <c r="E135">
        <v>47031.52</v>
      </c>
      <c r="F135">
        <v>2323.47</v>
      </c>
      <c r="G135">
        <v>71.3</v>
      </c>
      <c r="H135">
        <v>44636.75</v>
      </c>
      <c r="I135">
        <v>14379.59</v>
      </c>
      <c r="J135">
        <v>30257.16</v>
      </c>
      <c r="K135">
        <v>308.01</v>
      </c>
      <c r="L135">
        <v>2504.41</v>
      </c>
      <c r="M135">
        <v>31103.76</v>
      </c>
      <c r="N135">
        <v>-3659.02</v>
      </c>
      <c r="O135">
        <v>64</v>
      </c>
      <c r="P135">
        <v>32.97</v>
      </c>
      <c r="Q135">
        <v>2</v>
      </c>
      <c r="R135">
        <v>67.79000000000001</v>
      </c>
      <c r="S135">
        <v>-8.199999999999999</v>
      </c>
      <c r="T135">
        <v>4.94</v>
      </c>
    </row>
    <row r="136" spans="1:20">
      <c r="A136" t="s">
        <v>499</v>
      </c>
      <c r="B136">
        <v>7</v>
      </c>
      <c r="C136">
        <v>1399</v>
      </c>
      <c r="D136">
        <v>2793</v>
      </c>
      <c r="E136">
        <v>49158.71</v>
      </c>
      <c r="F136">
        <v>2681.33</v>
      </c>
      <c r="G136">
        <v>273.03</v>
      </c>
      <c r="H136">
        <v>46204.35</v>
      </c>
      <c r="I136">
        <v>15367.68</v>
      </c>
      <c r="J136">
        <v>30836.67</v>
      </c>
      <c r="K136">
        <v>306.7</v>
      </c>
      <c r="L136">
        <v>2798.42</v>
      </c>
      <c r="M136">
        <v>30922.8</v>
      </c>
      <c r="N136">
        <v>-3191.25</v>
      </c>
      <c r="O136">
        <v>72</v>
      </c>
      <c r="P136">
        <v>33.03</v>
      </c>
      <c r="Q136">
        <v>2</v>
      </c>
      <c r="R136">
        <v>66.73999999999999</v>
      </c>
      <c r="S136">
        <v>-6.91</v>
      </c>
      <c r="T136">
        <v>5.45</v>
      </c>
    </row>
    <row r="137" spans="1:20">
      <c r="A137" t="s">
        <v>500</v>
      </c>
      <c r="B137">
        <v>7</v>
      </c>
      <c r="C137">
        <v>1249</v>
      </c>
      <c r="D137">
        <v>2541</v>
      </c>
      <c r="E137">
        <v>44308.36</v>
      </c>
      <c r="F137">
        <v>2272.41</v>
      </c>
      <c r="G137">
        <v>151.31</v>
      </c>
      <c r="H137">
        <v>41884.64</v>
      </c>
      <c r="I137">
        <v>13712.25</v>
      </c>
      <c r="J137">
        <v>28172.39</v>
      </c>
      <c r="K137">
        <v>287.12</v>
      </c>
      <c r="L137">
        <v>2533.72</v>
      </c>
      <c r="M137">
        <v>30878.17</v>
      </c>
      <c r="N137">
        <v>-5526.62</v>
      </c>
      <c r="O137">
        <v>49</v>
      </c>
      <c r="P137">
        <v>33.53</v>
      </c>
      <c r="Q137">
        <v>2.03</v>
      </c>
      <c r="R137">
        <v>67.26000000000001</v>
      </c>
      <c r="S137">
        <v>-13.19</v>
      </c>
      <c r="T137">
        <v>5.13</v>
      </c>
    </row>
    <row r="138" spans="1:20">
      <c r="A138" t="s">
        <v>501</v>
      </c>
      <c r="B138">
        <v>7</v>
      </c>
      <c r="C138">
        <v>1144</v>
      </c>
      <c r="D138">
        <v>2286</v>
      </c>
      <c r="E138">
        <v>39907.5</v>
      </c>
      <c r="F138">
        <v>2250.47</v>
      </c>
      <c r="G138">
        <v>166.3</v>
      </c>
      <c r="H138">
        <v>37490.73</v>
      </c>
      <c r="I138">
        <v>12212.44</v>
      </c>
      <c r="J138">
        <v>25278.29</v>
      </c>
      <c r="K138">
        <v>240.67</v>
      </c>
      <c r="L138">
        <v>2395.15</v>
      </c>
      <c r="M138">
        <v>31008.69</v>
      </c>
      <c r="N138">
        <v>-8366.219999999999</v>
      </c>
      <c r="O138">
        <v>61</v>
      </c>
      <c r="P138">
        <v>32.77</v>
      </c>
      <c r="Q138">
        <v>2</v>
      </c>
      <c r="R138">
        <v>67.43000000000001</v>
      </c>
      <c r="S138">
        <v>-22.32</v>
      </c>
      <c r="T138">
        <v>5.64</v>
      </c>
    </row>
    <row r="139" spans="1:20">
      <c r="A139" t="s">
        <v>502</v>
      </c>
      <c r="B139">
        <v>7</v>
      </c>
      <c r="C139">
        <v>1237</v>
      </c>
      <c r="D139">
        <v>2508</v>
      </c>
      <c r="E139">
        <v>43027.3</v>
      </c>
      <c r="F139">
        <v>2421.59</v>
      </c>
      <c r="G139">
        <v>217.17</v>
      </c>
      <c r="H139">
        <v>40388.54</v>
      </c>
      <c r="I139">
        <v>13228.31</v>
      </c>
      <c r="J139">
        <v>27160.23</v>
      </c>
      <c r="K139">
        <v>267.99</v>
      </c>
      <c r="L139">
        <v>2539.45</v>
      </c>
      <c r="M139">
        <v>30893.24</v>
      </c>
      <c r="N139">
        <v>-6540.45</v>
      </c>
      <c r="O139">
        <v>60</v>
      </c>
      <c r="P139">
        <v>32.65</v>
      </c>
      <c r="Q139">
        <v>2.03</v>
      </c>
      <c r="R139">
        <v>67.25</v>
      </c>
      <c r="S139">
        <v>-16.19</v>
      </c>
      <c r="T139">
        <v>5.63</v>
      </c>
    </row>
    <row r="140" spans="1:20">
      <c r="A140" t="s">
        <v>503</v>
      </c>
      <c r="B140">
        <v>7</v>
      </c>
      <c r="C140">
        <v>1625</v>
      </c>
      <c r="D140">
        <v>3137</v>
      </c>
      <c r="E140">
        <v>54482.93</v>
      </c>
      <c r="F140">
        <v>3929.88</v>
      </c>
      <c r="G140">
        <v>71.3</v>
      </c>
      <c r="H140">
        <v>50481.75</v>
      </c>
      <c r="I140">
        <v>16760.06</v>
      </c>
      <c r="J140">
        <v>33721.69</v>
      </c>
      <c r="K140">
        <v>379.11</v>
      </c>
      <c r="L140">
        <v>2180.97</v>
      </c>
      <c r="M140">
        <v>32749.96</v>
      </c>
      <c r="N140">
        <v>-1588.35</v>
      </c>
      <c r="O140">
        <v>129</v>
      </c>
      <c r="P140">
        <v>31.07</v>
      </c>
      <c r="Q140">
        <v>1.93</v>
      </c>
      <c r="R140">
        <v>66.8</v>
      </c>
      <c r="S140">
        <v>-3.15</v>
      </c>
      <c r="T140">
        <v>7.21</v>
      </c>
    </row>
    <row r="141" spans="1:20">
      <c r="A141" t="s">
        <v>504</v>
      </c>
      <c r="B141">
        <v>7</v>
      </c>
      <c r="C141">
        <v>1641</v>
      </c>
      <c r="D141">
        <v>3246</v>
      </c>
      <c r="E141">
        <v>55992.54</v>
      </c>
      <c r="F141">
        <v>2941.6</v>
      </c>
      <c r="G141">
        <v>252.91</v>
      </c>
      <c r="H141">
        <v>52798.03</v>
      </c>
      <c r="I141">
        <v>17001.12</v>
      </c>
      <c r="J141">
        <v>35796.91</v>
      </c>
      <c r="K141">
        <v>391.6</v>
      </c>
      <c r="L141">
        <v>2328.75</v>
      </c>
      <c r="M141">
        <v>32306.76</v>
      </c>
      <c r="N141">
        <v>769.8</v>
      </c>
      <c r="O141">
        <v>101</v>
      </c>
      <c r="P141">
        <v>32.17</v>
      </c>
      <c r="Q141">
        <v>1.98</v>
      </c>
      <c r="R141">
        <v>67.8</v>
      </c>
      <c r="S141">
        <v>1.46</v>
      </c>
      <c r="T141">
        <v>5.25</v>
      </c>
    </row>
    <row r="142" spans="1:20">
      <c r="A142" t="s">
        <v>505</v>
      </c>
      <c r="B142">
        <v>7</v>
      </c>
      <c r="C142">
        <v>1771</v>
      </c>
      <c r="D142">
        <v>3511</v>
      </c>
      <c r="E142">
        <v>60795.05</v>
      </c>
      <c r="F142">
        <v>2010.81</v>
      </c>
      <c r="G142">
        <v>95.65000000000001</v>
      </c>
      <c r="H142">
        <v>58688.59</v>
      </c>
      <c r="I142">
        <v>18313.54</v>
      </c>
      <c r="J142">
        <v>40375.05</v>
      </c>
      <c r="K142">
        <v>430.09</v>
      </c>
      <c r="L142">
        <v>2605.42</v>
      </c>
      <c r="M142">
        <v>29892.11</v>
      </c>
      <c r="N142">
        <v>7447.43</v>
      </c>
      <c r="O142">
        <v>63</v>
      </c>
      <c r="P142">
        <v>33.14</v>
      </c>
      <c r="Q142">
        <v>1.98</v>
      </c>
      <c r="R142">
        <v>68.8</v>
      </c>
      <c r="S142">
        <v>12.69</v>
      </c>
      <c r="T142">
        <v>3.31</v>
      </c>
    </row>
    <row r="143" spans="1:20">
      <c r="A143" t="s">
        <v>506</v>
      </c>
      <c r="B143">
        <v>7</v>
      </c>
      <c r="C143">
        <v>1799</v>
      </c>
      <c r="D143">
        <v>3686</v>
      </c>
      <c r="E143">
        <v>63625.38</v>
      </c>
      <c r="F143">
        <v>2263.98</v>
      </c>
      <c r="G143">
        <v>64.34999999999999</v>
      </c>
      <c r="H143">
        <v>61297.05</v>
      </c>
      <c r="I143">
        <v>19186.09</v>
      </c>
      <c r="J143">
        <v>42110.96</v>
      </c>
      <c r="K143">
        <v>462.6</v>
      </c>
      <c r="L143">
        <v>2168.52</v>
      </c>
      <c r="M143">
        <v>30082.48</v>
      </c>
      <c r="N143">
        <v>9397.360000000001</v>
      </c>
      <c r="O143">
        <v>62</v>
      </c>
      <c r="P143">
        <v>34.07</v>
      </c>
      <c r="Q143">
        <v>2.05</v>
      </c>
      <c r="R143">
        <v>68.7</v>
      </c>
      <c r="S143">
        <v>15.33</v>
      </c>
      <c r="T143">
        <v>3.56</v>
      </c>
    </row>
    <row r="144" spans="1:20">
      <c r="A144" t="s">
        <v>507</v>
      </c>
      <c r="B144">
        <v>7</v>
      </c>
      <c r="C144">
        <v>1943</v>
      </c>
      <c r="D144">
        <v>3946</v>
      </c>
      <c r="E144">
        <v>70137.64</v>
      </c>
      <c r="F144">
        <v>7459.47</v>
      </c>
      <c r="G144">
        <v>164.18</v>
      </c>
      <c r="H144">
        <v>62513.99</v>
      </c>
      <c r="I144">
        <v>21104.4</v>
      </c>
      <c r="J144">
        <v>41409.59</v>
      </c>
      <c r="K144">
        <v>473.26</v>
      </c>
      <c r="L144">
        <v>2609.83</v>
      </c>
      <c r="M144">
        <v>34309.96</v>
      </c>
      <c r="N144">
        <v>4016.54</v>
      </c>
      <c r="O144">
        <v>134</v>
      </c>
      <c r="P144">
        <v>32.17</v>
      </c>
      <c r="Q144">
        <v>2.03</v>
      </c>
      <c r="R144">
        <v>66.23999999999999</v>
      </c>
      <c r="S144">
        <v>6.43</v>
      </c>
      <c r="T144">
        <v>10.64</v>
      </c>
    </row>
    <row r="145" spans="1:20">
      <c r="A145" t="s">
        <v>508</v>
      </c>
      <c r="B145">
        <v>7</v>
      </c>
      <c r="C145">
        <v>1964</v>
      </c>
      <c r="D145">
        <v>3825</v>
      </c>
      <c r="E145">
        <v>67828.77</v>
      </c>
      <c r="F145">
        <v>2294.08</v>
      </c>
      <c r="G145">
        <v>138.25</v>
      </c>
      <c r="H145">
        <v>65396.44</v>
      </c>
      <c r="I145">
        <v>20435.29</v>
      </c>
      <c r="J145">
        <v>44961.15</v>
      </c>
      <c r="K145">
        <v>495.28</v>
      </c>
      <c r="L145">
        <v>2668.76</v>
      </c>
      <c r="M145">
        <v>29318.15</v>
      </c>
      <c r="N145">
        <v>12478.96</v>
      </c>
      <c r="O145">
        <v>85</v>
      </c>
      <c r="P145">
        <v>33.3</v>
      </c>
      <c r="Q145">
        <v>1.95</v>
      </c>
      <c r="R145">
        <v>68.75</v>
      </c>
      <c r="S145">
        <v>19.08</v>
      </c>
      <c r="T145">
        <v>3.38</v>
      </c>
    </row>
    <row r="146" spans="1:20">
      <c r="A146" t="s">
        <v>509</v>
      </c>
      <c r="B146">
        <v>7</v>
      </c>
      <c r="C146">
        <v>1919</v>
      </c>
      <c r="D146">
        <v>3754</v>
      </c>
      <c r="E146">
        <v>65727.92</v>
      </c>
      <c r="F146">
        <v>2463.44</v>
      </c>
      <c r="G146">
        <v>141.75</v>
      </c>
      <c r="H146">
        <v>63122.73</v>
      </c>
      <c r="I146">
        <v>20084.16</v>
      </c>
      <c r="J146">
        <v>43038.57</v>
      </c>
      <c r="K146">
        <v>473.44</v>
      </c>
      <c r="L146">
        <v>2503.89</v>
      </c>
      <c r="M146">
        <v>29217.82</v>
      </c>
      <c r="N146">
        <v>10843.42</v>
      </c>
      <c r="O146">
        <v>74</v>
      </c>
      <c r="P146">
        <v>32.89</v>
      </c>
      <c r="Q146">
        <v>1.96</v>
      </c>
      <c r="R146">
        <v>68.18000000000001</v>
      </c>
      <c r="S146">
        <v>17.18</v>
      </c>
      <c r="T146">
        <v>3.75</v>
      </c>
    </row>
    <row r="147" spans="1:20">
      <c r="A147" t="s">
        <v>510</v>
      </c>
      <c r="B147">
        <v>7</v>
      </c>
      <c r="C147">
        <v>2104</v>
      </c>
      <c r="D147">
        <v>3948</v>
      </c>
      <c r="E147">
        <v>69329.06</v>
      </c>
      <c r="F147">
        <v>2665.95</v>
      </c>
      <c r="G147">
        <v>147.82</v>
      </c>
      <c r="H147">
        <v>66515.28999999999</v>
      </c>
      <c r="I147">
        <v>20997.45</v>
      </c>
      <c r="J147">
        <v>45517.84</v>
      </c>
      <c r="K147">
        <v>533.72</v>
      </c>
      <c r="L147">
        <v>2316.79</v>
      </c>
      <c r="M147">
        <v>28830.3</v>
      </c>
      <c r="N147">
        <v>13837.03</v>
      </c>
      <c r="O147">
        <v>87</v>
      </c>
      <c r="P147">
        <v>31.61</v>
      </c>
      <c r="Q147">
        <v>1.88</v>
      </c>
      <c r="R147">
        <v>68.43000000000001</v>
      </c>
      <c r="S147">
        <v>20.8</v>
      </c>
      <c r="T147">
        <v>3.85</v>
      </c>
    </row>
    <row r="148" spans="1:20">
      <c r="A148" t="s">
        <v>511</v>
      </c>
      <c r="B148">
        <v>7</v>
      </c>
      <c r="C148">
        <v>1797</v>
      </c>
      <c r="D148">
        <v>3543</v>
      </c>
      <c r="E148">
        <v>62088.41</v>
      </c>
      <c r="F148">
        <v>2220.55</v>
      </c>
      <c r="G148">
        <v>269.58</v>
      </c>
      <c r="H148">
        <v>59598.28</v>
      </c>
      <c r="I148">
        <v>18819.17</v>
      </c>
      <c r="J148">
        <v>40779.11</v>
      </c>
      <c r="K148">
        <v>438.27</v>
      </c>
      <c r="L148">
        <v>2242.07</v>
      </c>
      <c r="M148">
        <v>28967</v>
      </c>
      <c r="N148">
        <v>9131.77</v>
      </c>
      <c r="O148">
        <v>76</v>
      </c>
      <c r="P148">
        <v>33.17</v>
      </c>
      <c r="Q148">
        <v>1.97</v>
      </c>
      <c r="R148">
        <v>68.42</v>
      </c>
      <c r="S148">
        <v>15.32</v>
      </c>
      <c r="T148">
        <v>3.58</v>
      </c>
    </row>
    <row r="149" spans="1:20">
      <c r="A149" t="s">
        <v>512</v>
      </c>
      <c r="B149">
        <v>7</v>
      </c>
      <c r="C149">
        <v>1968</v>
      </c>
      <c r="D149">
        <v>3964</v>
      </c>
      <c r="E149">
        <v>68721.81</v>
      </c>
      <c r="F149">
        <v>2612.31</v>
      </c>
      <c r="G149">
        <v>110.43</v>
      </c>
      <c r="H149">
        <v>65999.07000000001</v>
      </c>
      <c r="I149">
        <v>20746.45</v>
      </c>
      <c r="J149">
        <v>45252.62</v>
      </c>
      <c r="K149">
        <v>500.29</v>
      </c>
      <c r="L149">
        <v>2521.1</v>
      </c>
      <c r="M149">
        <v>28946.19</v>
      </c>
      <c r="N149">
        <v>13285.04</v>
      </c>
      <c r="O149">
        <v>76</v>
      </c>
      <c r="P149">
        <v>33.54</v>
      </c>
      <c r="Q149">
        <v>2.01</v>
      </c>
      <c r="R149">
        <v>68.56999999999999</v>
      </c>
      <c r="S149">
        <v>20.13</v>
      </c>
      <c r="T149">
        <v>3.8</v>
      </c>
    </row>
    <row r="150" spans="1:20">
      <c r="A150" t="s">
        <v>513</v>
      </c>
      <c r="B150">
        <v>7</v>
      </c>
      <c r="C150">
        <v>2089</v>
      </c>
      <c r="D150">
        <v>4013</v>
      </c>
      <c r="E150">
        <v>70323.44</v>
      </c>
      <c r="F150">
        <v>2400.7</v>
      </c>
      <c r="G150">
        <v>76.53</v>
      </c>
      <c r="H150">
        <v>67846.21000000001</v>
      </c>
      <c r="I150">
        <v>21248.47</v>
      </c>
      <c r="J150">
        <v>46597.74</v>
      </c>
      <c r="K150">
        <v>564.4299999999999</v>
      </c>
      <c r="L150">
        <v>2165.14</v>
      </c>
      <c r="M150">
        <v>29179.62</v>
      </c>
      <c r="N150">
        <v>14688.55</v>
      </c>
      <c r="O150">
        <v>95</v>
      </c>
      <c r="P150">
        <v>32.48</v>
      </c>
      <c r="Q150">
        <v>1.92</v>
      </c>
      <c r="R150">
        <v>68.68000000000001</v>
      </c>
      <c r="S150">
        <v>21.65</v>
      </c>
      <c r="T150">
        <v>3.41</v>
      </c>
    </row>
    <row r="151" spans="1:20">
      <c r="A151" t="s">
        <v>514</v>
      </c>
      <c r="B151">
        <v>7</v>
      </c>
      <c r="C151">
        <v>1935</v>
      </c>
      <c r="D151">
        <v>3681</v>
      </c>
      <c r="E151">
        <v>63290.83</v>
      </c>
      <c r="F151">
        <v>1970.35</v>
      </c>
      <c r="G151">
        <v>164.36</v>
      </c>
      <c r="H151">
        <v>61156.12</v>
      </c>
      <c r="I151">
        <v>19253.41</v>
      </c>
      <c r="J151">
        <v>41902.71</v>
      </c>
      <c r="K151">
        <v>508.6</v>
      </c>
      <c r="L151">
        <v>2010.18</v>
      </c>
      <c r="M151">
        <v>29154.61</v>
      </c>
      <c r="N151">
        <v>10229.32</v>
      </c>
      <c r="O151">
        <v>98</v>
      </c>
      <c r="P151">
        <v>31.61</v>
      </c>
      <c r="Q151">
        <v>1.9</v>
      </c>
      <c r="R151">
        <v>68.52</v>
      </c>
      <c r="S151">
        <v>16.73</v>
      </c>
      <c r="T151">
        <v>3.11</v>
      </c>
    </row>
    <row r="152" spans="1:20">
      <c r="A152" t="s">
        <v>515</v>
      </c>
      <c r="B152">
        <v>7</v>
      </c>
      <c r="C152">
        <v>1997</v>
      </c>
      <c r="D152">
        <v>3760</v>
      </c>
      <c r="E152">
        <v>64987.78</v>
      </c>
      <c r="F152">
        <v>2384.38</v>
      </c>
      <c r="G152">
        <v>221.72</v>
      </c>
      <c r="H152">
        <v>62381.68</v>
      </c>
      <c r="I152">
        <v>19523.72</v>
      </c>
      <c r="J152">
        <v>42857.96</v>
      </c>
      <c r="K152">
        <v>492.33</v>
      </c>
      <c r="L152">
        <v>2103.08</v>
      </c>
      <c r="M152">
        <v>29122.63</v>
      </c>
      <c r="N152">
        <v>11139.92</v>
      </c>
      <c r="O152">
        <v>94</v>
      </c>
      <c r="P152">
        <v>31.24</v>
      </c>
      <c r="Q152">
        <v>1.88</v>
      </c>
      <c r="R152">
        <v>68.7</v>
      </c>
      <c r="S152">
        <v>17.86</v>
      </c>
      <c r="T152">
        <v>3.67</v>
      </c>
    </row>
    <row r="153" spans="1:20">
      <c r="A153" t="s">
        <v>516</v>
      </c>
      <c r="B153">
        <v>7</v>
      </c>
      <c r="C153">
        <v>2153</v>
      </c>
      <c r="D153">
        <v>4429</v>
      </c>
      <c r="E153">
        <v>77377.5</v>
      </c>
      <c r="F153">
        <v>13158.87</v>
      </c>
      <c r="G153">
        <v>222.77</v>
      </c>
      <c r="H153">
        <v>63995.86</v>
      </c>
      <c r="I153">
        <v>23362.58</v>
      </c>
      <c r="J153">
        <v>40633.28</v>
      </c>
      <c r="K153">
        <v>512.0599999999999</v>
      </c>
      <c r="L153">
        <v>2400.07</v>
      </c>
      <c r="M153">
        <v>35465.19</v>
      </c>
      <c r="N153">
        <v>2255.96</v>
      </c>
      <c r="O153">
        <v>197</v>
      </c>
      <c r="P153">
        <v>29.72</v>
      </c>
      <c r="Q153">
        <v>2.06</v>
      </c>
      <c r="R153">
        <v>63.49</v>
      </c>
      <c r="S153">
        <v>3.53</v>
      </c>
      <c r="T153">
        <v>17.01</v>
      </c>
    </row>
    <row r="154" spans="1:20">
      <c r="A154" t="s">
        <v>517</v>
      </c>
      <c r="B154">
        <v>7</v>
      </c>
      <c r="C154">
        <v>1980</v>
      </c>
      <c r="D154">
        <v>3796</v>
      </c>
      <c r="E154">
        <v>66561.78999999999</v>
      </c>
      <c r="F154">
        <v>5828.91</v>
      </c>
      <c r="G154">
        <v>181.58</v>
      </c>
      <c r="H154">
        <v>60551.3</v>
      </c>
      <c r="I154">
        <v>20278.92</v>
      </c>
      <c r="J154">
        <v>40272.38</v>
      </c>
      <c r="K154">
        <v>482.29</v>
      </c>
      <c r="L154">
        <v>2085.07</v>
      </c>
      <c r="M154">
        <v>31780.33</v>
      </c>
      <c r="N154">
        <v>5924.69</v>
      </c>
      <c r="O154">
        <v>112</v>
      </c>
      <c r="P154">
        <v>30.58</v>
      </c>
      <c r="Q154">
        <v>1.92</v>
      </c>
      <c r="R154">
        <v>66.51000000000001</v>
      </c>
      <c r="S154">
        <v>9.779999999999999</v>
      </c>
      <c r="T154">
        <v>8.76</v>
      </c>
    </row>
    <row r="155" spans="1:20">
      <c r="A155" t="s">
        <v>518</v>
      </c>
      <c r="B155">
        <v>7</v>
      </c>
      <c r="C155">
        <v>1947</v>
      </c>
      <c r="D155">
        <v>3680</v>
      </c>
      <c r="E155">
        <v>64126.56</v>
      </c>
      <c r="F155">
        <v>2382.8</v>
      </c>
      <c r="G155">
        <v>95.66</v>
      </c>
      <c r="H155">
        <v>61648.1</v>
      </c>
      <c r="I155">
        <v>19652.21</v>
      </c>
      <c r="J155">
        <v>41995.89</v>
      </c>
      <c r="K155">
        <v>499.41</v>
      </c>
      <c r="L155">
        <v>1994.75</v>
      </c>
      <c r="M155">
        <v>28637.84</v>
      </c>
      <c r="N155">
        <v>10863.89</v>
      </c>
      <c r="O155">
        <v>86</v>
      </c>
      <c r="P155">
        <v>31.66</v>
      </c>
      <c r="Q155">
        <v>1.89</v>
      </c>
      <c r="R155">
        <v>68.12</v>
      </c>
      <c r="S155">
        <v>17.62</v>
      </c>
      <c r="T155">
        <v>3.72</v>
      </c>
    </row>
    <row r="156" spans="1:20">
      <c r="A156" t="s">
        <v>519</v>
      </c>
      <c r="B156">
        <v>7</v>
      </c>
      <c r="C156">
        <v>1857</v>
      </c>
      <c r="D156">
        <v>3460</v>
      </c>
      <c r="E156">
        <v>59791.83</v>
      </c>
      <c r="F156">
        <v>2130.36</v>
      </c>
      <c r="G156">
        <v>260.86</v>
      </c>
      <c r="H156">
        <v>57400.61</v>
      </c>
      <c r="I156">
        <v>18170.23</v>
      </c>
      <c r="J156">
        <v>39230.38</v>
      </c>
      <c r="K156">
        <v>462.01</v>
      </c>
      <c r="L156">
        <v>2064.59</v>
      </c>
      <c r="M156">
        <v>28540.68</v>
      </c>
      <c r="N156">
        <v>8163.1</v>
      </c>
      <c r="O156">
        <v>77</v>
      </c>
      <c r="P156">
        <v>30.91</v>
      </c>
      <c r="Q156">
        <v>1.86</v>
      </c>
      <c r="R156">
        <v>68.34</v>
      </c>
      <c r="S156">
        <v>14.22</v>
      </c>
      <c r="T156">
        <v>3.56</v>
      </c>
    </row>
    <row r="157" spans="1:20">
      <c r="A157" t="s">
        <v>520</v>
      </c>
      <c r="B157">
        <v>7</v>
      </c>
      <c r="C157">
        <v>1883</v>
      </c>
      <c r="D157">
        <v>3649</v>
      </c>
      <c r="E157">
        <v>63730.76</v>
      </c>
      <c r="F157">
        <v>2566.31</v>
      </c>
      <c r="G157">
        <v>14.78</v>
      </c>
      <c r="H157">
        <v>61149.67</v>
      </c>
      <c r="I157">
        <v>19496.82</v>
      </c>
      <c r="J157">
        <v>41652.85</v>
      </c>
      <c r="K157">
        <v>489.12</v>
      </c>
      <c r="L157">
        <v>1966.5</v>
      </c>
      <c r="M157">
        <v>28486.77</v>
      </c>
      <c r="N157">
        <v>10710.46</v>
      </c>
      <c r="O157">
        <v>68</v>
      </c>
      <c r="P157">
        <v>32.47</v>
      </c>
      <c r="Q157">
        <v>1.94</v>
      </c>
      <c r="R157">
        <v>68.12</v>
      </c>
      <c r="S157">
        <v>17.52</v>
      </c>
      <c r="T157">
        <v>4.03</v>
      </c>
    </row>
    <row r="158" spans="1:20">
      <c r="A158" t="s">
        <v>521</v>
      </c>
      <c r="B158">
        <v>4</v>
      </c>
      <c r="C158">
        <v>1057</v>
      </c>
      <c r="D158">
        <v>1859</v>
      </c>
      <c r="E158">
        <v>31981.45</v>
      </c>
      <c r="F158">
        <v>1318.23</v>
      </c>
      <c r="G158">
        <v>53.04</v>
      </c>
      <c r="H158">
        <v>30610.18</v>
      </c>
      <c r="I158">
        <v>9798.91</v>
      </c>
      <c r="J158">
        <v>20811.27</v>
      </c>
      <c r="K158">
        <v>247.28</v>
      </c>
      <c r="L158">
        <v>1017.51</v>
      </c>
      <c r="M158">
        <v>16381.82</v>
      </c>
      <c r="N158">
        <v>3164.66</v>
      </c>
      <c r="O158">
        <v>41</v>
      </c>
      <c r="P158">
        <v>28.96</v>
      </c>
      <c r="Q158">
        <v>1.76</v>
      </c>
      <c r="R158">
        <v>67.98999999999999</v>
      </c>
      <c r="S158">
        <v>10.34</v>
      </c>
      <c r="T158">
        <v>4.12</v>
      </c>
    </row>
  </sheetData>
  <autoFilter ref="A1:T15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5" width="10.7109375" customWidth="1"/>
    <col min="6" max="6" width="17.7109375" customWidth="1"/>
    <col min="7" max="7" width="39.7109375" customWidth="1"/>
    <col min="8" max="8" width="10.7109375" customWidth="1"/>
    <col min="9" max="9" width="12.7109375" customWidth="1"/>
    <col min="10" max="17" width="10.7109375" customWidth="1"/>
    <col min="18" max="18" width="13.7109375" customWidth="1"/>
    <col min="19" max="19" width="10.7109375" customWidth="1"/>
    <col min="20" max="20" width="12.7109375" customWidth="1"/>
    <col min="21" max="22" width="10.7109375" customWidth="1"/>
    <col min="23" max="23" width="11.7109375" customWidth="1"/>
    <col min="24" max="24" width="10.7109375" customWidth="1"/>
    <col min="25" max="26" width="11.7109375" customWidth="1"/>
    <col min="27" max="34" width="10.7109375" customWidth="1"/>
  </cols>
  <sheetData>
    <row r="1" spans="1:34">
      <c r="A1" s="1" t="s">
        <v>33</v>
      </c>
      <c r="B1" s="1" t="s">
        <v>35</v>
      </c>
      <c r="C1" s="1" t="s">
        <v>41</v>
      </c>
      <c r="D1" s="1" t="s">
        <v>42</v>
      </c>
      <c r="E1" s="1" t="s">
        <v>43</v>
      </c>
      <c r="F1" s="1" t="s">
        <v>45</v>
      </c>
      <c r="G1" s="1" t="s">
        <v>44</v>
      </c>
      <c r="H1" s="1" t="s">
        <v>522</v>
      </c>
      <c r="I1" s="1" t="s">
        <v>523</v>
      </c>
      <c r="J1" s="1" t="s">
        <v>343</v>
      </c>
      <c r="K1" s="1" t="s">
        <v>53</v>
      </c>
      <c r="L1" s="1" t="s">
        <v>54</v>
      </c>
      <c r="M1" s="1" t="s">
        <v>56</v>
      </c>
      <c r="N1" s="1" t="s">
        <v>57</v>
      </c>
      <c r="O1" s="1" t="s">
        <v>59</v>
      </c>
      <c r="P1" s="1" t="s">
        <v>60</v>
      </c>
      <c r="Q1" s="1" t="s">
        <v>63</v>
      </c>
      <c r="R1" s="1" t="s">
        <v>64</v>
      </c>
      <c r="S1" s="1" t="s">
        <v>344</v>
      </c>
      <c r="T1" s="1" t="s">
        <v>524</v>
      </c>
      <c r="U1" s="1" t="s">
        <v>347</v>
      </c>
      <c r="V1" s="1" t="s">
        <v>525</v>
      </c>
      <c r="W1" s="1" t="s">
        <v>526</v>
      </c>
      <c r="X1" s="1" t="s">
        <v>348</v>
      </c>
      <c r="Y1" s="1" t="s">
        <v>349</v>
      </c>
      <c r="Z1" s="1" t="s">
        <v>350</v>
      </c>
      <c r="AA1" s="1" t="s">
        <v>527</v>
      </c>
      <c r="AB1" s="1" t="s">
        <v>528</v>
      </c>
      <c r="AC1" s="1" t="s">
        <v>529</v>
      </c>
      <c r="AD1" s="1" t="s">
        <v>530</v>
      </c>
      <c r="AE1" s="1" t="s">
        <v>531</v>
      </c>
      <c r="AF1" s="1" t="s">
        <v>345</v>
      </c>
      <c r="AG1" s="1" t="s">
        <v>346</v>
      </c>
      <c r="AH1" s="1" t="s">
        <v>351</v>
      </c>
    </row>
    <row r="2" spans="1:34">
      <c r="A2" t="s">
        <v>73</v>
      </c>
      <c r="B2" t="s">
        <v>75</v>
      </c>
      <c r="C2" t="b">
        <v>0</v>
      </c>
      <c r="D2" t="b">
        <v>0</v>
      </c>
      <c r="E2" t="s">
        <v>80</v>
      </c>
      <c r="F2" t="s">
        <v>82</v>
      </c>
      <c r="G2" t="s">
        <v>81</v>
      </c>
      <c r="H2">
        <v>15.1</v>
      </c>
      <c r="I2">
        <v>5</v>
      </c>
      <c r="J2">
        <v>207</v>
      </c>
      <c r="K2">
        <v>6193.71</v>
      </c>
      <c r="L2">
        <v>0</v>
      </c>
      <c r="M2">
        <v>0</v>
      </c>
      <c r="N2">
        <v>6193.71</v>
      </c>
      <c r="O2">
        <v>1750.05</v>
      </c>
      <c r="P2">
        <v>4443.66</v>
      </c>
      <c r="Q2">
        <v>47.35</v>
      </c>
      <c r="R2">
        <v>155.74</v>
      </c>
      <c r="S2">
        <v>370</v>
      </c>
      <c r="T2">
        <v>115</v>
      </c>
      <c r="U2">
        <v>4</v>
      </c>
      <c r="V2">
        <v>92</v>
      </c>
      <c r="W2">
        <v>20</v>
      </c>
      <c r="X2">
        <v>29.92</v>
      </c>
      <c r="Y2">
        <v>1.79</v>
      </c>
      <c r="Z2">
        <v>71.73999999999999</v>
      </c>
      <c r="AA2">
        <v>2000</v>
      </c>
      <c r="AB2">
        <v>1150.68</v>
      </c>
      <c r="AC2">
        <v>230.98</v>
      </c>
      <c r="AD2">
        <v>110</v>
      </c>
      <c r="AE2">
        <v>176.93</v>
      </c>
      <c r="AF2">
        <v>3668.59</v>
      </c>
      <c r="AG2">
        <v>571.98</v>
      </c>
      <c r="AH2">
        <v>9.23</v>
      </c>
    </row>
    <row r="3" spans="1:34">
      <c r="A3" t="s">
        <v>532</v>
      </c>
      <c r="B3" t="s">
        <v>258</v>
      </c>
      <c r="C3" t="b">
        <v>0</v>
      </c>
      <c r="D3" t="b">
        <v>0</v>
      </c>
      <c r="E3" t="s">
        <v>80</v>
      </c>
      <c r="F3" t="s">
        <v>82</v>
      </c>
      <c r="G3" t="s">
        <v>81</v>
      </c>
      <c r="H3">
        <v>15.4</v>
      </c>
      <c r="I3">
        <v>6</v>
      </c>
      <c r="J3">
        <v>202</v>
      </c>
      <c r="K3">
        <v>5622.41</v>
      </c>
      <c r="L3">
        <v>73.04000000000001</v>
      </c>
      <c r="M3">
        <v>0</v>
      </c>
      <c r="N3">
        <v>5549.37</v>
      </c>
      <c r="O3">
        <v>1568.9</v>
      </c>
      <c r="P3">
        <v>3980.47</v>
      </c>
      <c r="Q3">
        <v>43.94</v>
      </c>
      <c r="R3">
        <v>172.91</v>
      </c>
      <c r="S3">
        <v>338</v>
      </c>
      <c r="T3">
        <v>119</v>
      </c>
      <c r="U3">
        <v>8</v>
      </c>
      <c r="V3">
        <v>83</v>
      </c>
      <c r="W3">
        <v>18</v>
      </c>
      <c r="X3">
        <v>27.47</v>
      </c>
      <c r="Y3">
        <v>1.67</v>
      </c>
      <c r="Z3">
        <v>71.73</v>
      </c>
      <c r="AA3">
        <v>2000</v>
      </c>
      <c r="AB3">
        <v>1150.68</v>
      </c>
      <c r="AC3">
        <v>205.34</v>
      </c>
      <c r="AD3">
        <v>110</v>
      </c>
      <c r="AE3">
        <v>168.46</v>
      </c>
      <c r="AF3">
        <v>3634.48</v>
      </c>
      <c r="AG3">
        <v>129.14</v>
      </c>
      <c r="AH3">
        <v>2.33</v>
      </c>
    </row>
    <row r="4" spans="1:34">
      <c r="A4" t="s">
        <v>533</v>
      </c>
      <c r="B4" t="s">
        <v>259</v>
      </c>
      <c r="C4" t="b">
        <v>0</v>
      </c>
      <c r="D4" t="b">
        <v>0</v>
      </c>
      <c r="E4" t="s">
        <v>80</v>
      </c>
      <c r="F4" t="s">
        <v>82</v>
      </c>
      <c r="G4" t="s">
        <v>81</v>
      </c>
      <c r="H4">
        <v>16.1</v>
      </c>
      <c r="I4">
        <v>7</v>
      </c>
      <c r="J4">
        <v>208</v>
      </c>
      <c r="K4">
        <v>5650.24</v>
      </c>
      <c r="L4">
        <v>79.98999999999999</v>
      </c>
      <c r="M4">
        <v>0</v>
      </c>
      <c r="N4">
        <v>5570.25</v>
      </c>
      <c r="O4">
        <v>1549.1</v>
      </c>
      <c r="P4">
        <v>4021.15</v>
      </c>
      <c r="Q4">
        <v>38.25</v>
      </c>
      <c r="R4">
        <v>183.66</v>
      </c>
      <c r="S4">
        <v>339</v>
      </c>
      <c r="T4">
        <v>121</v>
      </c>
      <c r="U4">
        <v>6</v>
      </c>
      <c r="V4">
        <v>87</v>
      </c>
      <c r="W4">
        <v>22</v>
      </c>
      <c r="X4">
        <v>26.78</v>
      </c>
      <c r="Y4">
        <v>1.63</v>
      </c>
      <c r="Z4">
        <v>72.19</v>
      </c>
      <c r="AA4">
        <v>2000</v>
      </c>
      <c r="AB4">
        <v>1150.68</v>
      </c>
      <c r="AC4">
        <v>207.25</v>
      </c>
      <c r="AD4">
        <v>110</v>
      </c>
      <c r="AE4">
        <v>165.53</v>
      </c>
      <c r="AF4">
        <v>3633.46</v>
      </c>
      <c r="AG4">
        <v>165.78</v>
      </c>
      <c r="AH4">
        <v>2.98</v>
      </c>
    </row>
    <row r="5" spans="1:34">
      <c r="A5" t="s">
        <v>534</v>
      </c>
      <c r="B5" t="s">
        <v>260</v>
      </c>
      <c r="C5" t="b">
        <v>0</v>
      </c>
      <c r="D5" t="b">
        <v>0</v>
      </c>
      <c r="E5" t="s">
        <v>80</v>
      </c>
      <c r="F5" t="s">
        <v>82</v>
      </c>
      <c r="G5" t="s">
        <v>81</v>
      </c>
      <c r="H5">
        <v>16</v>
      </c>
      <c r="I5">
        <v>8</v>
      </c>
      <c r="J5">
        <v>216</v>
      </c>
      <c r="K5">
        <v>6111.91</v>
      </c>
      <c r="L5">
        <v>71.3</v>
      </c>
      <c r="M5">
        <v>0</v>
      </c>
      <c r="N5">
        <v>6040.61</v>
      </c>
      <c r="O5">
        <v>1735.6</v>
      </c>
      <c r="P5">
        <v>4305.01</v>
      </c>
      <c r="Q5">
        <v>51.45</v>
      </c>
      <c r="R5">
        <v>190.9</v>
      </c>
      <c r="S5">
        <v>365</v>
      </c>
      <c r="T5">
        <v>112</v>
      </c>
      <c r="U5">
        <v>7</v>
      </c>
      <c r="V5">
        <v>104</v>
      </c>
      <c r="W5">
        <v>25</v>
      </c>
      <c r="X5">
        <v>27.97</v>
      </c>
      <c r="Y5">
        <v>1.69</v>
      </c>
      <c r="Z5">
        <v>71.27</v>
      </c>
      <c r="AA5">
        <v>2000</v>
      </c>
      <c r="AB5">
        <v>1150.68</v>
      </c>
      <c r="AC5">
        <v>222.61</v>
      </c>
      <c r="AD5">
        <v>110</v>
      </c>
      <c r="AE5">
        <v>197.77</v>
      </c>
      <c r="AF5">
        <v>3681.06</v>
      </c>
      <c r="AG5">
        <v>381.6</v>
      </c>
      <c r="AH5">
        <v>6.32</v>
      </c>
    </row>
    <row r="6" spans="1:34">
      <c r="A6" t="s">
        <v>535</v>
      </c>
      <c r="B6" t="s">
        <v>261</v>
      </c>
      <c r="C6" t="b">
        <v>0</v>
      </c>
      <c r="D6" t="b">
        <v>0</v>
      </c>
      <c r="E6" t="s">
        <v>80</v>
      </c>
      <c r="F6" t="s">
        <v>82</v>
      </c>
      <c r="G6" t="s">
        <v>81</v>
      </c>
      <c r="H6">
        <v>16</v>
      </c>
      <c r="I6">
        <v>9</v>
      </c>
      <c r="J6">
        <v>267</v>
      </c>
      <c r="K6">
        <v>8756.379999999999</v>
      </c>
      <c r="L6">
        <v>95.64</v>
      </c>
      <c r="M6">
        <v>19.13</v>
      </c>
      <c r="N6">
        <v>8641.610000000001</v>
      </c>
      <c r="O6">
        <v>2484.95</v>
      </c>
      <c r="P6">
        <v>6156.66</v>
      </c>
      <c r="Q6">
        <v>71.03</v>
      </c>
      <c r="R6">
        <v>237.42</v>
      </c>
      <c r="S6">
        <v>511</v>
      </c>
      <c r="T6">
        <v>143</v>
      </c>
      <c r="U6">
        <v>5</v>
      </c>
      <c r="V6">
        <v>124</v>
      </c>
      <c r="W6">
        <v>26</v>
      </c>
      <c r="X6">
        <v>32.37</v>
      </c>
      <c r="Y6">
        <v>1.91</v>
      </c>
      <c r="Z6">
        <v>71.23999999999999</v>
      </c>
      <c r="AA6">
        <v>2000</v>
      </c>
      <c r="AB6">
        <v>1150.68</v>
      </c>
      <c r="AC6">
        <v>192.67</v>
      </c>
      <c r="AD6">
        <v>110</v>
      </c>
      <c r="AE6">
        <v>184.09</v>
      </c>
      <c r="AF6">
        <v>3637.44</v>
      </c>
      <c r="AG6">
        <v>2210.77</v>
      </c>
      <c r="AH6">
        <v>25.58</v>
      </c>
    </row>
    <row r="7" spans="1:34">
      <c r="A7" t="s">
        <v>536</v>
      </c>
      <c r="B7" t="s">
        <v>262</v>
      </c>
      <c r="C7" t="b">
        <v>1</v>
      </c>
      <c r="D7" t="b">
        <v>0</v>
      </c>
      <c r="E7" t="s">
        <v>80</v>
      </c>
      <c r="F7" t="s">
        <v>82</v>
      </c>
      <c r="G7" t="s">
        <v>81</v>
      </c>
      <c r="H7">
        <v>16.6</v>
      </c>
      <c r="I7">
        <v>10</v>
      </c>
      <c r="J7">
        <v>202</v>
      </c>
      <c r="K7">
        <v>7914.54</v>
      </c>
      <c r="L7">
        <v>70.43000000000001</v>
      </c>
      <c r="M7">
        <v>22.61</v>
      </c>
      <c r="N7">
        <v>7821.5</v>
      </c>
      <c r="O7">
        <v>2215.9</v>
      </c>
      <c r="P7">
        <v>5605.6</v>
      </c>
      <c r="Q7">
        <v>59.38</v>
      </c>
      <c r="R7">
        <v>213.29</v>
      </c>
      <c r="S7">
        <v>473</v>
      </c>
      <c r="T7">
        <v>109</v>
      </c>
      <c r="U7">
        <v>10</v>
      </c>
      <c r="V7">
        <v>93</v>
      </c>
      <c r="W7">
        <v>25</v>
      </c>
      <c r="X7">
        <v>38.72</v>
      </c>
      <c r="Y7">
        <v>2.34</v>
      </c>
      <c r="Z7">
        <v>71.67</v>
      </c>
      <c r="AA7">
        <v>2000</v>
      </c>
      <c r="AB7">
        <v>1150.68</v>
      </c>
      <c r="AC7">
        <v>204.21</v>
      </c>
      <c r="AD7">
        <v>110</v>
      </c>
      <c r="AE7">
        <v>177.61</v>
      </c>
      <c r="AF7">
        <v>3642.5</v>
      </c>
      <c r="AG7">
        <v>1690.43</v>
      </c>
      <c r="AH7">
        <v>21.61</v>
      </c>
    </row>
    <row r="8" spans="1:34">
      <c r="A8" t="s">
        <v>537</v>
      </c>
      <c r="B8" t="s">
        <v>263</v>
      </c>
      <c r="C8" t="b">
        <v>1</v>
      </c>
      <c r="D8" t="b">
        <v>0</v>
      </c>
      <c r="E8" t="s">
        <v>80</v>
      </c>
      <c r="F8" t="s">
        <v>82</v>
      </c>
      <c r="G8" t="s">
        <v>81</v>
      </c>
      <c r="H8">
        <v>16.8</v>
      </c>
      <c r="I8">
        <v>11</v>
      </c>
      <c r="J8">
        <v>246</v>
      </c>
      <c r="K8">
        <v>9072.959999999999</v>
      </c>
      <c r="L8">
        <v>56.51</v>
      </c>
      <c r="M8">
        <v>25.22</v>
      </c>
      <c r="N8">
        <v>8991.23</v>
      </c>
      <c r="O8">
        <v>2606.7</v>
      </c>
      <c r="P8">
        <v>6384.53</v>
      </c>
      <c r="Q8">
        <v>68.53</v>
      </c>
      <c r="R8">
        <v>337.45</v>
      </c>
      <c r="S8">
        <v>540</v>
      </c>
      <c r="T8">
        <v>146</v>
      </c>
      <c r="U8">
        <v>14</v>
      </c>
      <c r="V8">
        <v>100</v>
      </c>
      <c r="W8">
        <v>42</v>
      </c>
      <c r="X8">
        <v>36.55</v>
      </c>
      <c r="Y8">
        <v>2.2</v>
      </c>
      <c r="Z8">
        <v>71.01000000000001</v>
      </c>
      <c r="AA8">
        <v>2000</v>
      </c>
      <c r="AB8">
        <v>1150.68</v>
      </c>
      <c r="AC8">
        <v>207.66</v>
      </c>
      <c r="AD8">
        <v>110</v>
      </c>
      <c r="AE8">
        <v>229.41</v>
      </c>
      <c r="AF8">
        <v>3697.75</v>
      </c>
      <c r="AG8">
        <v>2280.8</v>
      </c>
      <c r="AH8">
        <v>25.37</v>
      </c>
    </row>
    <row r="9" spans="1:34">
      <c r="A9" t="s">
        <v>366</v>
      </c>
      <c r="B9" t="s">
        <v>75</v>
      </c>
      <c r="C9" t="b">
        <v>0</v>
      </c>
      <c r="D9" t="b">
        <v>0</v>
      </c>
      <c r="E9" t="s">
        <v>80</v>
      </c>
      <c r="F9" t="s">
        <v>82</v>
      </c>
      <c r="G9" t="s">
        <v>81</v>
      </c>
      <c r="H9">
        <v>14</v>
      </c>
      <c r="I9">
        <v>12</v>
      </c>
      <c r="J9">
        <v>204</v>
      </c>
      <c r="K9">
        <v>5700.72</v>
      </c>
      <c r="L9">
        <v>169.56</v>
      </c>
      <c r="M9">
        <v>0</v>
      </c>
      <c r="N9">
        <v>5531.16</v>
      </c>
      <c r="O9">
        <v>1627.6</v>
      </c>
      <c r="P9">
        <v>3903.56</v>
      </c>
      <c r="Q9">
        <v>42.87</v>
      </c>
      <c r="R9">
        <v>191.5</v>
      </c>
      <c r="S9">
        <v>343</v>
      </c>
      <c r="T9">
        <v>114</v>
      </c>
      <c r="U9">
        <v>7</v>
      </c>
      <c r="V9">
        <v>90</v>
      </c>
      <c r="W9">
        <v>22</v>
      </c>
      <c r="X9">
        <v>27.11</v>
      </c>
      <c r="Y9">
        <v>1.68</v>
      </c>
      <c r="Z9">
        <v>70.56999999999999</v>
      </c>
      <c r="AA9">
        <v>2000</v>
      </c>
      <c r="AB9">
        <v>1150.68</v>
      </c>
      <c r="AC9">
        <v>180.12</v>
      </c>
      <c r="AD9">
        <v>110</v>
      </c>
      <c r="AE9">
        <v>201.61</v>
      </c>
      <c r="AF9">
        <v>3642.41</v>
      </c>
      <c r="AG9">
        <v>26.78</v>
      </c>
      <c r="AH9">
        <v>0.48</v>
      </c>
    </row>
    <row r="10" spans="1:34">
      <c r="A10" t="s">
        <v>538</v>
      </c>
      <c r="B10" t="s">
        <v>258</v>
      </c>
      <c r="C10" t="b">
        <v>0</v>
      </c>
      <c r="D10" t="b">
        <v>0</v>
      </c>
      <c r="E10" t="s">
        <v>80</v>
      </c>
      <c r="F10" t="s">
        <v>82</v>
      </c>
      <c r="G10" t="s">
        <v>81</v>
      </c>
      <c r="H10">
        <v>13.5</v>
      </c>
      <c r="I10">
        <v>13</v>
      </c>
      <c r="J10">
        <v>201</v>
      </c>
      <c r="K10">
        <v>5679.83</v>
      </c>
      <c r="L10">
        <v>159.12</v>
      </c>
      <c r="M10">
        <v>58.26</v>
      </c>
      <c r="N10">
        <v>5462.45</v>
      </c>
      <c r="O10">
        <v>1576.5</v>
      </c>
      <c r="P10">
        <v>3885.95</v>
      </c>
      <c r="Q10">
        <v>44.57</v>
      </c>
      <c r="R10">
        <v>209.08</v>
      </c>
      <c r="S10">
        <v>340</v>
      </c>
      <c r="T10">
        <v>127</v>
      </c>
      <c r="U10">
        <v>4</v>
      </c>
      <c r="V10">
        <v>74</v>
      </c>
      <c r="W10">
        <v>22</v>
      </c>
      <c r="X10">
        <v>27.18</v>
      </c>
      <c r="Y10">
        <v>1.69</v>
      </c>
      <c r="Z10">
        <v>71.14</v>
      </c>
      <c r="AA10">
        <v>2000</v>
      </c>
      <c r="AB10">
        <v>1150.68</v>
      </c>
      <c r="AC10">
        <v>210.36</v>
      </c>
      <c r="AD10">
        <v>110</v>
      </c>
      <c r="AE10">
        <v>223.2</v>
      </c>
      <c r="AF10">
        <v>3694.24</v>
      </c>
      <c r="AG10">
        <v>-61.94</v>
      </c>
      <c r="AH10">
        <v>-1.13</v>
      </c>
    </row>
    <row r="11" spans="1:34">
      <c r="A11" t="s">
        <v>539</v>
      </c>
      <c r="B11" t="s">
        <v>259</v>
      </c>
      <c r="C11" t="b">
        <v>0</v>
      </c>
      <c r="D11" t="b">
        <v>0</v>
      </c>
      <c r="E11" t="s">
        <v>80</v>
      </c>
      <c r="F11" t="s">
        <v>82</v>
      </c>
      <c r="G11" t="s">
        <v>81</v>
      </c>
      <c r="H11">
        <v>13.8</v>
      </c>
      <c r="I11">
        <v>14</v>
      </c>
      <c r="J11">
        <v>183</v>
      </c>
      <c r="K11">
        <v>5143.28</v>
      </c>
      <c r="L11">
        <v>187.81</v>
      </c>
      <c r="M11">
        <v>17.39</v>
      </c>
      <c r="N11">
        <v>4938.08</v>
      </c>
      <c r="O11">
        <v>1402.4</v>
      </c>
      <c r="P11">
        <v>3535.68</v>
      </c>
      <c r="Q11">
        <v>33.38</v>
      </c>
      <c r="R11">
        <v>180.76</v>
      </c>
      <c r="S11">
        <v>310</v>
      </c>
      <c r="T11">
        <v>109</v>
      </c>
      <c r="U11">
        <v>3</v>
      </c>
      <c r="V11">
        <v>74</v>
      </c>
      <c r="W11">
        <v>24</v>
      </c>
      <c r="X11">
        <v>26.98</v>
      </c>
      <c r="Y11">
        <v>1.69</v>
      </c>
      <c r="Z11">
        <v>71.59999999999999</v>
      </c>
      <c r="AA11">
        <v>2000</v>
      </c>
      <c r="AB11">
        <v>1150.68</v>
      </c>
      <c r="AC11">
        <v>221.43</v>
      </c>
      <c r="AD11">
        <v>110</v>
      </c>
      <c r="AE11">
        <v>213.97</v>
      </c>
      <c r="AF11">
        <v>3696.08</v>
      </c>
      <c r="AG11">
        <v>-374.54</v>
      </c>
      <c r="AH11">
        <v>-7.58</v>
      </c>
    </row>
    <row r="12" spans="1:34">
      <c r="A12" t="s">
        <v>540</v>
      </c>
      <c r="B12" t="s">
        <v>260</v>
      </c>
      <c r="C12" t="b">
        <v>0</v>
      </c>
      <c r="D12" t="b">
        <v>0</v>
      </c>
      <c r="E12" t="s">
        <v>80</v>
      </c>
      <c r="F12" t="s">
        <v>82</v>
      </c>
      <c r="G12" t="s">
        <v>81</v>
      </c>
      <c r="H12">
        <v>13.4</v>
      </c>
      <c r="I12">
        <v>15</v>
      </c>
      <c r="J12">
        <v>258</v>
      </c>
      <c r="K12">
        <v>7124.96</v>
      </c>
      <c r="L12">
        <v>133.9</v>
      </c>
      <c r="M12">
        <v>0</v>
      </c>
      <c r="N12">
        <v>6991.06</v>
      </c>
      <c r="O12">
        <v>1965.7</v>
      </c>
      <c r="P12">
        <v>5025.36</v>
      </c>
      <c r="Q12">
        <v>49.31</v>
      </c>
      <c r="R12">
        <v>315.8</v>
      </c>
      <c r="S12">
        <v>435</v>
      </c>
      <c r="T12">
        <v>161</v>
      </c>
      <c r="U12">
        <v>10</v>
      </c>
      <c r="V12">
        <v>97</v>
      </c>
      <c r="W12">
        <v>39</v>
      </c>
      <c r="X12">
        <v>27.1</v>
      </c>
      <c r="Y12">
        <v>1.69</v>
      </c>
      <c r="Z12">
        <v>71.88</v>
      </c>
      <c r="AA12">
        <v>2000</v>
      </c>
      <c r="AB12">
        <v>1150.68</v>
      </c>
      <c r="AC12">
        <v>217.61</v>
      </c>
      <c r="AD12">
        <v>110</v>
      </c>
      <c r="AE12">
        <v>179.51</v>
      </c>
      <c r="AF12">
        <v>3657.8</v>
      </c>
      <c r="AG12">
        <v>1002.45</v>
      </c>
      <c r="AH12">
        <v>14.34</v>
      </c>
    </row>
    <row r="13" spans="1:34">
      <c r="A13" t="s">
        <v>541</v>
      </c>
      <c r="B13" t="s">
        <v>261</v>
      </c>
      <c r="C13" t="b">
        <v>0</v>
      </c>
      <c r="D13" t="b">
        <v>0</v>
      </c>
      <c r="E13" t="s">
        <v>80</v>
      </c>
      <c r="F13" t="s">
        <v>82</v>
      </c>
      <c r="G13" t="s">
        <v>81</v>
      </c>
      <c r="H13">
        <v>13.7</v>
      </c>
      <c r="I13">
        <v>16</v>
      </c>
      <c r="J13">
        <v>282</v>
      </c>
      <c r="K13">
        <v>9124.190000000001</v>
      </c>
      <c r="L13">
        <v>270.41</v>
      </c>
      <c r="M13">
        <v>19.13</v>
      </c>
      <c r="N13">
        <v>8834.65</v>
      </c>
      <c r="O13">
        <v>2588.85</v>
      </c>
      <c r="P13">
        <v>6245.8</v>
      </c>
      <c r="Q13">
        <v>67.27</v>
      </c>
      <c r="R13">
        <v>250.96</v>
      </c>
      <c r="S13">
        <v>542</v>
      </c>
      <c r="T13">
        <v>162</v>
      </c>
      <c r="U13">
        <v>8</v>
      </c>
      <c r="V13">
        <v>120</v>
      </c>
      <c r="W13">
        <v>25</v>
      </c>
      <c r="X13">
        <v>31.33</v>
      </c>
      <c r="Y13">
        <v>1.92</v>
      </c>
      <c r="Z13">
        <v>70.7</v>
      </c>
      <c r="AA13">
        <v>2000</v>
      </c>
      <c r="AB13">
        <v>1150.68</v>
      </c>
      <c r="AC13">
        <v>247.44</v>
      </c>
      <c r="AD13">
        <v>110</v>
      </c>
      <c r="AE13">
        <v>162.78</v>
      </c>
      <c r="AF13">
        <v>3670.9</v>
      </c>
      <c r="AG13">
        <v>2256.67</v>
      </c>
      <c r="AH13">
        <v>25.54</v>
      </c>
    </row>
    <row r="14" spans="1:34">
      <c r="A14" t="s">
        <v>542</v>
      </c>
      <c r="B14" t="s">
        <v>262</v>
      </c>
      <c r="C14" t="b">
        <v>1</v>
      </c>
      <c r="D14" t="b">
        <v>0</v>
      </c>
      <c r="E14" t="s">
        <v>80</v>
      </c>
      <c r="F14" t="s">
        <v>82</v>
      </c>
      <c r="G14" t="s">
        <v>81</v>
      </c>
      <c r="H14">
        <v>12.9</v>
      </c>
      <c r="I14">
        <v>17</v>
      </c>
      <c r="J14">
        <v>187</v>
      </c>
      <c r="K14">
        <v>6485.96</v>
      </c>
      <c r="L14">
        <v>169.55</v>
      </c>
      <c r="M14">
        <v>0</v>
      </c>
      <c r="N14">
        <v>6316.41</v>
      </c>
      <c r="O14">
        <v>1780.15</v>
      </c>
      <c r="P14">
        <v>4536.26</v>
      </c>
      <c r="Q14">
        <v>50.64</v>
      </c>
      <c r="R14">
        <v>183.26</v>
      </c>
      <c r="S14">
        <v>401</v>
      </c>
      <c r="T14">
        <v>111</v>
      </c>
      <c r="U14">
        <v>10</v>
      </c>
      <c r="V14">
        <v>76</v>
      </c>
      <c r="W14">
        <v>27</v>
      </c>
      <c r="X14">
        <v>33.78</v>
      </c>
      <c r="Y14">
        <v>2.14</v>
      </c>
      <c r="Z14">
        <v>71.81999999999999</v>
      </c>
      <c r="AA14">
        <v>2000</v>
      </c>
      <c r="AB14">
        <v>1150.68</v>
      </c>
      <c r="AC14">
        <v>212.89</v>
      </c>
      <c r="AD14">
        <v>110</v>
      </c>
      <c r="AE14">
        <v>196.6</v>
      </c>
      <c r="AF14">
        <v>3670.17</v>
      </c>
      <c r="AG14">
        <v>632.1900000000001</v>
      </c>
      <c r="AH14">
        <v>10.01</v>
      </c>
    </row>
    <row r="15" spans="1:34">
      <c r="A15" t="s">
        <v>543</v>
      </c>
      <c r="B15" t="s">
        <v>263</v>
      </c>
      <c r="C15" t="b">
        <v>1</v>
      </c>
      <c r="D15" t="b">
        <v>0</v>
      </c>
      <c r="E15" t="s">
        <v>80</v>
      </c>
      <c r="F15" t="s">
        <v>82</v>
      </c>
      <c r="G15" t="s">
        <v>81</v>
      </c>
      <c r="H15">
        <v>14</v>
      </c>
      <c r="I15">
        <v>18</v>
      </c>
      <c r="J15">
        <v>171</v>
      </c>
      <c r="K15">
        <v>6443.39</v>
      </c>
      <c r="L15">
        <v>36.52</v>
      </c>
      <c r="M15">
        <v>25.22</v>
      </c>
      <c r="N15">
        <v>6381.65</v>
      </c>
      <c r="O15">
        <v>1803.5</v>
      </c>
      <c r="P15">
        <v>4578.15</v>
      </c>
      <c r="Q15">
        <v>47.32</v>
      </c>
      <c r="R15">
        <v>155.15</v>
      </c>
      <c r="S15">
        <v>383</v>
      </c>
      <c r="T15">
        <v>100</v>
      </c>
      <c r="U15">
        <v>7</v>
      </c>
      <c r="V15">
        <v>71</v>
      </c>
      <c r="W15">
        <v>19</v>
      </c>
      <c r="X15">
        <v>37.32</v>
      </c>
      <c r="Y15">
        <v>2.24</v>
      </c>
      <c r="Z15">
        <v>71.73999999999999</v>
      </c>
      <c r="AA15">
        <v>2000</v>
      </c>
      <c r="AB15">
        <v>1150.68</v>
      </c>
      <c r="AC15">
        <v>208.85</v>
      </c>
      <c r="AD15">
        <v>110</v>
      </c>
      <c r="AE15">
        <v>173.57</v>
      </c>
      <c r="AF15">
        <v>3643.1</v>
      </c>
      <c r="AG15">
        <v>732.58</v>
      </c>
      <c r="AH15">
        <v>11.48</v>
      </c>
    </row>
    <row r="16" spans="1:34">
      <c r="A16" t="s">
        <v>367</v>
      </c>
      <c r="B16" t="s">
        <v>75</v>
      </c>
      <c r="C16" t="b">
        <v>0</v>
      </c>
      <c r="D16" t="b">
        <v>0</v>
      </c>
      <c r="E16" t="s">
        <v>80</v>
      </c>
      <c r="F16" t="s">
        <v>82</v>
      </c>
      <c r="G16" t="s">
        <v>81</v>
      </c>
      <c r="H16">
        <v>15.1</v>
      </c>
      <c r="I16">
        <v>19</v>
      </c>
      <c r="J16">
        <v>188</v>
      </c>
      <c r="K16">
        <v>5303.39</v>
      </c>
      <c r="L16">
        <v>136.52</v>
      </c>
      <c r="M16">
        <v>23.48</v>
      </c>
      <c r="N16">
        <v>5143.39</v>
      </c>
      <c r="O16">
        <v>1494.4</v>
      </c>
      <c r="P16">
        <v>3648.99</v>
      </c>
      <c r="Q16">
        <v>36.99</v>
      </c>
      <c r="R16">
        <v>183.09</v>
      </c>
      <c r="S16">
        <v>317</v>
      </c>
      <c r="T16">
        <v>118</v>
      </c>
      <c r="U16">
        <v>6</v>
      </c>
      <c r="V16">
        <v>70</v>
      </c>
      <c r="W16">
        <v>21</v>
      </c>
      <c r="X16">
        <v>27.36</v>
      </c>
      <c r="Y16">
        <v>1.69</v>
      </c>
      <c r="Z16">
        <v>70.95</v>
      </c>
      <c r="AA16">
        <v>2000</v>
      </c>
      <c r="AB16">
        <v>1150.68</v>
      </c>
      <c r="AC16">
        <v>204</v>
      </c>
      <c r="AD16">
        <v>110</v>
      </c>
      <c r="AE16">
        <v>186.35</v>
      </c>
      <c r="AF16">
        <v>3651.03</v>
      </c>
      <c r="AG16">
        <v>-222.12</v>
      </c>
      <c r="AH16">
        <v>-4.32</v>
      </c>
    </row>
    <row r="17" spans="1:34">
      <c r="A17" t="s">
        <v>544</v>
      </c>
      <c r="B17" t="s">
        <v>258</v>
      </c>
      <c r="C17" t="b">
        <v>0</v>
      </c>
      <c r="D17" t="b">
        <v>0</v>
      </c>
      <c r="E17" t="s">
        <v>80</v>
      </c>
      <c r="F17" t="s">
        <v>82</v>
      </c>
      <c r="G17" t="s">
        <v>81</v>
      </c>
      <c r="H17">
        <v>14.2</v>
      </c>
      <c r="I17">
        <v>20</v>
      </c>
      <c r="J17">
        <v>196</v>
      </c>
      <c r="K17">
        <v>5405.83</v>
      </c>
      <c r="L17">
        <v>78.25</v>
      </c>
      <c r="M17">
        <v>0</v>
      </c>
      <c r="N17">
        <v>5327.58</v>
      </c>
      <c r="O17">
        <v>1531.7</v>
      </c>
      <c r="P17">
        <v>3795.88</v>
      </c>
      <c r="Q17">
        <v>43.44</v>
      </c>
      <c r="R17">
        <v>112.65</v>
      </c>
      <c r="S17">
        <v>328</v>
      </c>
      <c r="T17">
        <v>102</v>
      </c>
      <c r="U17">
        <v>8</v>
      </c>
      <c r="V17">
        <v>94</v>
      </c>
      <c r="W17">
        <v>15</v>
      </c>
      <c r="X17">
        <v>27.18</v>
      </c>
      <c r="Y17">
        <v>1.67</v>
      </c>
      <c r="Z17">
        <v>71.25</v>
      </c>
      <c r="AA17">
        <v>2000</v>
      </c>
      <c r="AB17">
        <v>1150.68</v>
      </c>
      <c r="AC17">
        <v>208.8</v>
      </c>
      <c r="AD17">
        <v>110</v>
      </c>
      <c r="AE17">
        <v>179.73</v>
      </c>
      <c r="AF17">
        <v>3649.21</v>
      </c>
      <c r="AG17">
        <v>-9.42</v>
      </c>
      <c r="AH17">
        <v>-0.18</v>
      </c>
    </row>
    <row r="18" spans="1:34">
      <c r="A18" t="s">
        <v>545</v>
      </c>
      <c r="B18" t="s">
        <v>259</v>
      </c>
      <c r="C18" t="b">
        <v>0</v>
      </c>
      <c r="D18" t="b">
        <v>0</v>
      </c>
      <c r="E18" t="s">
        <v>80</v>
      </c>
      <c r="F18" t="s">
        <v>82</v>
      </c>
      <c r="G18" t="s">
        <v>81</v>
      </c>
      <c r="H18">
        <v>13</v>
      </c>
      <c r="I18">
        <v>21</v>
      </c>
      <c r="J18">
        <v>179</v>
      </c>
      <c r="K18">
        <v>4730.23</v>
      </c>
      <c r="L18">
        <v>93.92</v>
      </c>
      <c r="M18">
        <v>0</v>
      </c>
      <c r="N18">
        <v>4636.31</v>
      </c>
      <c r="O18">
        <v>1291</v>
      </c>
      <c r="P18">
        <v>3345.31</v>
      </c>
      <c r="Q18">
        <v>34.75</v>
      </c>
      <c r="R18">
        <v>193.81</v>
      </c>
      <c r="S18">
        <v>286</v>
      </c>
      <c r="T18">
        <v>86</v>
      </c>
      <c r="U18">
        <v>7</v>
      </c>
      <c r="V18">
        <v>93</v>
      </c>
      <c r="W18">
        <v>25</v>
      </c>
      <c r="X18">
        <v>25.9</v>
      </c>
      <c r="Y18">
        <v>1.6</v>
      </c>
      <c r="Z18">
        <v>72.15000000000001</v>
      </c>
      <c r="AA18">
        <v>2000</v>
      </c>
      <c r="AB18">
        <v>1150.68</v>
      </c>
      <c r="AC18">
        <v>209.58</v>
      </c>
      <c r="AD18">
        <v>110</v>
      </c>
      <c r="AE18">
        <v>186.57</v>
      </c>
      <c r="AF18">
        <v>3656.83</v>
      </c>
      <c r="AG18">
        <v>-540.08</v>
      </c>
      <c r="AH18">
        <v>-11.65</v>
      </c>
    </row>
    <row r="19" spans="1:34">
      <c r="A19" t="s">
        <v>546</v>
      </c>
      <c r="B19" t="s">
        <v>260</v>
      </c>
      <c r="C19" t="b">
        <v>0</v>
      </c>
      <c r="D19" t="b">
        <v>0</v>
      </c>
      <c r="E19" t="s">
        <v>80</v>
      </c>
      <c r="F19" t="s">
        <v>82</v>
      </c>
      <c r="G19" t="s">
        <v>81</v>
      </c>
      <c r="H19">
        <v>15.5</v>
      </c>
      <c r="I19">
        <v>22</v>
      </c>
      <c r="J19">
        <v>206</v>
      </c>
      <c r="K19">
        <v>5656.31</v>
      </c>
      <c r="L19">
        <v>237.37</v>
      </c>
      <c r="M19">
        <v>34.78</v>
      </c>
      <c r="N19">
        <v>5384.16</v>
      </c>
      <c r="O19">
        <v>1557.35</v>
      </c>
      <c r="P19">
        <v>3826.81</v>
      </c>
      <c r="Q19">
        <v>40.78</v>
      </c>
      <c r="R19">
        <v>222.26</v>
      </c>
      <c r="S19">
        <v>342</v>
      </c>
      <c r="T19">
        <v>123</v>
      </c>
      <c r="U19">
        <v>4</v>
      </c>
      <c r="V19">
        <v>83</v>
      </c>
      <c r="W19">
        <v>30</v>
      </c>
      <c r="X19">
        <v>26.14</v>
      </c>
      <c r="Y19">
        <v>1.66</v>
      </c>
      <c r="Z19">
        <v>71.08</v>
      </c>
      <c r="AA19">
        <v>2000</v>
      </c>
      <c r="AB19">
        <v>1150.68</v>
      </c>
      <c r="AC19">
        <v>198.79</v>
      </c>
      <c r="AD19">
        <v>110</v>
      </c>
      <c r="AE19">
        <v>172.93</v>
      </c>
      <c r="AF19">
        <v>3632.4</v>
      </c>
      <c r="AG19">
        <v>-68.63</v>
      </c>
      <c r="AH19">
        <v>-1.27</v>
      </c>
    </row>
    <row r="20" spans="1:34">
      <c r="A20" t="s">
        <v>547</v>
      </c>
      <c r="B20" t="s">
        <v>261</v>
      </c>
      <c r="C20" t="b">
        <v>0</v>
      </c>
      <c r="D20" t="b">
        <v>0</v>
      </c>
      <c r="E20" t="s">
        <v>80</v>
      </c>
      <c r="F20" t="s">
        <v>82</v>
      </c>
      <c r="G20" t="s">
        <v>81</v>
      </c>
      <c r="H20">
        <v>14.8</v>
      </c>
      <c r="I20">
        <v>23</v>
      </c>
      <c r="J20">
        <v>247</v>
      </c>
      <c r="K20">
        <v>7525.85</v>
      </c>
      <c r="L20">
        <v>267.81</v>
      </c>
      <c r="M20">
        <v>15.65</v>
      </c>
      <c r="N20">
        <v>7242.39</v>
      </c>
      <c r="O20">
        <v>2097.25</v>
      </c>
      <c r="P20">
        <v>5145.14</v>
      </c>
      <c r="Q20">
        <v>51.39</v>
      </c>
      <c r="R20">
        <v>314.9</v>
      </c>
      <c r="S20">
        <v>456</v>
      </c>
      <c r="T20">
        <v>145</v>
      </c>
      <c r="U20">
        <v>8</v>
      </c>
      <c r="V20">
        <v>102</v>
      </c>
      <c r="W20">
        <v>38</v>
      </c>
      <c r="X20">
        <v>29.32</v>
      </c>
      <c r="Y20">
        <v>1.85</v>
      </c>
      <c r="Z20">
        <v>71.04000000000001</v>
      </c>
      <c r="AA20">
        <v>2000</v>
      </c>
      <c r="AB20">
        <v>1150.68</v>
      </c>
      <c r="AC20">
        <v>203.55</v>
      </c>
      <c r="AD20">
        <v>110</v>
      </c>
      <c r="AE20">
        <v>203.98</v>
      </c>
      <c r="AF20">
        <v>3668.21</v>
      </c>
      <c r="AG20">
        <v>1110.64</v>
      </c>
      <c r="AH20">
        <v>15.34</v>
      </c>
    </row>
    <row r="21" spans="1:34">
      <c r="A21" t="s">
        <v>548</v>
      </c>
      <c r="B21" t="s">
        <v>262</v>
      </c>
      <c r="C21" t="b">
        <v>1</v>
      </c>
      <c r="D21" t="b">
        <v>0</v>
      </c>
      <c r="E21" t="s">
        <v>80</v>
      </c>
      <c r="F21" t="s">
        <v>82</v>
      </c>
      <c r="G21" t="s">
        <v>81</v>
      </c>
      <c r="H21">
        <v>14.5</v>
      </c>
      <c r="I21">
        <v>24</v>
      </c>
      <c r="J21">
        <v>225</v>
      </c>
      <c r="K21">
        <v>7872.81</v>
      </c>
      <c r="L21">
        <v>211.28</v>
      </c>
      <c r="M21">
        <v>0</v>
      </c>
      <c r="N21">
        <v>7661.53</v>
      </c>
      <c r="O21">
        <v>2274.9</v>
      </c>
      <c r="P21">
        <v>5386.63</v>
      </c>
      <c r="Q21">
        <v>57.36</v>
      </c>
      <c r="R21">
        <v>284.08</v>
      </c>
      <c r="S21">
        <v>474</v>
      </c>
      <c r="T21">
        <v>124</v>
      </c>
      <c r="U21">
        <v>7</v>
      </c>
      <c r="V21">
        <v>101</v>
      </c>
      <c r="W21">
        <v>36</v>
      </c>
      <c r="X21">
        <v>34.05</v>
      </c>
      <c r="Y21">
        <v>2.11</v>
      </c>
      <c r="Z21">
        <v>70.31</v>
      </c>
      <c r="AA21">
        <v>2000</v>
      </c>
      <c r="AB21">
        <v>1150.68</v>
      </c>
      <c r="AC21">
        <v>199.28</v>
      </c>
      <c r="AD21">
        <v>110</v>
      </c>
      <c r="AE21">
        <v>193.85</v>
      </c>
      <c r="AF21">
        <v>3653.81</v>
      </c>
      <c r="AG21">
        <v>1391.38</v>
      </c>
      <c r="AH21">
        <v>18.16</v>
      </c>
    </row>
    <row r="22" spans="1:34">
      <c r="A22" t="s">
        <v>549</v>
      </c>
      <c r="B22" t="s">
        <v>263</v>
      </c>
      <c r="C22" t="b">
        <v>1</v>
      </c>
      <c r="D22" t="b">
        <v>0</v>
      </c>
      <c r="E22" t="s">
        <v>80</v>
      </c>
      <c r="F22" t="s">
        <v>82</v>
      </c>
      <c r="G22" t="s">
        <v>81</v>
      </c>
      <c r="H22">
        <v>16.4</v>
      </c>
      <c r="I22">
        <v>25</v>
      </c>
      <c r="J22">
        <v>183</v>
      </c>
      <c r="K22">
        <v>6619</v>
      </c>
      <c r="L22">
        <v>133.03</v>
      </c>
      <c r="M22">
        <v>58.26</v>
      </c>
      <c r="N22">
        <v>6427.71</v>
      </c>
      <c r="O22">
        <v>1900.2</v>
      </c>
      <c r="P22">
        <v>4527.51</v>
      </c>
      <c r="Q22">
        <v>42.15</v>
      </c>
      <c r="R22">
        <v>347.63</v>
      </c>
      <c r="S22">
        <v>395</v>
      </c>
      <c r="T22">
        <v>111</v>
      </c>
      <c r="U22">
        <v>7</v>
      </c>
      <c r="V22">
        <v>72</v>
      </c>
      <c r="W22">
        <v>37</v>
      </c>
      <c r="X22">
        <v>35.12</v>
      </c>
      <c r="Y22">
        <v>2.16</v>
      </c>
      <c r="Z22">
        <v>70.44</v>
      </c>
      <c r="AA22">
        <v>2000</v>
      </c>
      <c r="AB22">
        <v>1150.68</v>
      </c>
      <c r="AC22">
        <v>167.89</v>
      </c>
      <c r="AD22">
        <v>110</v>
      </c>
      <c r="AE22">
        <v>166.18</v>
      </c>
      <c r="AF22">
        <v>3594.75</v>
      </c>
      <c r="AG22">
        <v>542.98</v>
      </c>
      <c r="AH22">
        <v>8.449999999999999</v>
      </c>
    </row>
    <row r="23" spans="1:34">
      <c r="A23" t="s">
        <v>368</v>
      </c>
      <c r="B23" t="s">
        <v>75</v>
      </c>
      <c r="C23" t="b">
        <v>0</v>
      </c>
      <c r="D23" t="b">
        <v>0</v>
      </c>
      <c r="E23" t="s">
        <v>80</v>
      </c>
      <c r="F23" t="s">
        <v>82</v>
      </c>
      <c r="G23" t="s">
        <v>81</v>
      </c>
      <c r="H23">
        <v>17.1</v>
      </c>
      <c r="I23">
        <v>26</v>
      </c>
      <c r="J23">
        <v>196</v>
      </c>
      <c r="K23">
        <v>5524.17</v>
      </c>
      <c r="L23">
        <v>93.04000000000001</v>
      </c>
      <c r="M23">
        <v>13.91</v>
      </c>
      <c r="N23">
        <v>5417.22</v>
      </c>
      <c r="O23">
        <v>1538.3</v>
      </c>
      <c r="P23">
        <v>3878.92</v>
      </c>
      <c r="Q23">
        <v>42.86</v>
      </c>
      <c r="R23">
        <v>141.36</v>
      </c>
      <c r="S23">
        <v>334</v>
      </c>
      <c r="T23">
        <v>102</v>
      </c>
      <c r="U23">
        <v>7</v>
      </c>
      <c r="V23">
        <v>94</v>
      </c>
      <c r="W23">
        <v>19</v>
      </c>
      <c r="X23">
        <v>27.64</v>
      </c>
      <c r="Y23">
        <v>1.7</v>
      </c>
      <c r="Z23">
        <v>71.59999999999999</v>
      </c>
      <c r="AA23">
        <v>2000</v>
      </c>
      <c r="AB23">
        <v>1150.68</v>
      </c>
      <c r="AC23">
        <v>185.85</v>
      </c>
      <c r="AD23">
        <v>110</v>
      </c>
      <c r="AE23">
        <v>175.83</v>
      </c>
      <c r="AF23">
        <v>3622.36</v>
      </c>
      <c r="AG23">
        <v>72.34</v>
      </c>
      <c r="AH23">
        <v>1.34</v>
      </c>
    </row>
    <row r="24" spans="1:34">
      <c r="A24" t="s">
        <v>550</v>
      </c>
      <c r="B24" t="s">
        <v>258</v>
      </c>
      <c r="C24" t="b">
        <v>0</v>
      </c>
      <c r="D24" t="b">
        <v>0</v>
      </c>
      <c r="E24" t="s">
        <v>80</v>
      </c>
      <c r="F24" t="s">
        <v>82</v>
      </c>
      <c r="G24" t="s">
        <v>81</v>
      </c>
      <c r="H24">
        <v>18.5</v>
      </c>
      <c r="I24">
        <v>27</v>
      </c>
      <c r="J24">
        <v>203</v>
      </c>
      <c r="K24">
        <v>6101.61</v>
      </c>
      <c r="L24">
        <v>157.38</v>
      </c>
      <c r="M24">
        <v>41.74</v>
      </c>
      <c r="N24">
        <v>5902.49</v>
      </c>
      <c r="O24">
        <v>1683.9</v>
      </c>
      <c r="P24">
        <v>4218.59</v>
      </c>
      <c r="Q24">
        <v>41.91</v>
      </c>
      <c r="R24">
        <v>248.08</v>
      </c>
      <c r="S24">
        <v>373</v>
      </c>
      <c r="T24">
        <v>113</v>
      </c>
      <c r="U24">
        <v>9</v>
      </c>
      <c r="V24">
        <v>90</v>
      </c>
      <c r="W24">
        <v>27</v>
      </c>
      <c r="X24">
        <v>29.08</v>
      </c>
      <c r="Y24">
        <v>1.84</v>
      </c>
      <c r="Z24">
        <v>71.47</v>
      </c>
      <c r="AA24">
        <v>2000</v>
      </c>
      <c r="AB24">
        <v>1150.68</v>
      </c>
      <c r="AC24">
        <v>217.21</v>
      </c>
      <c r="AD24">
        <v>110</v>
      </c>
      <c r="AE24">
        <v>184.03</v>
      </c>
      <c r="AF24">
        <v>3661.92</v>
      </c>
      <c r="AG24">
        <v>266.68</v>
      </c>
      <c r="AH24">
        <v>4.52</v>
      </c>
    </row>
    <row r="25" spans="1:34">
      <c r="A25" t="s">
        <v>551</v>
      </c>
      <c r="B25" t="s">
        <v>259</v>
      </c>
      <c r="C25" t="b">
        <v>0</v>
      </c>
      <c r="D25" t="b">
        <v>0</v>
      </c>
      <c r="E25" t="s">
        <v>80</v>
      </c>
      <c r="F25" t="s">
        <v>82</v>
      </c>
      <c r="G25" t="s">
        <v>81</v>
      </c>
      <c r="H25">
        <v>15.3</v>
      </c>
      <c r="I25">
        <v>28</v>
      </c>
      <c r="J25">
        <v>180</v>
      </c>
      <c r="K25">
        <v>5496.23</v>
      </c>
      <c r="L25">
        <v>153.03</v>
      </c>
      <c r="M25">
        <v>13.04</v>
      </c>
      <c r="N25">
        <v>5330.16</v>
      </c>
      <c r="O25">
        <v>1536.75</v>
      </c>
      <c r="P25">
        <v>3793.41</v>
      </c>
      <c r="Q25">
        <v>31.78</v>
      </c>
      <c r="R25">
        <v>323.29</v>
      </c>
      <c r="S25">
        <v>320</v>
      </c>
      <c r="T25">
        <v>120</v>
      </c>
      <c r="U25">
        <v>5</v>
      </c>
      <c r="V25">
        <v>60</v>
      </c>
      <c r="W25">
        <v>37</v>
      </c>
      <c r="X25">
        <v>29.61</v>
      </c>
      <c r="Y25">
        <v>1.78</v>
      </c>
      <c r="Z25">
        <v>71.17</v>
      </c>
      <c r="AA25">
        <v>2000</v>
      </c>
      <c r="AB25">
        <v>1150.68</v>
      </c>
      <c r="AC25">
        <v>211.69</v>
      </c>
      <c r="AD25">
        <v>110</v>
      </c>
      <c r="AE25">
        <v>211.95</v>
      </c>
      <c r="AF25">
        <v>3684.32</v>
      </c>
      <c r="AG25">
        <v>-245.98</v>
      </c>
      <c r="AH25">
        <v>-4.61</v>
      </c>
    </row>
    <row r="26" spans="1:34">
      <c r="A26" t="s">
        <v>552</v>
      </c>
      <c r="B26" t="s">
        <v>260</v>
      </c>
      <c r="C26" t="b">
        <v>0</v>
      </c>
      <c r="D26" t="b">
        <v>0</v>
      </c>
      <c r="E26" t="s">
        <v>80</v>
      </c>
      <c r="F26" t="s">
        <v>82</v>
      </c>
      <c r="G26" t="s">
        <v>81</v>
      </c>
      <c r="H26">
        <v>17.9</v>
      </c>
      <c r="I26">
        <v>29</v>
      </c>
      <c r="J26">
        <v>243</v>
      </c>
      <c r="K26">
        <v>7241.6</v>
      </c>
      <c r="L26">
        <v>56.52</v>
      </c>
      <c r="M26">
        <v>43.48</v>
      </c>
      <c r="N26">
        <v>7141.6</v>
      </c>
      <c r="O26">
        <v>2018.4</v>
      </c>
      <c r="P26">
        <v>5123.2</v>
      </c>
      <c r="Q26">
        <v>56.83</v>
      </c>
      <c r="R26">
        <v>240.07</v>
      </c>
      <c r="S26">
        <v>430</v>
      </c>
      <c r="T26">
        <v>145</v>
      </c>
      <c r="U26">
        <v>7</v>
      </c>
      <c r="V26">
        <v>98</v>
      </c>
      <c r="W26">
        <v>28</v>
      </c>
      <c r="X26">
        <v>29.39</v>
      </c>
      <c r="Y26">
        <v>1.77</v>
      </c>
      <c r="Z26">
        <v>71.73999999999999</v>
      </c>
      <c r="AA26">
        <v>2000</v>
      </c>
      <c r="AB26">
        <v>1150.68</v>
      </c>
      <c r="AC26">
        <v>199.35</v>
      </c>
      <c r="AD26">
        <v>110</v>
      </c>
      <c r="AE26">
        <v>172.13</v>
      </c>
      <c r="AF26">
        <v>3632.16</v>
      </c>
      <c r="AG26">
        <v>1194.14</v>
      </c>
      <c r="AH26">
        <v>16.72</v>
      </c>
    </row>
    <row r="27" spans="1:34">
      <c r="A27" t="s">
        <v>553</v>
      </c>
      <c r="B27" t="s">
        <v>261</v>
      </c>
      <c r="C27" t="b">
        <v>0</v>
      </c>
      <c r="D27" t="b">
        <v>0</v>
      </c>
      <c r="E27" t="s">
        <v>80</v>
      </c>
      <c r="F27" t="s">
        <v>82</v>
      </c>
      <c r="G27" t="s">
        <v>1477</v>
      </c>
      <c r="H27">
        <v>16.6</v>
      </c>
      <c r="I27">
        <v>0</v>
      </c>
      <c r="J27">
        <v>316</v>
      </c>
      <c r="K27">
        <v>10456.31</v>
      </c>
      <c r="L27">
        <v>253.9</v>
      </c>
      <c r="M27">
        <v>0</v>
      </c>
      <c r="N27">
        <v>10202.41</v>
      </c>
      <c r="O27">
        <v>2977.1</v>
      </c>
      <c r="P27">
        <v>7225.31</v>
      </c>
      <c r="Q27">
        <v>78.26000000000001</v>
      </c>
      <c r="R27">
        <v>356.78</v>
      </c>
      <c r="S27">
        <v>620</v>
      </c>
      <c r="T27">
        <v>175</v>
      </c>
      <c r="U27">
        <v>13</v>
      </c>
      <c r="V27">
        <v>141</v>
      </c>
      <c r="W27">
        <v>40</v>
      </c>
      <c r="X27">
        <v>32.29</v>
      </c>
      <c r="Y27">
        <v>1.96</v>
      </c>
      <c r="Z27">
        <v>70.81999999999999</v>
      </c>
      <c r="AA27">
        <v>2000</v>
      </c>
      <c r="AB27">
        <v>1150.68</v>
      </c>
      <c r="AC27">
        <v>209.06</v>
      </c>
      <c r="AD27">
        <v>110</v>
      </c>
      <c r="AE27">
        <v>206.84</v>
      </c>
      <c r="AF27">
        <v>3676.58</v>
      </c>
      <c r="AG27">
        <v>3113.69</v>
      </c>
      <c r="AH27">
        <v>30.52</v>
      </c>
    </row>
    <row r="28" spans="1:34">
      <c r="A28" t="s">
        <v>554</v>
      </c>
      <c r="B28" t="s">
        <v>262</v>
      </c>
      <c r="C28" t="b">
        <v>1</v>
      </c>
      <c r="D28" t="b">
        <v>0</v>
      </c>
      <c r="E28" t="s">
        <v>80</v>
      </c>
      <c r="F28" t="s">
        <v>82</v>
      </c>
      <c r="G28" t="s">
        <v>1477</v>
      </c>
      <c r="H28">
        <v>15.5</v>
      </c>
      <c r="I28">
        <v>1</v>
      </c>
      <c r="J28">
        <v>210</v>
      </c>
      <c r="K28">
        <v>8026.76</v>
      </c>
      <c r="L28">
        <v>133.91</v>
      </c>
      <c r="M28">
        <v>82.61</v>
      </c>
      <c r="N28">
        <v>7810.24</v>
      </c>
      <c r="O28">
        <v>2223.95</v>
      </c>
      <c r="P28">
        <v>5586.29</v>
      </c>
      <c r="Q28">
        <v>57.8</v>
      </c>
      <c r="R28">
        <v>274.09</v>
      </c>
      <c r="S28">
        <v>481</v>
      </c>
      <c r="T28">
        <v>118</v>
      </c>
      <c r="U28">
        <v>2</v>
      </c>
      <c r="V28">
        <v>92</v>
      </c>
      <c r="W28">
        <v>32</v>
      </c>
      <c r="X28">
        <v>37.19</v>
      </c>
      <c r="Y28">
        <v>2.29</v>
      </c>
      <c r="Z28">
        <v>71.53</v>
      </c>
      <c r="AA28">
        <v>2000</v>
      </c>
      <c r="AB28">
        <v>1150.68</v>
      </c>
      <c r="AC28">
        <v>201.39</v>
      </c>
      <c r="AD28">
        <v>110</v>
      </c>
      <c r="AE28">
        <v>159.93</v>
      </c>
      <c r="AF28">
        <v>3622</v>
      </c>
      <c r="AG28">
        <v>1632.4</v>
      </c>
      <c r="AH28">
        <v>20.9</v>
      </c>
    </row>
    <row r="29" spans="1:34">
      <c r="A29" t="s">
        <v>555</v>
      </c>
      <c r="B29" t="s">
        <v>263</v>
      </c>
      <c r="C29" t="b">
        <v>1</v>
      </c>
      <c r="D29" t="b">
        <v>0</v>
      </c>
      <c r="E29" t="s">
        <v>80</v>
      </c>
      <c r="F29" t="s">
        <v>82</v>
      </c>
      <c r="G29" t="s">
        <v>1477</v>
      </c>
      <c r="H29">
        <v>16.6</v>
      </c>
      <c r="I29">
        <v>2</v>
      </c>
      <c r="J29">
        <v>202</v>
      </c>
      <c r="K29">
        <v>8014.66</v>
      </c>
      <c r="L29">
        <v>163.47</v>
      </c>
      <c r="M29">
        <v>16.52</v>
      </c>
      <c r="N29">
        <v>7834.67</v>
      </c>
      <c r="O29">
        <v>2294.7</v>
      </c>
      <c r="P29">
        <v>5539.97</v>
      </c>
      <c r="Q29">
        <v>48.41</v>
      </c>
      <c r="R29">
        <v>422.22</v>
      </c>
      <c r="S29">
        <v>477</v>
      </c>
      <c r="T29">
        <v>115</v>
      </c>
      <c r="U29">
        <v>10</v>
      </c>
      <c r="V29">
        <v>87</v>
      </c>
      <c r="W29">
        <v>38</v>
      </c>
      <c r="X29">
        <v>38.79</v>
      </c>
      <c r="Y29">
        <v>2.36</v>
      </c>
      <c r="Z29">
        <v>70.70999999999999</v>
      </c>
      <c r="AA29">
        <v>2000</v>
      </c>
      <c r="AB29">
        <v>1150.68</v>
      </c>
      <c r="AC29">
        <v>223.19</v>
      </c>
      <c r="AD29">
        <v>110</v>
      </c>
      <c r="AE29">
        <v>189.38</v>
      </c>
      <c r="AF29">
        <v>3673.25</v>
      </c>
      <c r="AG29">
        <v>1396.09</v>
      </c>
      <c r="AH29">
        <v>17.82</v>
      </c>
    </row>
    <row r="30" spans="1:34">
      <c r="A30" t="s">
        <v>369</v>
      </c>
      <c r="B30" t="s">
        <v>75</v>
      </c>
      <c r="C30" t="b">
        <v>0</v>
      </c>
      <c r="D30" t="b">
        <v>0</v>
      </c>
      <c r="E30" t="s">
        <v>80</v>
      </c>
      <c r="F30" t="s">
        <v>82</v>
      </c>
      <c r="G30" t="s">
        <v>1477</v>
      </c>
      <c r="H30">
        <v>15.2</v>
      </c>
      <c r="I30">
        <v>3</v>
      </c>
      <c r="J30">
        <v>188</v>
      </c>
      <c r="K30">
        <v>5790.32</v>
      </c>
      <c r="L30">
        <v>114.78</v>
      </c>
      <c r="M30">
        <v>0</v>
      </c>
      <c r="N30">
        <v>5675.54</v>
      </c>
      <c r="O30">
        <v>1646.55</v>
      </c>
      <c r="P30">
        <v>4028.99</v>
      </c>
      <c r="Q30">
        <v>43.15</v>
      </c>
      <c r="R30">
        <v>212.31</v>
      </c>
      <c r="S30">
        <v>355</v>
      </c>
      <c r="T30">
        <v>109</v>
      </c>
      <c r="U30">
        <v>5</v>
      </c>
      <c r="V30">
        <v>79</v>
      </c>
      <c r="W30">
        <v>23</v>
      </c>
      <c r="X30">
        <v>30.19</v>
      </c>
      <c r="Y30">
        <v>1.89</v>
      </c>
      <c r="Z30">
        <v>70.98999999999999</v>
      </c>
      <c r="AA30">
        <v>2000</v>
      </c>
      <c r="AB30">
        <v>1150.68</v>
      </c>
      <c r="AC30">
        <v>211.45</v>
      </c>
      <c r="AD30">
        <v>110</v>
      </c>
      <c r="AE30">
        <v>230.09</v>
      </c>
      <c r="AF30">
        <v>3702.22</v>
      </c>
      <c r="AG30">
        <v>71.31</v>
      </c>
      <c r="AH30">
        <v>1.26</v>
      </c>
    </row>
    <row r="31" spans="1:34">
      <c r="A31" t="s">
        <v>556</v>
      </c>
      <c r="B31" t="s">
        <v>258</v>
      </c>
      <c r="C31" t="b">
        <v>0</v>
      </c>
      <c r="D31" t="b">
        <v>0</v>
      </c>
      <c r="E31" t="s">
        <v>80</v>
      </c>
      <c r="F31" t="s">
        <v>82</v>
      </c>
      <c r="G31" t="s">
        <v>1477</v>
      </c>
      <c r="H31">
        <v>14.9</v>
      </c>
      <c r="I31">
        <v>4</v>
      </c>
      <c r="J31">
        <v>191</v>
      </c>
      <c r="K31">
        <v>5833.72</v>
      </c>
      <c r="L31">
        <v>178.25</v>
      </c>
      <c r="M31">
        <v>22.61</v>
      </c>
      <c r="N31">
        <v>5632.86</v>
      </c>
      <c r="O31">
        <v>1594.75</v>
      </c>
      <c r="P31">
        <v>4038.11</v>
      </c>
      <c r="Q31">
        <v>41.1</v>
      </c>
      <c r="R31">
        <v>299.22</v>
      </c>
      <c r="S31">
        <v>350</v>
      </c>
      <c r="T31">
        <v>127</v>
      </c>
      <c r="U31">
        <v>2</v>
      </c>
      <c r="V31">
        <v>64</v>
      </c>
      <c r="W31">
        <v>32</v>
      </c>
      <c r="X31">
        <v>29.49</v>
      </c>
      <c r="Y31">
        <v>1.83</v>
      </c>
      <c r="Z31">
        <v>71.69</v>
      </c>
      <c r="AA31">
        <v>2000</v>
      </c>
      <c r="AB31">
        <v>1150.68</v>
      </c>
      <c r="AC31">
        <v>235.53</v>
      </c>
      <c r="AD31">
        <v>110</v>
      </c>
      <c r="AE31">
        <v>167.16</v>
      </c>
      <c r="AF31">
        <v>3663.37</v>
      </c>
      <c r="AG31">
        <v>34.42</v>
      </c>
      <c r="AH31">
        <v>0.61</v>
      </c>
    </row>
    <row r="32" spans="1:34">
      <c r="A32" t="s">
        <v>557</v>
      </c>
      <c r="B32" t="s">
        <v>259</v>
      </c>
      <c r="C32" t="b">
        <v>0</v>
      </c>
      <c r="D32" t="b">
        <v>0</v>
      </c>
      <c r="E32" t="s">
        <v>80</v>
      </c>
      <c r="F32" t="s">
        <v>82</v>
      </c>
      <c r="G32" t="s">
        <v>81</v>
      </c>
      <c r="H32">
        <v>15.2</v>
      </c>
      <c r="I32">
        <v>5</v>
      </c>
      <c r="J32">
        <v>169</v>
      </c>
      <c r="K32">
        <v>4818.9</v>
      </c>
      <c r="L32">
        <v>160.86</v>
      </c>
      <c r="M32">
        <v>18.26</v>
      </c>
      <c r="N32">
        <v>4639.78</v>
      </c>
      <c r="O32">
        <v>1310.7</v>
      </c>
      <c r="P32">
        <v>3329.08</v>
      </c>
      <c r="Q32">
        <v>32.66</v>
      </c>
      <c r="R32">
        <v>161.84</v>
      </c>
      <c r="S32">
        <v>292</v>
      </c>
      <c r="T32">
        <v>103</v>
      </c>
      <c r="U32">
        <v>7</v>
      </c>
      <c r="V32">
        <v>66</v>
      </c>
      <c r="W32">
        <v>20</v>
      </c>
      <c r="X32">
        <v>27.45</v>
      </c>
      <c r="Y32">
        <v>1.73</v>
      </c>
      <c r="Z32">
        <v>71.75</v>
      </c>
      <c r="AA32">
        <v>2000</v>
      </c>
      <c r="AB32">
        <v>1150.68</v>
      </c>
      <c r="AC32">
        <v>211.55</v>
      </c>
      <c r="AD32">
        <v>110</v>
      </c>
      <c r="AE32">
        <v>163.31</v>
      </c>
      <c r="AF32">
        <v>3635.54</v>
      </c>
      <c r="AG32">
        <v>-500.96</v>
      </c>
      <c r="AH32">
        <v>-10.8</v>
      </c>
    </row>
    <row r="33" spans="1:34">
      <c r="A33" t="s">
        <v>558</v>
      </c>
      <c r="B33" t="s">
        <v>260</v>
      </c>
      <c r="C33" t="b">
        <v>0</v>
      </c>
      <c r="D33" t="b">
        <v>0</v>
      </c>
      <c r="E33" t="s">
        <v>80</v>
      </c>
      <c r="F33" t="s">
        <v>82</v>
      </c>
      <c r="G33" t="s">
        <v>81</v>
      </c>
      <c r="H33">
        <v>17.3</v>
      </c>
      <c r="I33">
        <v>6</v>
      </c>
      <c r="J33">
        <v>192</v>
      </c>
      <c r="K33">
        <v>5138.03</v>
      </c>
      <c r="L33">
        <v>240.84</v>
      </c>
      <c r="M33">
        <v>0</v>
      </c>
      <c r="N33">
        <v>4897.19</v>
      </c>
      <c r="O33">
        <v>1431.85</v>
      </c>
      <c r="P33">
        <v>3465.34</v>
      </c>
      <c r="Q33">
        <v>36.99</v>
      </c>
      <c r="R33">
        <v>188.04</v>
      </c>
      <c r="S33">
        <v>313</v>
      </c>
      <c r="T33">
        <v>123</v>
      </c>
      <c r="U33">
        <v>5</v>
      </c>
      <c r="V33">
        <v>69</v>
      </c>
      <c r="W33">
        <v>21</v>
      </c>
      <c r="X33">
        <v>25.51</v>
      </c>
      <c r="Y33">
        <v>1.63</v>
      </c>
      <c r="Z33">
        <v>70.76000000000001</v>
      </c>
      <c r="AA33">
        <v>2214.29</v>
      </c>
      <c r="AB33">
        <v>1150.68</v>
      </c>
      <c r="AC33">
        <v>192.44</v>
      </c>
      <c r="AD33">
        <v>110</v>
      </c>
      <c r="AE33">
        <v>201.82</v>
      </c>
      <c r="AF33">
        <v>3869.23</v>
      </c>
      <c r="AG33">
        <v>-628.92</v>
      </c>
      <c r="AH33">
        <v>-12.84</v>
      </c>
    </row>
    <row r="34" spans="1:34">
      <c r="A34" t="s">
        <v>559</v>
      </c>
      <c r="B34" t="s">
        <v>261</v>
      </c>
      <c r="C34" t="b">
        <v>0</v>
      </c>
      <c r="D34" t="b">
        <v>0</v>
      </c>
      <c r="E34" t="s">
        <v>80</v>
      </c>
      <c r="F34" t="s">
        <v>82</v>
      </c>
      <c r="G34" t="s">
        <v>81</v>
      </c>
      <c r="H34">
        <v>17.9</v>
      </c>
      <c r="I34">
        <v>7</v>
      </c>
      <c r="J34">
        <v>288</v>
      </c>
      <c r="K34">
        <v>9593.629999999999</v>
      </c>
      <c r="L34">
        <v>247.82</v>
      </c>
      <c r="M34">
        <v>72.17</v>
      </c>
      <c r="N34">
        <v>9273.639999999999</v>
      </c>
      <c r="O34">
        <v>2713</v>
      </c>
      <c r="P34">
        <v>6560.64</v>
      </c>
      <c r="Q34">
        <v>69.59999999999999</v>
      </c>
      <c r="R34">
        <v>297.86</v>
      </c>
      <c r="S34">
        <v>560</v>
      </c>
      <c r="T34">
        <v>163</v>
      </c>
      <c r="U34">
        <v>11</v>
      </c>
      <c r="V34">
        <v>125</v>
      </c>
      <c r="W34">
        <v>33</v>
      </c>
      <c r="X34">
        <v>32.2</v>
      </c>
      <c r="Y34">
        <v>1.94</v>
      </c>
      <c r="Z34">
        <v>70.75</v>
      </c>
      <c r="AA34">
        <v>2214.29</v>
      </c>
      <c r="AB34">
        <v>1150.68</v>
      </c>
      <c r="AC34">
        <v>195.48</v>
      </c>
      <c r="AD34">
        <v>110</v>
      </c>
      <c r="AE34">
        <v>156.94</v>
      </c>
      <c r="AF34">
        <v>3827.39</v>
      </c>
      <c r="AG34">
        <v>2365.79</v>
      </c>
      <c r="AH34">
        <v>25.51</v>
      </c>
    </row>
    <row r="35" spans="1:34">
      <c r="A35" t="s">
        <v>560</v>
      </c>
      <c r="B35" t="s">
        <v>262</v>
      </c>
      <c r="C35" t="b">
        <v>1</v>
      </c>
      <c r="D35" t="b">
        <v>0</v>
      </c>
      <c r="E35" t="s">
        <v>80</v>
      </c>
      <c r="F35" t="s">
        <v>82</v>
      </c>
      <c r="G35" t="s">
        <v>81</v>
      </c>
      <c r="H35">
        <v>19.9</v>
      </c>
      <c r="I35">
        <v>8</v>
      </c>
      <c r="J35">
        <v>241</v>
      </c>
      <c r="K35">
        <v>9357.25</v>
      </c>
      <c r="L35">
        <v>330.42</v>
      </c>
      <c r="M35">
        <v>15.65</v>
      </c>
      <c r="N35">
        <v>9011.18</v>
      </c>
      <c r="O35">
        <v>2614.1</v>
      </c>
      <c r="P35">
        <v>6397.08</v>
      </c>
      <c r="Q35">
        <v>66.94</v>
      </c>
      <c r="R35">
        <v>382.09</v>
      </c>
      <c r="S35">
        <v>553</v>
      </c>
      <c r="T35">
        <v>155</v>
      </c>
      <c r="U35">
        <v>5</v>
      </c>
      <c r="V35">
        <v>86</v>
      </c>
      <c r="W35">
        <v>46</v>
      </c>
      <c r="X35">
        <v>37.39</v>
      </c>
      <c r="Y35">
        <v>2.29</v>
      </c>
      <c r="Z35">
        <v>70.98999999999999</v>
      </c>
      <c r="AA35">
        <v>2214.29</v>
      </c>
      <c r="AB35">
        <v>1150.68</v>
      </c>
      <c r="AC35">
        <v>185</v>
      </c>
      <c r="AD35">
        <v>110</v>
      </c>
      <c r="AE35">
        <v>210.2</v>
      </c>
      <c r="AF35">
        <v>3870.17</v>
      </c>
      <c r="AG35">
        <v>2077.88</v>
      </c>
      <c r="AH35">
        <v>23.06</v>
      </c>
    </row>
    <row r="36" spans="1:34">
      <c r="A36" t="s">
        <v>561</v>
      </c>
      <c r="B36" t="s">
        <v>263</v>
      </c>
      <c r="C36" t="b">
        <v>1</v>
      </c>
      <c r="D36" t="b">
        <v>0</v>
      </c>
      <c r="E36" t="s">
        <v>80</v>
      </c>
      <c r="F36" t="s">
        <v>82</v>
      </c>
      <c r="G36" t="s">
        <v>81</v>
      </c>
      <c r="H36">
        <v>20.1</v>
      </c>
      <c r="I36">
        <v>9</v>
      </c>
      <c r="J36">
        <v>236</v>
      </c>
      <c r="K36">
        <v>8734.530000000001</v>
      </c>
      <c r="L36">
        <v>172.15</v>
      </c>
      <c r="M36">
        <v>31.31</v>
      </c>
      <c r="N36">
        <v>8531.07</v>
      </c>
      <c r="O36">
        <v>2434.5</v>
      </c>
      <c r="P36">
        <v>6096.57</v>
      </c>
      <c r="Q36">
        <v>60.49</v>
      </c>
      <c r="R36">
        <v>279.5</v>
      </c>
      <c r="S36">
        <v>528</v>
      </c>
      <c r="T36">
        <v>123</v>
      </c>
      <c r="U36">
        <v>9</v>
      </c>
      <c r="V36">
        <v>113</v>
      </c>
      <c r="W36">
        <v>29</v>
      </c>
      <c r="X36">
        <v>36.15</v>
      </c>
      <c r="Y36">
        <v>2.24</v>
      </c>
      <c r="Z36">
        <v>71.45999999999999</v>
      </c>
      <c r="AA36">
        <v>2214.29</v>
      </c>
      <c r="AB36">
        <v>1150.68</v>
      </c>
      <c r="AC36">
        <v>211.26</v>
      </c>
      <c r="AD36">
        <v>110</v>
      </c>
      <c r="AE36">
        <v>190.02</v>
      </c>
      <c r="AF36">
        <v>3876.25</v>
      </c>
      <c r="AG36">
        <v>1880.33</v>
      </c>
      <c r="AH36">
        <v>22.04</v>
      </c>
    </row>
    <row r="37" spans="1:34">
      <c r="A37" t="s">
        <v>370</v>
      </c>
      <c r="B37" t="s">
        <v>75</v>
      </c>
      <c r="C37" t="b">
        <v>0</v>
      </c>
      <c r="D37" t="b">
        <v>0</v>
      </c>
      <c r="E37" t="s">
        <v>80</v>
      </c>
      <c r="F37" t="s">
        <v>82</v>
      </c>
      <c r="G37" t="s">
        <v>81</v>
      </c>
      <c r="H37">
        <v>19.6</v>
      </c>
      <c r="I37">
        <v>10</v>
      </c>
      <c r="J37">
        <v>181</v>
      </c>
      <c r="K37">
        <v>5773.78</v>
      </c>
      <c r="L37">
        <v>139.13</v>
      </c>
      <c r="M37">
        <v>18.26</v>
      </c>
      <c r="N37">
        <v>5616.39</v>
      </c>
      <c r="O37">
        <v>1655.05</v>
      </c>
      <c r="P37">
        <v>3961.34</v>
      </c>
      <c r="Q37">
        <v>43.74</v>
      </c>
      <c r="R37">
        <v>221</v>
      </c>
      <c r="S37">
        <v>340</v>
      </c>
      <c r="T37">
        <v>108</v>
      </c>
      <c r="U37">
        <v>8</v>
      </c>
      <c r="V37">
        <v>73</v>
      </c>
      <c r="W37">
        <v>22</v>
      </c>
      <c r="X37">
        <v>31.03</v>
      </c>
      <c r="Y37">
        <v>1.88</v>
      </c>
      <c r="Z37">
        <v>70.53</v>
      </c>
      <c r="AA37">
        <v>2214.29</v>
      </c>
      <c r="AB37">
        <v>1150.68</v>
      </c>
      <c r="AC37">
        <v>232.09</v>
      </c>
      <c r="AD37">
        <v>110</v>
      </c>
      <c r="AE37">
        <v>189.91</v>
      </c>
      <c r="AF37">
        <v>3896.97</v>
      </c>
      <c r="AG37">
        <v>-200.37</v>
      </c>
      <c r="AH37">
        <v>-3.57</v>
      </c>
    </row>
    <row r="38" spans="1:34">
      <c r="A38" t="s">
        <v>562</v>
      </c>
      <c r="B38" t="s">
        <v>258</v>
      </c>
      <c r="C38" t="b">
        <v>0</v>
      </c>
      <c r="D38" t="b">
        <v>0</v>
      </c>
      <c r="E38" t="s">
        <v>80</v>
      </c>
      <c r="F38" t="s">
        <v>82</v>
      </c>
      <c r="G38" t="s">
        <v>81</v>
      </c>
      <c r="H38">
        <v>19.6</v>
      </c>
      <c r="I38">
        <v>11</v>
      </c>
      <c r="J38">
        <v>202</v>
      </c>
      <c r="K38">
        <v>5772.86</v>
      </c>
      <c r="L38">
        <v>92.17</v>
      </c>
      <c r="M38">
        <v>0</v>
      </c>
      <c r="N38">
        <v>5680.69</v>
      </c>
      <c r="O38">
        <v>1581.25</v>
      </c>
      <c r="P38">
        <v>4099.44</v>
      </c>
      <c r="Q38">
        <v>40.68</v>
      </c>
      <c r="R38">
        <v>256.55</v>
      </c>
      <c r="S38">
        <v>352</v>
      </c>
      <c r="T38">
        <v>119</v>
      </c>
      <c r="U38">
        <v>3</v>
      </c>
      <c r="V38">
        <v>83</v>
      </c>
      <c r="W38">
        <v>31</v>
      </c>
      <c r="X38">
        <v>28.12</v>
      </c>
      <c r="Y38">
        <v>1.74</v>
      </c>
      <c r="Z38">
        <v>72.16</v>
      </c>
      <c r="AA38">
        <v>2214.29</v>
      </c>
      <c r="AB38">
        <v>1150.68</v>
      </c>
      <c r="AC38">
        <v>232.12</v>
      </c>
      <c r="AD38">
        <v>110</v>
      </c>
      <c r="AE38">
        <v>204.11</v>
      </c>
      <c r="AF38">
        <v>3911.2</v>
      </c>
      <c r="AG38">
        <v>-108.99</v>
      </c>
      <c r="AH38">
        <v>-1.92</v>
      </c>
    </row>
    <row r="39" spans="1:34">
      <c r="A39" t="s">
        <v>563</v>
      </c>
      <c r="B39" t="s">
        <v>259</v>
      </c>
      <c r="C39" t="b">
        <v>0</v>
      </c>
      <c r="D39" t="b">
        <v>0</v>
      </c>
      <c r="E39" t="s">
        <v>80</v>
      </c>
      <c r="F39" t="s">
        <v>82</v>
      </c>
      <c r="G39" t="s">
        <v>81</v>
      </c>
      <c r="H39">
        <v>18.2</v>
      </c>
      <c r="I39">
        <v>12</v>
      </c>
      <c r="J39">
        <v>194</v>
      </c>
      <c r="K39">
        <v>5587.65</v>
      </c>
      <c r="L39">
        <v>150.43</v>
      </c>
      <c r="M39">
        <v>23.48</v>
      </c>
      <c r="N39">
        <v>5413.74</v>
      </c>
      <c r="O39">
        <v>1596.5</v>
      </c>
      <c r="P39">
        <v>3817.24</v>
      </c>
      <c r="Q39">
        <v>35.05</v>
      </c>
      <c r="R39">
        <v>275.31</v>
      </c>
      <c r="S39">
        <v>334</v>
      </c>
      <c r="T39">
        <v>119</v>
      </c>
      <c r="U39">
        <v>1</v>
      </c>
      <c r="V39">
        <v>75</v>
      </c>
      <c r="W39">
        <v>37</v>
      </c>
      <c r="X39">
        <v>27.91</v>
      </c>
      <c r="Y39">
        <v>1.72</v>
      </c>
      <c r="Z39">
        <v>70.51000000000001</v>
      </c>
      <c r="AA39">
        <v>2214.29</v>
      </c>
      <c r="AB39">
        <v>1150.68</v>
      </c>
      <c r="AC39">
        <v>189.99</v>
      </c>
      <c r="AD39">
        <v>110</v>
      </c>
      <c r="AE39">
        <v>212.36</v>
      </c>
      <c r="AF39">
        <v>3877.32</v>
      </c>
      <c r="AG39">
        <v>-370.44</v>
      </c>
      <c r="AH39">
        <v>-6.84</v>
      </c>
    </row>
    <row r="40" spans="1:34">
      <c r="A40" t="s">
        <v>564</v>
      </c>
      <c r="B40" t="s">
        <v>260</v>
      </c>
      <c r="C40" t="b">
        <v>0</v>
      </c>
      <c r="D40" t="b">
        <v>0</v>
      </c>
      <c r="E40" t="s">
        <v>80</v>
      </c>
      <c r="F40" t="s">
        <v>82</v>
      </c>
      <c r="G40" t="s">
        <v>81</v>
      </c>
      <c r="H40">
        <v>19.5</v>
      </c>
      <c r="I40">
        <v>13</v>
      </c>
      <c r="J40">
        <v>241</v>
      </c>
      <c r="K40">
        <v>7885.77</v>
      </c>
      <c r="L40">
        <v>146.08</v>
      </c>
      <c r="M40">
        <v>0</v>
      </c>
      <c r="N40">
        <v>7739.69</v>
      </c>
      <c r="O40">
        <v>2162.55</v>
      </c>
      <c r="P40">
        <v>5577.14</v>
      </c>
      <c r="Q40">
        <v>57.33</v>
      </c>
      <c r="R40">
        <v>201.64</v>
      </c>
      <c r="S40">
        <v>477</v>
      </c>
      <c r="T40">
        <v>144</v>
      </c>
      <c r="U40">
        <v>9</v>
      </c>
      <c r="V40">
        <v>97</v>
      </c>
      <c r="W40">
        <v>22</v>
      </c>
      <c r="X40">
        <v>32.11</v>
      </c>
      <c r="Y40">
        <v>1.98</v>
      </c>
      <c r="Z40">
        <v>72.06</v>
      </c>
      <c r="AA40">
        <v>2214.29</v>
      </c>
      <c r="AB40">
        <v>1150.68</v>
      </c>
      <c r="AC40">
        <v>229.19</v>
      </c>
      <c r="AD40">
        <v>110</v>
      </c>
      <c r="AE40">
        <v>209.02</v>
      </c>
      <c r="AF40">
        <v>3913.18</v>
      </c>
      <c r="AG40">
        <v>1404.99</v>
      </c>
      <c r="AH40">
        <v>18.15</v>
      </c>
    </row>
    <row r="41" spans="1:34">
      <c r="A41" t="s">
        <v>565</v>
      </c>
      <c r="B41" t="s">
        <v>261</v>
      </c>
      <c r="C41" t="b">
        <v>0</v>
      </c>
      <c r="D41" t="b">
        <v>0</v>
      </c>
      <c r="E41" t="s">
        <v>80</v>
      </c>
      <c r="F41" t="s">
        <v>82</v>
      </c>
      <c r="G41" t="s">
        <v>81</v>
      </c>
      <c r="H41">
        <v>19.1</v>
      </c>
      <c r="I41">
        <v>14</v>
      </c>
      <c r="J41">
        <v>288</v>
      </c>
      <c r="K41">
        <v>9078.040000000001</v>
      </c>
      <c r="L41">
        <v>191.3</v>
      </c>
      <c r="M41">
        <v>17.39</v>
      </c>
      <c r="N41">
        <v>8869.35</v>
      </c>
      <c r="O41">
        <v>2612.75</v>
      </c>
      <c r="P41">
        <v>6256.6</v>
      </c>
      <c r="Q41">
        <v>78.2</v>
      </c>
      <c r="R41">
        <v>288.51</v>
      </c>
      <c r="S41">
        <v>536</v>
      </c>
      <c r="T41">
        <v>180</v>
      </c>
      <c r="U41">
        <v>9</v>
      </c>
      <c r="V41">
        <v>108</v>
      </c>
      <c r="W41">
        <v>36</v>
      </c>
      <c r="X41">
        <v>30.8</v>
      </c>
      <c r="Y41">
        <v>1.86</v>
      </c>
      <c r="Z41">
        <v>70.54000000000001</v>
      </c>
      <c r="AA41">
        <v>2214.29</v>
      </c>
      <c r="AB41">
        <v>1150.68</v>
      </c>
      <c r="AC41">
        <v>207.01</v>
      </c>
      <c r="AD41">
        <v>110</v>
      </c>
      <c r="AE41">
        <v>181.67</v>
      </c>
      <c r="AF41">
        <v>3863.65</v>
      </c>
      <c r="AG41">
        <v>2026.24</v>
      </c>
      <c r="AH41">
        <v>22.85</v>
      </c>
    </row>
    <row r="42" spans="1:34">
      <c r="A42" t="s">
        <v>566</v>
      </c>
      <c r="B42" t="s">
        <v>262</v>
      </c>
      <c r="C42" t="b">
        <v>1</v>
      </c>
      <c r="D42" t="b">
        <v>0</v>
      </c>
      <c r="E42" t="s">
        <v>80</v>
      </c>
      <c r="F42" t="s">
        <v>82</v>
      </c>
      <c r="G42" t="s">
        <v>81</v>
      </c>
      <c r="H42">
        <v>17.7</v>
      </c>
      <c r="I42">
        <v>15</v>
      </c>
      <c r="J42">
        <v>245</v>
      </c>
      <c r="K42">
        <v>8305.879999999999</v>
      </c>
      <c r="L42">
        <v>236.51</v>
      </c>
      <c r="M42">
        <v>13.91</v>
      </c>
      <c r="N42">
        <v>8055.46</v>
      </c>
      <c r="O42">
        <v>2301.65</v>
      </c>
      <c r="P42">
        <v>5753.81</v>
      </c>
      <c r="Q42">
        <v>60.1</v>
      </c>
      <c r="R42">
        <v>287.74</v>
      </c>
      <c r="S42">
        <v>494</v>
      </c>
      <c r="T42">
        <v>143</v>
      </c>
      <c r="U42">
        <v>9</v>
      </c>
      <c r="V42">
        <v>102</v>
      </c>
      <c r="W42">
        <v>38</v>
      </c>
      <c r="X42">
        <v>32.88</v>
      </c>
      <c r="Y42">
        <v>2.02</v>
      </c>
      <c r="Z42">
        <v>71.43000000000001</v>
      </c>
      <c r="AA42">
        <v>2214.29</v>
      </c>
      <c r="AB42">
        <v>1150.68</v>
      </c>
      <c r="AC42">
        <v>207.74</v>
      </c>
      <c r="AD42">
        <v>110</v>
      </c>
      <c r="AE42">
        <v>222.9</v>
      </c>
      <c r="AF42">
        <v>3905.61</v>
      </c>
      <c r="AG42">
        <v>1500.36</v>
      </c>
      <c r="AH42">
        <v>18.63</v>
      </c>
    </row>
    <row r="43" spans="1:34">
      <c r="A43" t="s">
        <v>567</v>
      </c>
      <c r="B43" t="s">
        <v>263</v>
      </c>
      <c r="C43" t="b">
        <v>1</v>
      </c>
      <c r="D43" t="b">
        <v>0</v>
      </c>
      <c r="E43" t="s">
        <v>80</v>
      </c>
      <c r="F43" t="s">
        <v>82</v>
      </c>
      <c r="G43" t="s">
        <v>81</v>
      </c>
      <c r="H43">
        <v>16.6</v>
      </c>
      <c r="I43">
        <v>16</v>
      </c>
      <c r="J43">
        <v>197</v>
      </c>
      <c r="K43">
        <v>7180.76</v>
      </c>
      <c r="L43">
        <v>113.06</v>
      </c>
      <c r="M43">
        <v>57.39</v>
      </c>
      <c r="N43">
        <v>7010.31</v>
      </c>
      <c r="O43">
        <v>2109.7</v>
      </c>
      <c r="P43">
        <v>4900.61</v>
      </c>
      <c r="Q43">
        <v>49.97</v>
      </c>
      <c r="R43">
        <v>255.75</v>
      </c>
      <c r="S43">
        <v>430</v>
      </c>
      <c r="T43">
        <v>110</v>
      </c>
      <c r="U43">
        <v>8</v>
      </c>
      <c r="V43">
        <v>87</v>
      </c>
      <c r="W43">
        <v>26</v>
      </c>
      <c r="X43">
        <v>35.59</v>
      </c>
      <c r="Y43">
        <v>2.18</v>
      </c>
      <c r="Z43">
        <v>69.91</v>
      </c>
      <c r="AA43">
        <v>2214.29</v>
      </c>
      <c r="AB43">
        <v>1150.68</v>
      </c>
      <c r="AC43">
        <v>198.61</v>
      </c>
      <c r="AD43">
        <v>110</v>
      </c>
      <c r="AE43">
        <v>217.1</v>
      </c>
      <c r="AF43">
        <v>3890.68</v>
      </c>
      <c r="AG43">
        <v>704.21</v>
      </c>
      <c r="AH43">
        <v>10.05</v>
      </c>
    </row>
    <row r="44" spans="1:34">
      <c r="A44" t="s">
        <v>371</v>
      </c>
      <c r="B44" t="s">
        <v>75</v>
      </c>
      <c r="C44" t="b">
        <v>0</v>
      </c>
      <c r="D44" t="b">
        <v>0</v>
      </c>
      <c r="E44" t="s">
        <v>80</v>
      </c>
      <c r="F44" t="s">
        <v>82</v>
      </c>
      <c r="G44" t="s">
        <v>81</v>
      </c>
      <c r="H44">
        <v>17.5</v>
      </c>
      <c r="I44">
        <v>17</v>
      </c>
      <c r="J44">
        <v>197</v>
      </c>
      <c r="K44">
        <v>5791.12</v>
      </c>
      <c r="L44">
        <v>103.47</v>
      </c>
      <c r="M44">
        <v>13.04</v>
      </c>
      <c r="N44">
        <v>5674.61</v>
      </c>
      <c r="O44">
        <v>1686.5</v>
      </c>
      <c r="P44">
        <v>3988.11</v>
      </c>
      <c r="Q44">
        <v>48.24</v>
      </c>
      <c r="R44">
        <v>215.95</v>
      </c>
      <c r="S44">
        <v>349</v>
      </c>
      <c r="T44">
        <v>120</v>
      </c>
      <c r="U44">
        <v>9</v>
      </c>
      <c r="V44">
        <v>77</v>
      </c>
      <c r="W44">
        <v>24</v>
      </c>
      <c r="X44">
        <v>28.81</v>
      </c>
      <c r="Y44">
        <v>1.77</v>
      </c>
      <c r="Z44">
        <v>70.28</v>
      </c>
      <c r="AA44">
        <v>2214.29</v>
      </c>
      <c r="AB44">
        <v>1150.68</v>
      </c>
      <c r="AC44">
        <v>224.95</v>
      </c>
      <c r="AD44">
        <v>110</v>
      </c>
      <c r="AE44">
        <v>175.02</v>
      </c>
      <c r="AF44">
        <v>3874.94</v>
      </c>
      <c r="AG44">
        <v>-151.02</v>
      </c>
      <c r="AH44">
        <v>-2.66</v>
      </c>
    </row>
    <row r="45" spans="1:34">
      <c r="A45" t="s">
        <v>568</v>
      </c>
      <c r="B45" t="s">
        <v>258</v>
      </c>
      <c r="C45" t="b">
        <v>0</v>
      </c>
      <c r="D45" t="b">
        <v>0</v>
      </c>
      <c r="E45" t="s">
        <v>80</v>
      </c>
      <c r="F45" t="s">
        <v>82</v>
      </c>
      <c r="G45" t="s">
        <v>81</v>
      </c>
      <c r="H45">
        <v>17.8</v>
      </c>
      <c r="I45">
        <v>18</v>
      </c>
      <c r="J45">
        <v>186</v>
      </c>
      <c r="K45">
        <v>5299.8</v>
      </c>
      <c r="L45">
        <v>133.9</v>
      </c>
      <c r="M45">
        <v>19.13</v>
      </c>
      <c r="N45">
        <v>5146.77</v>
      </c>
      <c r="O45">
        <v>1503.65</v>
      </c>
      <c r="P45">
        <v>3643.12</v>
      </c>
      <c r="Q45">
        <v>36.29</v>
      </c>
      <c r="R45">
        <v>263.06</v>
      </c>
      <c r="S45">
        <v>314</v>
      </c>
      <c r="T45">
        <v>102</v>
      </c>
      <c r="U45">
        <v>6</v>
      </c>
      <c r="V45">
        <v>84</v>
      </c>
      <c r="W45">
        <v>30</v>
      </c>
      <c r="X45">
        <v>27.67</v>
      </c>
      <c r="Y45">
        <v>1.69</v>
      </c>
      <c r="Z45">
        <v>70.78</v>
      </c>
      <c r="AA45">
        <v>2214.29</v>
      </c>
      <c r="AB45">
        <v>1150.68</v>
      </c>
      <c r="AC45">
        <v>205.09</v>
      </c>
      <c r="AD45">
        <v>110</v>
      </c>
      <c r="AE45">
        <v>187.75</v>
      </c>
      <c r="AF45">
        <v>3867.81</v>
      </c>
      <c r="AG45">
        <v>-524.04</v>
      </c>
      <c r="AH45">
        <v>-10.18</v>
      </c>
    </row>
    <row r="46" spans="1:34">
      <c r="A46" t="s">
        <v>569</v>
      </c>
      <c r="B46" t="s">
        <v>259</v>
      </c>
      <c r="C46" t="b">
        <v>0</v>
      </c>
      <c r="D46" t="b">
        <v>0</v>
      </c>
      <c r="E46" t="s">
        <v>80</v>
      </c>
      <c r="F46" t="s">
        <v>82</v>
      </c>
      <c r="G46" t="s">
        <v>81</v>
      </c>
      <c r="H46">
        <v>17.3</v>
      </c>
      <c r="I46">
        <v>19</v>
      </c>
      <c r="J46">
        <v>185</v>
      </c>
      <c r="K46">
        <v>5431.95</v>
      </c>
      <c r="L46">
        <v>211.29</v>
      </c>
      <c r="M46">
        <v>13.04</v>
      </c>
      <c r="N46">
        <v>5207.62</v>
      </c>
      <c r="O46">
        <v>1512.7</v>
      </c>
      <c r="P46">
        <v>3694.92</v>
      </c>
      <c r="Q46">
        <v>40.76</v>
      </c>
      <c r="R46">
        <v>175.03</v>
      </c>
      <c r="S46">
        <v>330</v>
      </c>
      <c r="T46">
        <v>106</v>
      </c>
      <c r="U46">
        <v>9</v>
      </c>
      <c r="V46">
        <v>79</v>
      </c>
      <c r="W46">
        <v>21</v>
      </c>
      <c r="X46">
        <v>28.15</v>
      </c>
      <c r="Y46">
        <v>1.78</v>
      </c>
      <c r="Z46">
        <v>70.95</v>
      </c>
      <c r="AA46">
        <v>2214.29</v>
      </c>
      <c r="AB46">
        <v>1150.68</v>
      </c>
      <c r="AC46">
        <v>202.52</v>
      </c>
      <c r="AD46">
        <v>110</v>
      </c>
      <c r="AE46">
        <v>220.45</v>
      </c>
      <c r="AF46">
        <v>3897.94</v>
      </c>
      <c r="AG46">
        <v>-418.81</v>
      </c>
      <c r="AH46">
        <v>-8.039999999999999</v>
      </c>
    </row>
    <row r="47" spans="1:34">
      <c r="A47" t="s">
        <v>570</v>
      </c>
      <c r="B47" t="s">
        <v>260</v>
      </c>
      <c r="C47" t="b">
        <v>0</v>
      </c>
      <c r="D47" t="b">
        <v>0</v>
      </c>
      <c r="E47" t="s">
        <v>80</v>
      </c>
      <c r="F47" t="s">
        <v>82</v>
      </c>
      <c r="G47" t="s">
        <v>81</v>
      </c>
      <c r="H47">
        <v>18.4</v>
      </c>
      <c r="I47">
        <v>20</v>
      </c>
      <c r="J47">
        <v>196</v>
      </c>
      <c r="K47">
        <v>7022.39</v>
      </c>
      <c r="L47">
        <v>269.21</v>
      </c>
      <c r="M47">
        <v>26.96</v>
      </c>
      <c r="N47">
        <v>6726.22</v>
      </c>
      <c r="O47">
        <v>2053.9</v>
      </c>
      <c r="P47">
        <v>4672.32</v>
      </c>
      <c r="Q47">
        <v>43.69</v>
      </c>
      <c r="R47">
        <v>176</v>
      </c>
      <c r="S47">
        <v>411</v>
      </c>
      <c r="T47">
        <v>121</v>
      </c>
      <c r="U47">
        <v>8</v>
      </c>
      <c r="V47">
        <v>75</v>
      </c>
      <c r="W47">
        <v>21</v>
      </c>
      <c r="X47">
        <v>34.32</v>
      </c>
      <c r="Y47">
        <v>2.1</v>
      </c>
      <c r="Z47">
        <v>69.45999999999999</v>
      </c>
      <c r="AA47">
        <v>2214.29</v>
      </c>
      <c r="AB47">
        <v>1150.68</v>
      </c>
      <c r="AC47">
        <v>239.7</v>
      </c>
      <c r="AD47">
        <v>110</v>
      </c>
      <c r="AE47">
        <v>155.21</v>
      </c>
      <c r="AF47">
        <v>3869.88</v>
      </c>
      <c r="AG47">
        <v>582.75</v>
      </c>
      <c r="AH47">
        <v>8.66</v>
      </c>
    </row>
    <row r="48" spans="1:34">
      <c r="A48" t="s">
        <v>571</v>
      </c>
      <c r="B48" t="s">
        <v>261</v>
      </c>
      <c r="C48" t="b">
        <v>0</v>
      </c>
      <c r="D48" t="b">
        <v>0</v>
      </c>
      <c r="E48" t="s">
        <v>80</v>
      </c>
      <c r="F48" t="s">
        <v>82</v>
      </c>
      <c r="G48" t="s">
        <v>81</v>
      </c>
      <c r="H48">
        <v>17.7</v>
      </c>
      <c r="I48">
        <v>21</v>
      </c>
      <c r="J48">
        <v>243</v>
      </c>
      <c r="K48">
        <v>7616.27</v>
      </c>
      <c r="L48">
        <v>168.68</v>
      </c>
      <c r="M48">
        <v>73.91</v>
      </c>
      <c r="N48">
        <v>7373.68</v>
      </c>
      <c r="O48">
        <v>2090.65</v>
      </c>
      <c r="P48">
        <v>5283.03</v>
      </c>
      <c r="Q48">
        <v>58.03</v>
      </c>
      <c r="R48">
        <v>311.22</v>
      </c>
      <c r="S48">
        <v>456</v>
      </c>
      <c r="T48">
        <v>130</v>
      </c>
      <c r="U48">
        <v>7</v>
      </c>
      <c r="V48">
        <v>113</v>
      </c>
      <c r="W48">
        <v>36</v>
      </c>
      <c r="X48">
        <v>30.34</v>
      </c>
      <c r="Y48">
        <v>1.88</v>
      </c>
      <c r="Z48">
        <v>71.65000000000001</v>
      </c>
      <c r="AA48">
        <v>2214.29</v>
      </c>
      <c r="AB48">
        <v>1150.68</v>
      </c>
      <c r="AC48">
        <v>231.05</v>
      </c>
      <c r="AD48">
        <v>110</v>
      </c>
      <c r="AE48">
        <v>198.63</v>
      </c>
      <c r="AF48">
        <v>3904.65</v>
      </c>
      <c r="AG48">
        <v>1009.13</v>
      </c>
      <c r="AH48">
        <v>13.69</v>
      </c>
    </row>
    <row r="49" spans="1:34">
      <c r="A49" t="s">
        <v>572</v>
      </c>
      <c r="B49" t="s">
        <v>262</v>
      </c>
      <c r="C49" t="b">
        <v>1</v>
      </c>
      <c r="D49" t="b">
        <v>0</v>
      </c>
      <c r="E49" t="s">
        <v>80</v>
      </c>
      <c r="F49" t="s">
        <v>82</v>
      </c>
      <c r="G49" t="s">
        <v>81</v>
      </c>
      <c r="H49">
        <v>18.4</v>
      </c>
      <c r="I49">
        <v>22</v>
      </c>
      <c r="J49">
        <v>262</v>
      </c>
      <c r="K49">
        <v>9161.559999999999</v>
      </c>
      <c r="L49">
        <v>189.56</v>
      </c>
      <c r="M49">
        <v>20</v>
      </c>
      <c r="N49">
        <v>8952</v>
      </c>
      <c r="O49">
        <v>2598.9</v>
      </c>
      <c r="P49">
        <v>6353.1</v>
      </c>
      <c r="Q49">
        <v>65.55</v>
      </c>
      <c r="R49">
        <v>364.1</v>
      </c>
      <c r="S49">
        <v>529</v>
      </c>
      <c r="T49">
        <v>142</v>
      </c>
      <c r="U49">
        <v>12</v>
      </c>
      <c r="V49">
        <v>120</v>
      </c>
      <c r="W49">
        <v>39</v>
      </c>
      <c r="X49">
        <v>34.17</v>
      </c>
      <c r="Y49">
        <v>2.02</v>
      </c>
      <c r="Z49">
        <v>70.97</v>
      </c>
      <c r="AA49">
        <v>2214.29</v>
      </c>
      <c r="AB49">
        <v>1150.68</v>
      </c>
      <c r="AC49">
        <v>222.76</v>
      </c>
      <c r="AD49">
        <v>110</v>
      </c>
      <c r="AE49">
        <v>170.62</v>
      </c>
      <c r="AF49">
        <v>3868.35</v>
      </c>
      <c r="AG49">
        <v>2055.1</v>
      </c>
      <c r="AH49">
        <v>22.96</v>
      </c>
    </row>
    <row r="50" spans="1:34">
      <c r="A50" t="s">
        <v>573</v>
      </c>
      <c r="B50" t="s">
        <v>263</v>
      </c>
      <c r="C50" t="b">
        <v>1</v>
      </c>
      <c r="D50" t="b">
        <v>0</v>
      </c>
      <c r="E50" t="s">
        <v>80</v>
      </c>
      <c r="F50" t="s">
        <v>82</v>
      </c>
      <c r="G50" t="s">
        <v>81</v>
      </c>
      <c r="H50">
        <v>16.7</v>
      </c>
      <c r="I50">
        <v>23</v>
      </c>
      <c r="J50">
        <v>203</v>
      </c>
      <c r="K50">
        <v>7848.45</v>
      </c>
      <c r="L50">
        <v>266.08</v>
      </c>
      <c r="M50">
        <v>0</v>
      </c>
      <c r="N50">
        <v>7582.37</v>
      </c>
      <c r="O50">
        <v>2272.25</v>
      </c>
      <c r="P50">
        <v>5310.12</v>
      </c>
      <c r="Q50">
        <v>59.81</v>
      </c>
      <c r="R50">
        <v>222.3</v>
      </c>
      <c r="S50">
        <v>460</v>
      </c>
      <c r="T50">
        <v>120</v>
      </c>
      <c r="U50">
        <v>7</v>
      </c>
      <c r="V50">
        <v>83</v>
      </c>
      <c r="W50">
        <v>27</v>
      </c>
      <c r="X50">
        <v>37.35</v>
      </c>
      <c r="Y50">
        <v>2.27</v>
      </c>
      <c r="Z50">
        <v>70.03</v>
      </c>
      <c r="AA50">
        <v>2214.29</v>
      </c>
      <c r="AB50">
        <v>1150.68</v>
      </c>
      <c r="AC50">
        <v>190.3</v>
      </c>
      <c r="AD50">
        <v>110</v>
      </c>
      <c r="AE50">
        <v>190.69</v>
      </c>
      <c r="AF50">
        <v>3855.96</v>
      </c>
      <c r="AG50">
        <v>1172.05</v>
      </c>
      <c r="AH50">
        <v>15.46</v>
      </c>
    </row>
    <row r="51" spans="1:34">
      <c r="A51" t="s">
        <v>372</v>
      </c>
      <c r="B51" t="s">
        <v>75</v>
      </c>
      <c r="C51" t="b">
        <v>0</v>
      </c>
      <c r="D51" t="b">
        <v>0</v>
      </c>
      <c r="E51" t="s">
        <v>80</v>
      </c>
      <c r="F51" t="s">
        <v>1474</v>
      </c>
      <c r="G51" t="s">
        <v>81</v>
      </c>
      <c r="H51">
        <v>16.4</v>
      </c>
      <c r="I51">
        <v>24</v>
      </c>
      <c r="J51">
        <v>198</v>
      </c>
      <c r="K51">
        <v>5743.27</v>
      </c>
      <c r="L51">
        <v>125.22</v>
      </c>
      <c r="M51">
        <v>0</v>
      </c>
      <c r="N51">
        <v>5618.05</v>
      </c>
      <c r="O51">
        <v>1629.25</v>
      </c>
      <c r="P51">
        <v>3988.8</v>
      </c>
      <c r="Q51">
        <v>44.3</v>
      </c>
      <c r="R51">
        <v>210.26</v>
      </c>
      <c r="S51">
        <v>349</v>
      </c>
      <c r="T51">
        <v>118</v>
      </c>
      <c r="U51">
        <v>9</v>
      </c>
      <c r="V51">
        <v>80</v>
      </c>
      <c r="W51">
        <v>24</v>
      </c>
      <c r="X51">
        <v>28.37</v>
      </c>
      <c r="Y51">
        <v>1.76</v>
      </c>
      <c r="Z51">
        <v>71</v>
      </c>
      <c r="AA51">
        <v>2214.29</v>
      </c>
      <c r="AB51">
        <v>1150.68</v>
      </c>
      <c r="AC51">
        <v>200.98</v>
      </c>
      <c r="AD51">
        <v>110</v>
      </c>
      <c r="AE51">
        <v>212.03</v>
      </c>
      <c r="AF51">
        <v>3887.98</v>
      </c>
      <c r="AG51">
        <v>-153.74</v>
      </c>
      <c r="AH51">
        <v>-2.74</v>
      </c>
    </row>
    <row r="52" spans="1:34">
      <c r="A52" t="s">
        <v>574</v>
      </c>
      <c r="B52" t="s">
        <v>258</v>
      </c>
      <c r="C52" t="b">
        <v>0</v>
      </c>
      <c r="D52" t="b">
        <v>0</v>
      </c>
      <c r="E52" t="s">
        <v>80</v>
      </c>
      <c r="F52" t="s">
        <v>1474</v>
      </c>
      <c r="G52" t="s">
        <v>81</v>
      </c>
      <c r="H52">
        <v>16</v>
      </c>
      <c r="I52">
        <v>25</v>
      </c>
      <c r="J52">
        <v>185</v>
      </c>
      <c r="K52">
        <v>7364.23</v>
      </c>
      <c r="L52">
        <v>380.54</v>
      </c>
      <c r="M52">
        <v>35.65</v>
      </c>
      <c r="N52">
        <v>6948.04</v>
      </c>
      <c r="O52">
        <v>2260.85</v>
      </c>
      <c r="P52">
        <v>4687.19</v>
      </c>
      <c r="Q52">
        <v>36.64</v>
      </c>
      <c r="R52">
        <v>166.05</v>
      </c>
      <c r="S52">
        <v>425</v>
      </c>
      <c r="T52">
        <v>102</v>
      </c>
      <c r="U52">
        <v>8</v>
      </c>
      <c r="V52">
        <v>83</v>
      </c>
      <c r="W52">
        <v>21</v>
      </c>
      <c r="X52">
        <v>37.56</v>
      </c>
      <c r="Y52">
        <v>2.3</v>
      </c>
      <c r="Z52">
        <v>67.45999999999999</v>
      </c>
      <c r="AA52">
        <v>2214.29</v>
      </c>
      <c r="AB52">
        <v>1150.68</v>
      </c>
      <c r="AC52">
        <v>194.93</v>
      </c>
      <c r="AD52">
        <v>110</v>
      </c>
      <c r="AE52">
        <v>205.76</v>
      </c>
      <c r="AF52">
        <v>3875.66</v>
      </c>
      <c r="AG52">
        <v>608.84</v>
      </c>
      <c r="AH52">
        <v>8.76</v>
      </c>
    </row>
    <row r="53" spans="1:34">
      <c r="A53" t="s">
        <v>575</v>
      </c>
      <c r="B53" t="s">
        <v>259</v>
      </c>
      <c r="C53" t="b">
        <v>0</v>
      </c>
      <c r="D53" t="b">
        <v>0</v>
      </c>
      <c r="E53" t="s">
        <v>80</v>
      </c>
      <c r="F53" t="s">
        <v>1474</v>
      </c>
      <c r="G53" t="s">
        <v>309</v>
      </c>
      <c r="H53">
        <v>16.9</v>
      </c>
      <c r="I53">
        <v>26</v>
      </c>
      <c r="J53">
        <v>207</v>
      </c>
      <c r="K53">
        <v>5818.93</v>
      </c>
      <c r="L53">
        <v>922.09</v>
      </c>
      <c r="M53">
        <v>23.48</v>
      </c>
      <c r="N53">
        <v>4873.36</v>
      </c>
      <c r="O53">
        <v>1639.35</v>
      </c>
      <c r="P53">
        <v>3234.01</v>
      </c>
      <c r="Q53">
        <v>41.19</v>
      </c>
      <c r="R53">
        <v>107.95</v>
      </c>
      <c r="S53">
        <v>357</v>
      </c>
      <c r="T53">
        <v>121</v>
      </c>
      <c r="U53">
        <v>7</v>
      </c>
      <c r="V53">
        <v>86</v>
      </c>
      <c r="W53">
        <v>18</v>
      </c>
      <c r="X53">
        <v>23.54</v>
      </c>
      <c r="Y53">
        <v>1.72</v>
      </c>
      <c r="Z53">
        <v>66.36</v>
      </c>
      <c r="AA53">
        <v>2214.29</v>
      </c>
      <c r="AB53">
        <v>1150.68</v>
      </c>
      <c r="AC53">
        <v>210.77</v>
      </c>
      <c r="AD53">
        <v>610</v>
      </c>
      <c r="AE53">
        <v>165.93</v>
      </c>
      <c r="AF53">
        <v>4351.67</v>
      </c>
      <c r="AG53">
        <v>-1266.8</v>
      </c>
      <c r="AH53">
        <v>-25.99</v>
      </c>
    </row>
    <row r="54" spans="1:34">
      <c r="A54" t="s">
        <v>576</v>
      </c>
      <c r="B54" t="s">
        <v>260</v>
      </c>
      <c r="C54" t="b">
        <v>0</v>
      </c>
      <c r="D54" t="b">
        <v>1</v>
      </c>
      <c r="E54" t="s">
        <v>80</v>
      </c>
      <c r="F54" t="s">
        <v>1474</v>
      </c>
      <c r="G54" t="s">
        <v>1478</v>
      </c>
      <c r="H54">
        <v>17.3</v>
      </c>
      <c r="I54">
        <v>27</v>
      </c>
      <c r="J54">
        <v>223</v>
      </c>
      <c r="K54">
        <v>8196.360000000001</v>
      </c>
      <c r="L54">
        <v>1238.09</v>
      </c>
      <c r="M54">
        <v>0</v>
      </c>
      <c r="N54">
        <v>6958.27</v>
      </c>
      <c r="O54">
        <v>2325.5</v>
      </c>
      <c r="P54">
        <v>4632.77</v>
      </c>
      <c r="Q54">
        <v>53.12</v>
      </c>
      <c r="R54">
        <v>205.97</v>
      </c>
      <c r="S54">
        <v>472</v>
      </c>
      <c r="T54">
        <v>129</v>
      </c>
      <c r="U54">
        <v>10</v>
      </c>
      <c r="V54">
        <v>94</v>
      </c>
      <c r="W54">
        <v>34</v>
      </c>
      <c r="X54">
        <v>31.2</v>
      </c>
      <c r="Y54">
        <v>2.12</v>
      </c>
      <c r="Z54">
        <v>66.58</v>
      </c>
      <c r="AA54">
        <v>2214.29</v>
      </c>
      <c r="AB54">
        <v>1150.68</v>
      </c>
      <c r="AC54">
        <v>213.94</v>
      </c>
      <c r="AD54">
        <v>610</v>
      </c>
      <c r="AE54">
        <v>174.92</v>
      </c>
      <c r="AF54">
        <v>4363.83</v>
      </c>
      <c r="AG54">
        <v>9.85</v>
      </c>
      <c r="AH54">
        <v>0.14</v>
      </c>
    </row>
    <row r="55" spans="1:34">
      <c r="A55" t="s">
        <v>577</v>
      </c>
      <c r="B55" t="s">
        <v>261</v>
      </c>
      <c r="C55" t="b">
        <v>0</v>
      </c>
      <c r="D55" t="b">
        <v>1</v>
      </c>
      <c r="E55" t="s">
        <v>80</v>
      </c>
      <c r="F55" t="s">
        <v>1474</v>
      </c>
      <c r="G55" t="s">
        <v>1479</v>
      </c>
      <c r="H55">
        <v>17.9</v>
      </c>
      <c r="I55">
        <v>28</v>
      </c>
      <c r="J55">
        <v>196</v>
      </c>
      <c r="K55">
        <v>6580.64</v>
      </c>
      <c r="L55">
        <v>916.49</v>
      </c>
      <c r="M55">
        <v>11.08</v>
      </c>
      <c r="N55">
        <v>5653.07</v>
      </c>
      <c r="O55">
        <v>1793</v>
      </c>
      <c r="P55">
        <v>3860.07</v>
      </c>
      <c r="Q55">
        <v>41.82</v>
      </c>
      <c r="R55">
        <v>197.92</v>
      </c>
      <c r="S55">
        <v>394</v>
      </c>
      <c r="T55">
        <v>120</v>
      </c>
      <c r="U55">
        <v>8</v>
      </c>
      <c r="V55">
        <v>76</v>
      </c>
      <c r="W55">
        <v>31</v>
      </c>
      <c r="X55">
        <v>28.84</v>
      </c>
      <c r="Y55">
        <v>2.01</v>
      </c>
      <c r="Z55">
        <v>68.28</v>
      </c>
      <c r="AA55">
        <v>2214.29</v>
      </c>
      <c r="AB55">
        <v>1150.68</v>
      </c>
      <c r="AC55">
        <v>213.91</v>
      </c>
      <c r="AD55">
        <v>610</v>
      </c>
      <c r="AE55">
        <v>192.23</v>
      </c>
      <c r="AF55">
        <v>4381.11</v>
      </c>
      <c r="AG55">
        <v>-760.78</v>
      </c>
      <c r="AH55">
        <v>-13.46</v>
      </c>
    </row>
    <row r="56" spans="1:34">
      <c r="A56" t="s">
        <v>578</v>
      </c>
      <c r="B56" t="s">
        <v>262</v>
      </c>
      <c r="C56" t="b">
        <v>1</v>
      </c>
      <c r="D56" t="b">
        <v>0</v>
      </c>
      <c r="E56" t="s">
        <v>80</v>
      </c>
      <c r="F56" t="s">
        <v>1474</v>
      </c>
      <c r="G56" t="s">
        <v>81</v>
      </c>
      <c r="H56">
        <v>17.1</v>
      </c>
      <c r="I56">
        <v>29</v>
      </c>
      <c r="J56">
        <v>216</v>
      </c>
      <c r="K56">
        <v>7907.59</v>
      </c>
      <c r="L56">
        <v>199.98</v>
      </c>
      <c r="M56">
        <v>14.78</v>
      </c>
      <c r="N56">
        <v>7692.83</v>
      </c>
      <c r="O56">
        <v>2265.45</v>
      </c>
      <c r="P56">
        <v>5427.38</v>
      </c>
      <c r="Q56">
        <v>60.25</v>
      </c>
      <c r="R56">
        <v>286.93</v>
      </c>
      <c r="S56">
        <v>473</v>
      </c>
      <c r="T56">
        <v>116</v>
      </c>
      <c r="U56">
        <v>10</v>
      </c>
      <c r="V56">
        <v>100</v>
      </c>
      <c r="W56">
        <v>34</v>
      </c>
      <c r="X56">
        <v>35.61</v>
      </c>
      <c r="Y56">
        <v>2.19</v>
      </c>
      <c r="Z56">
        <v>70.55</v>
      </c>
      <c r="AA56">
        <v>2214.29</v>
      </c>
      <c r="AB56">
        <v>1150.68</v>
      </c>
      <c r="AC56">
        <v>234.82</v>
      </c>
      <c r="AD56">
        <v>110</v>
      </c>
      <c r="AE56">
        <v>188.3</v>
      </c>
      <c r="AF56">
        <v>3898.09</v>
      </c>
      <c r="AG56">
        <v>1182.11</v>
      </c>
      <c r="AH56">
        <v>15.37</v>
      </c>
    </row>
    <row r="57" spans="1:34">
      <c r="A57" t="s">
        <v>579</v>
      </c>
      <c r="B57" t="s">
        <v>263</v>
      </c>
      <c r="C57" t="b">
        <v>1</v>
      </c>
      <c r="D57" t="b">
        <v>0</v>
      </c>
      <c r="E57" t="s">
        <v>80</v>
      </c>
      <c r="F57" t="s">
        <v>1474</v>
      </c>
      <c r="G57" t="s">
        <v>81</v>
      </c>
      <c r="H57">
        <v>18</v>
      </c>
      <c r="I57">
        <v>30</v>
      </c>
      <c r="J57">
        <v>160</v>
      </c>
      <c r="K57">
        <v>6113.76</v>
      </c>
      <c r="L57">
        <v>30.44</v>
      </c>
      <c r="M57">
        <v>0</v>
      </c>
      <c r="N57">
        <v>6083.32</v>
      </c>
      <c r="O57">
        <v>1732.05</v>
      </c>
      <c r="P57">
        <v>4351.27</v>
      </c>
      <c r="Q57">
        <v>45.59</v>
      </c>
      <c r="R57">
        <v>227.01</v>
      </c>
      <c r="S57">
        <v>363</v>
      </c>
      <c r="T57">
        <v>90</v>
      </c>
      <c r="U57">
        <v>7</v>
      </c>
      <c r="V57">
        <v>70</v>
      </c>
      <c r="W57">
        <v>30</v>
      </c>
      <c r="X57">
        <v>38.02</v>
      </c>
      <c r="Y57">
        <v>2.27</v>
      </c>
      <c r="Z57">
        <v>71.53</v>
      </c>
      <c r="AA57">
        <v>2214.29</v>
      </c>
      <c r="AB57">
        <v>1150.68</v>
      </c>
      <c r="AC57">
        <v>223.78</v>
      </c>
      <c r="AD57">
        <v>110</v>
      </c>
      <c r="AE57">
        <v>221.23</v>
      </c>
      <c r="AF57">
        <v>3919.98</v>
      </c>
      <c r="AG57">
        <v>158.69</v>
      </c>
      <c r="AH57">
        <v>2.61</v>
      </c>
    </row>
    <row r="58" spans="1:34">
      <c r="A58" t="s">
        <v>373</v>
      </c>
      <c r="B58" t="s">
        <v>75</v>
      </c>
      <c r="C58" t="b">
        <v>0</v>
      </c>
      <c r="D58" t="b">
        <v>0</v>
      </c>
      <c r="E58" t="s">
        <v>80</v>
      </c>
      <c r="F58" t="s">
        <v>1474</v>
      </c>
      <c r="G58" t="s">
        <v>81</v>
      </c>
      <c r="H58">
        <v>19.4</v>
      </c>
      <c r="I58">
        <v>31</v>
      </c>
      <c r="J58">
        <v>192</v>
      </c>
      <c r="K58">
        <v>5715.51</v>
      </c>
      <c r="L58">
        <v>51.3</v>
      </c>
      <c r="M58">
        <v>0</v>
      </c>
      <c r="N58">
        <v>5664.21</v>
      </c>
      <c r="O58">
        <v>1619.55</v>
      </c>
      <c r="P58">
        <v>4044.66</v>
      </c>
      <c r="Q58">
        <v>40.21</v>
      </c>
      <c r="R58">
        <v>277.02</v>
      </c>
      <c r="S58">
        <v>331</v>
      </c>
      <c r="T58">
        <v>105</v>
      </c>
      <c r="U58">
        <v>4</v>
      </c>
      <c r="V58">
        <v>87</v>
      </c>
      <c r="W58">
        <v>33</v>
      </c>
      <c r="X58">
        <v>29.5</v>
      </c>
      <c r="Y58">
        <v>1.72</v>
      </c>
      <c r="Z58">
        <v>71.41</v>
      </c>
      <c r="AA58">
        <v>2214.29</v>
      </c>
      <c r="AB58">
        <v>1150.68</v>
      </c>
      <c r="AC58">
        <v>215.16</v>
      </c>
      <c r="AD58">
        <v>110</v>
      </c>
      <c r="AE58">
        <v>183.41</v>
      </c>
      <c r="AF58">
        <v>3873.54</v>
      </c>
      <c r="AG58">
        <v>-146.11</v>
      </c>
      <c r="AH58">
        <v>-2.58</v>
      </c>
    </row>
    <row r="59" spans="1:34">
      <c r="A59" t="s">
        <v>580</v>
      </c>
      <c r="B59" t="s">
        <v>258</v>
      </c>
      <c r="C59" t="b">
        <v>0</v>
      </c>
      <c r="D59" t="b">
        <v>0</v>
      </c>
      <c r="E59" t="s">
        <v>80</v>
      </c>
      <c r="F59" t="s">
        <v>1474</v>
      </c>
      <c r="G59" t="s">
        <v>1477</v>
      </c>
      <c r="H59">
        <v>21.3</v>
      </c>
      <c r="I59">
        <v>0</v>
      </c>
      <c r="J59">
        <v>244</v>
      </c>
      <c r="K59">
        <v>7265.82</v>
      </c>
      <c r="L59">
        <v>223.47</v>
      </c>
      <c r="M59">
        <v>53.91</v>
      </c>
      <c r="N59">
        <v>6988.44</v>
      </c>
      <c r="O59">
        <v>2028.55</v>
      </c>
      <c r="P59">
        <v>4959.89</v>
      </c>
      <c r="Q59">
        <v>49.33</v>
      </c>
      <c r="R59">
        <v>259.99</v>
      </c>
      <c r="S59">
        <v>429</v>
      </c>
      <c r="T59">
        <v>138</v>
      </c>
      <c r="U59">
        <v>4</v>
      </c>
      <c r="V59">
        <v>106</v>
      </c>
      <c r="W59">
        <v>24</v>
      </c>
      <c r="X59">
        <v>28.64</v>
      </c>
      <c r="Y59">
        <v>1.76</v>
      </c>
      <c r="Z59">
        <v>70.97</v>
      </c>
      <c r="AA59">
        <v>2214.29</v>
      </c>
      <c r="AB59">
        <v>1150.68</v>
      </c>
      <c r="AC59">
        <v>220.88</v>
      </c>
      <c r="AD59">
        <v>110</v>
      </c>
      <c r="AE59">
        <v>224.03</v>
      </c>
      <c r="AF59">
        <v>3919.88</v>
      </c>
      <c r="AG59">
        <v>730.6900000000001</v>
      </c>
      <c r="AH59">
        <v>10.46</v>
      </c>
    </row>
    <row r="60" spans="1:34">
      <c r="A60" t="s">
        <v>581</v>
      </c>
      <c r="B60" t="s">
        <v>259</v>
      </c>
      <c r="C60" t="b">
        <v>0</v>
      </c>
      <c r="D60" t="b">
        <v>0</v>
      </c>
      <c r="E60" t="s">
        <v>80</v>
      </c>
      <c r="F60" t="s">
        <v>1474</v>
      </c>
      <c r="G60" t="s">
        <v>1477</v>
      </c>
      <c r="H60">
        <v>19.8</v>
      </c>
      <c r="I60">
        <v>1</v>
      </c>
      <c r="J60">
        <v>237</v>
      </c>
      <c r="K60">
        <v>7386.77</v>
      </c>
      <c r="L60">
        <v>291.3</v>
      </c>
      <c r="M60">
        <v>49.56</v>
      </c>
      <c r="N60">
        <v>7045.91</v>
      </c>
      <c r="O60">
        <v>2150.95</v>
      </c>
      <c r="P60">
        <v>4894.96</v>
      </c>
      <c r="Q60">
        <v>47.72</v>
      </c>
      <c r="R60">
        <v>366.79</v>
      </c>
      <c r="S60">
        <v>430</v>
      </c>
      <c r="T60">
        <v>141</v>
      </c>
      <c r="U60">
        <v>8</v>
      </c>
      <c r="V60">
        <v>96</v>
      </c>
      <c r="W60">
        <v>34</v>
      </c>
      <c r="X60">
        <v>29.73</v>
      </c>
      <c r="Y60">
        <v>1.81</v>
      </c>
      <c r="Z60">
        <v>69.47</v>
      </c>
      <c r="AA60">
        <v>2214.29</v>
      </c>
      <c r="AB60">
        <v>1150.68</v>
      </c>
      <c r="AC60">
        <v>218.56</v>
      </c>
      <c r="AD60">
        <v>110</v>
      </c>
      <c r="AE60">
        <v>189.54</v>
      </c>
      <c r="AF60">
        <v>3883.07</v>
      </c>
      <c r="AG60">
        <v>597.38</v>
      </c>
      <c r="AH60">
        <v>8.48</v>
      </c>
    </row>
    <row r="61" spans="1:34">
      <c r="A61" t="s">
        <v>582</v>
      </c>
      <c r="B61" t="s">
        <v>260</v>
      </c>
      <c r="C61" t="b">
        <v>0</v>
      </c>
      <c r="D61" t="b">
        <v>0</v>
      </c>
      <c r="E61" t="s">
        <v>1471</v>
      </c>
      <c r="F61" t="s">
        <v>1474</v>
      </c>
      <c r="G61" t="s">
        <v>1477</v>
      </c>
      <c r="H61">
        <v>20.7</v>
      </c>
      <c r="I61">
        <v>2</v>
      </c>
      <c r="J61">
        <v>212</v>
      </c>
      <c r="K61">
        <v>6149.3</v>
      </c>
      <c r="L61">
        <v>129.55</v>
      </c>
      <c r="M61">
        <v>15.65</v>
      </c>
      <c r="N61">
        <v>6004.1</v>
      </c>
      <c r="O61">
        <v>1735.55</v>
      </c>
      <c r="P61">
        <v>4268.55</v>
      </c>
      <c r="Q61">
        <v>43.32</v>
      </c>
      <c r="R61">
        <v>241.23</v>
      </c>
      <c r="S61">
        <v>369</v>
      </c>
      <c r="T61">
        <v>116</v>
      </c>
      <c r="U61">
        <v>3</v>
      </c>
      <c r="V61">
        <v>96</v>
      </c>
      <c r="W61">
        <v>29</v>
      </c>
      <c r="X61">
        <v>28.32</v>
      </c>
      <c r="Y61">
        <v>1.74</v>
      </c>
      <c r="Z61">
        <v>71.09</v>
      </c>
      <c r="AA61">
        <v>2000</v>
      </c>
      <c r="AB61">
        <v>1150.68</v>
      </c>
      <c r="AC61">
        <v>219.34</v>
      </c>
      <c r="AD61">
        <v>110</v>
      </c>
      <c r="AE61">
        <v>164.65</v>
      </c>
      <c r="AF61">
        <v>3644.67</v>
      </c>
      <c r="AG61">
        <v>339.33</v>
      </c>
      <c r="AH61">
        <v>5.65</v>
      </c>
    </row>
    <row r="62" spans="1:34">
      <c r="A62" t="s">
        <v>583</v>
      </c>
      <c r="B62" t="s">
        <v>261</v>
      </c>
      <c r="C62" t="b">
        <v>0</v>
      </c>
      <c r="D62" t="b">
        <v>0</v>
      </c>
      <c r="E62" t="s">
        <v>1471</v>
      </c>
      <c r="F62" t="s">
        <v>1474</v>
      </c>
      <c r="G62" t="s">
        <v>1477</v>
      </c>
      <c r="H62">
        <v>20.4</v>
      </c>
      <c r="I62">
        <v>3</v>
      </c>
      <c r="J62">
        <v>278</v>
      </c>
      <c r="K62">
        <v>9174.43</v>
      </c>
      <c r="L62">
        <v>259.98</v>
      </c>
      <c r="M62">
        <v>58.26</v>
      </c>
      <c r="N62">
        <v>8856.190000000001</v>
      </c>
      <c r="O62">
        <v>2480.6</v>
      </c>
      <c r="P62">
        <v>6375.59</v>
      </c>
      <c r="Q62">
        <v>70.91</v>
      </c>
      <c r="R62">
        <v>250.2</v>
      </c>
      <c r="S62">
        <v>554</v>
      </c>
      <c r="T62">
        <v>158</v>
      </c>
      <c r="U62">
        <v>4</v>
      </c>
      <c r="V62">
        <v>120</v>
      </c>
      <c r="W62">
        <v>29</v>
      </c>
      <c r="X62">
        <v>31.86</v>
      </c>
      <c r="Y62">
        <v>1.99</v>
      </c>
      <c r="Z62">
        <v>71.98999999999999</v>
      </c>
      <c r="AA62">
        <v>2000</v>
      </c>
      <c r="AB62">
        <v>1150.68</v>
      </c>
      <c r="AC62">
        <v>219.24</v>
      </c>
      <c r="AD62">
        <v>110</v>
      </c>
      <c r="AE62">
        <v>185.8</v>
      </c>
      <c r="AF62">
        <v>3665.72</v>
      </c>
      <c r="AG62">
        <v>2388.76</v>
      </c>
      <c r="AH62">
        <v>26.97</v>
      </c>
    </row>
    <row r="63" spans="1:34">
      <c r="A63" t="s">
        <v>584</v>
      </c>
      <c r="B63" t="s">
        <v>262</v>
      </c>
      <c r="C63" t="b">
        <v>1</v>
      </c>
      <c r="D63" t="b">
        <v>0</v>
      </c>
      <c r="E63" t="s">
        <v>1471</v>
      </c>
      <c r="F63" t="s">
        <v>1475</v>
      </c>
      <c r="G63" t="s">
        <v>1477</v>
      </c>
      <c r="H63">
        <v>20.9</v>
      </c>
      <c r="I63">
        <v>4</v>
      </c>
      <c r="J63">
        <v>236</v>
      </c>
      <c r="K63">
        <v>8605.91</v>
      </c>
      <c r="L63">
        <v>188.7</v>
      </c>
      <c r="M63">
        <v>38.26</v>
      </c>
      <c r="N63">
        <v>8378.950000000001</v>
      </c>
      <c r="O63">
        <v>2377.95</v>
      </c>
      <c r="P63">
        <v>6001</v>
      </c>
      <c r="Q63">
        <v>58.63</v>
      </c>
      <c r="R63">
        <v>290.59</v>
      </c>
      <c r="S63">
        <v>520</v>
      </c>
      <c r="T63">
        <v>134</v>
      </c>
      <c r="U63">
        <v>6</v>
      </c>
      <c r="V63">
        <v>102</v>
      </c>
      <c r="W63">
        <v>37</v>
      </c>
      <c r="X63">
        <v>35.5</v>
      </c>
      <c r="Y63">
        <v>2.2</v>
      </c>
      <c r="Z63">
        <v>71.62</v>
      </c>
      <c r="AA63">
        <v>2000</v>
      </c>
      <c r="AB63">
        <v>1150.68</v>
      </c>
      <c r="AC63">
        <v>185.66</v>
      </c>
      <c r="AD63">
        <v>110</v>
      </c>
      <c r="AE63">
        <v>222.37</v>
      </c>
      <c r="AF63">
        <v>3668.71</v>
      </c>
      <c r="AG63">
        <v>1983.07</v>
      </c>
      <c r="AH63">
        <v>23.67</v>
      </c>
    </row>
    <row r="64" spans="1:34">
      <c r="A64" t="s">
        <v>585</v>
      </c>
      <c r="B64" t="s">
        <v>263</v>
      </c>
      <c r="C64" t="b">
        <v>1</v>
      </c>
      <c r="D64" t="b">
        <v>0</v>
      </c>
      <c r="E64" t="s">
        <v>1471</v>
      </c>
      <c r="F64" t="s">
        <v>1475</v>
      </c>
      <c r="G64" t="s">
        <v>81</v>
      </c>
      <c r="H64">
        <v>21.8</v>
      </c>
      <c r="I64">
        <v>5</v>
      </c>
      <c r="J64">
        <v>228</v>
      </c>
      <c r="K64">
        <v>8579.73</v>
      </c>
      <c r="L64">
        <v>294.76</v>
      </c>
      <c r="M64">
        <v>21.74</v>
      </c>
      <c r="N64">
        <v>8263.23</v>
      </c>
      <c r="O64">
        <v>2431.35</v>
      </c>
      <c r="P64">
        <v>5831.88</v>
      </c>
      <c r="Q64">
        <v>59.48</v>
      </c>
      <c r="R64">
        <v>382.44</v>
      </c>
      <c r="S64">
        <v>518</v>
      </c>
      <c r="T64">
        <v>143</v>
      </c>
      <c r="U64">
        <v>5</v>
      </c>
      <c r="V64">
        <v>85</v>
      </c>
      <c r="W64">
        <v>37</v>
      </c>
      <c r="X64">
        <v>36.24</v>
      </c>
      <c r="Y64">
        <v>2.27</v>
      </c>
      <c r="Z64">
        <v>70.58</v>
      </c>
      <c r="AA64">
        <v>2000</v>
      </c>
      <c r="AB64">
        <v>1150.68</v>
      </c>
      <c r="AC64">
        <v>217.65</v>
      </c>
      <c r="AD64">
        <v>110</v>
      </c>
      <c r="AE64">
        <v>171.13</v>
      </c>
      <c r="AF64">
        <v>3649.46</v>
      </c>
      <c r="AG64">
        <v>1740.5</v>
      </c>
      <c r="AH64">
        <v>21.06</v>
      </c>
    </row>
    <row r="65" spans="1:34">
      <c r="A65" t="s">
        <v>374</v>
      </c>
      <c r="B65" t="s">
        <v>75</v>
      </c>
      <c r="C65" t="b">
        <v>0</v>
      </c>
      <c r="D65" t="b">
        <v>0</v>
      </c>
      <c r="E65" t="s">
        <v>1471</v>
      </c>
      <c r="F65" t="s">
        <v>1475</v>
      </c>
      <c r="G65" t="s">
        <v>81</v>
      </c>
      <c r="H65">
        <v>21.3</v>
      </c>
      <c r="I65">
        <v>6</v>
      </c>
      <c r="J65">
        <v>186</v>
      </c>
      <c r="K65">
        <v>5803.22</v>
      </c>
      <c r="L65">
        <v>95.64</v>
      </c>
      <c r="M65">
        <v>31.3</v>
      </c>
      <c r="N65">
        <v>5676.28</v>
      </c>
      <c r="O65">
        <v>1614.2</v>
      </c>
      <c r="P65">
        <v>4062.08</v>
      </c>
      <c r="Q65">
        <v>45.12</v>
      </c>
      <c r="R65">
        <v>154.2</v>
      </c>
      <c r="S65">
        <v>356</v>
      </c>
      <c r="T65">
        <v>98</v>
      </c>
      <c r="U65">
        <v>3</v>
      </c>
      <c r="V65">
        <v>88</v>
      </c>
      <c r="W65">
        <v>17</v>
      </c>
      <c r="X65">
        <v>30.52</v>
      </c>
      <c r="Y65">
        <v>1.91</v>
      </c>
      <c r="Z65">
        <v>71.56</v>
      </c>
      <c r="AA65">
        <v>2000</v>
      </c>
      <c r="AB65">
        <v>1150.68</v>
      </c>
      <c r="AC65">
        <v>218.74</v>
      </c>
      <c r="AD65">
        <v>110</v>
      </c>
      <c r="AE65">
        <v>201.96</v>
      </c>
      <c r="AF65">
        <v>3681.38</v>
      </c>
      <c r="AG65">
        <v>181.38</v>
      </c>
      <c r="AH65">
        <v>3.2</v>
      </c>
    </row>
    <row r="66" spans="1:34">
      <c r="A66" t="s">
        <v>586</v>
      </c>
      <c r="B66" t="s">
        <v>258</v>
      </c>
      <c r="C66" t="b">
        <v>0</v>
      </c>
      <c r="D66" t="b">
        <v>0</v>
      </c>
      <c r="E66" t="s">
        <v>1471</v>
      </c>
      <c r="F66" t="s">
        <v>1475</v>
      </c>
      <c r="G66" t="s">
        <v>81</v>
      </c>
      <c r="H66">
        <v>22.2</v>
      </c>
      <c r="I66">
        <v>7</v>
      </c>
      <c r="J66">
        <v>163</v>
      </c>
      <c r="K66">
        <v>4865.91</v>
      </c>
      <c r="L66">
        <v>150.43</v>
      </c>
      <c r="M66">
        <v>0</v>
      </c>
      <c r="N66">
        <v>4715.48</v>
      </c>
      <c r="O66">
        <v>1327</v>
      </c>
      <c r="P66">
        <v>3388.48</v>
      </c>
      <c r="Q66">
        <v>32.18</v>
      </c>
      <c r="R66">
        <v>213.49</v>
      </c>
      <c r="S66">
        <v>291</v>
      </c>
      <c r="T66">
        <v>99</v>
      </c>
      <c r="U66">
        <v>5</v>
      </c>
      <c r="V66">
        <v>64</v>
      </c>
      <c r="W66">
        <v>25</v>
      </c>
      <c r="X66">
        <v>28.93</v>
      </c>
      <c r="Y66">
        <v>1.79</v>
      </c>
      <c r="Z66">
        <v>71.86</v>
      </c>
      <c r="AA66">
        <v>2000</v>
      </c>
      <c r="AB66">
        <v>1150.68</v>
      </c>
      <c r="AC66">
        <v>212.69</v>
      </c>
      <c r="AD66">
        <v>110</v>
      </c>
      <c r="AE66">
        <v>193.72</v>
      </c>
      <c r="AF66">
        <v>3667.09</v>
      </c>
      <c r="AG66">
        <v>-524.28</v>
      </c>
      <c r="AH66">
        <v>-11.12</v>
      </c>
    </row>
    <row r="67" spans="1:34">
      <c r="A67" t="s">
        <v>587</v>
      </c>
      <c r="B67" t="s">
        <v>259</v>
      </c>
      <c r="C67" t="b">
        <v>0</v>
      </c>
      <c r="D67" t="b">
        <v>0</v>
      </c>
      <c r="E67" t="s">
        <v>1471</v>
      </c>
      <c r="F67" t="s">
        <v>1475</v>
      </c>
      <c r="G67" t="s">
        <v>81</v>
      </c>
      <c r="H67">
        <v>21.5</v>
      </c>
      <c r="I67">
        <v>8</v>
      </c>
      <c r="J67">
        <v>221</v>
      </c>
      <c r="K67">
        <v>6478.01</v>
      </c>
      <c r="L67">
        <v>145.21</v>
      </c>
      <c r="M67">
        <v>0</v>
      </c>
      <c r="N67">
        <v>6332.8</v>
      </c>
      <c r="O67">
        <v>1788.9</v>
      </c>
      <c r="P67">
        <v>4543.9</v>
      </c>
      <c r="Q67">
        <v>44.19</v>
      </c>
      <c r="R67">
        <v>261.54</v>
      </c>
      <c r="S67">
        <v>390</v>
      </c>
      <c r="T67">
        <v>132</v>
      </c>
      <c r="U67">
        <v>8</v>
      </c>
      <c r="V67">
        <v>89</v>
      </c>
      <c r="W67">
        <v>31</v>
      </c>
      <c r="X67">
        <v>28.66</v>
      </c>
      <c r="Y67">
        <v>1.76</v>
      </c>
      <c r="Z67">
        <v>71.75</v>
      </c>
      <c r="AA67">
        <v>2000</v>
      </c>
      <c r="AB67">
        <v>1150.68</v>
      </c>
      <c r="AC67">
        <v>208.96</v>
      </c>
      <c r="AD67">
        <v>110</v>
      </c>
      <c r="AE67">
        <v>176.55</v>
      </c>
      <c r="AF67">
        <v>3646.19</v>
      </c>
      <c r="AG67">
        <v>591.98</v>
      </c>
      <c r="AH67">
        <v>9.35</v>
      </c>
    </row>
    <row r="68" spans="1:34">
      <c r="A68" t="s">
        <v>588</v>
      </c>
      <c r="B68" t="s">
        <v>260</v>
      </c>
      <c r="C68" t="b">
        <v>0</v>
      </c>
      <c r="D68" t="b">
        <v>0</v>
      </c>
      <c r="E68" t="s">
        <v>1471</v>
      </c>
      <c r="F68" t="s">
        <v>1475</v>
      </c>
      <c r="G68" t="s">
        <v>81</v>
      </c>
      <c r="H68">
        <v>19.7</v>
      </c>
      <c r="I68">
        <v>9</v>
      </c>
      <c r="J68">
        <v>194</v>
      </c>
      <c r="K68">
        <v>6235.5</v>
      </c>
      <c r="L68">
        <v>113.91</v>
      </c>
      <c r="M68">
        <v>20</v>
      </c>
      <c r="N68">
        <v>6101.59</v>
      </c>
      <c r="O68">
        <v>1778.65</v>
      </c>
      <c r="P68">
        <v>4322.94</v>
      </c>
      <c r="Q68">
        <v>46.27</v>
      </c>
      <c r="R68">
        <v>174.06</v>
      </c>
      <c r="S68">
        <v>370</v>
      </c>
      <c r="T68">
        <v>108</v>
      </c>
      <c r="U68">
        <v>6</v>
      </c>
      <c r="V68">
        <v>86</v>
      </c>
      <c r="W68">
        <v>21</v>
      </c>
      <c r="X68">
        <v>31.45</v>
      </c>
      <c r="Y68">
        <v>1.91</v>
      </c>
      <c r="Z68">
        <v>70.84999999999999</v>
      </c>
      <c r="AA68">
        <v>2000</v>
      </c>
      <c r="AB68">
        <v>1150.68</v>
      </c>
      <c r="AC68">
        <v>222.22</v>
      </c>
      <c r="AD68">
        <v>110</v>
      </c>
      <c r="AE68">
        <v>189.9</v>
      </c>
      <c r="AF68">
        <v>3672.8</v>
      </c>
      <c r="AG68">
        <v>429.81</v>
      </c>
      <c r="AH68">
        <v>7.04</v>
      </c>
    </row>
    <row r="69" spans="1:34">
      <c r="A69" t="s">
        <v>589</v>
      </c>
      <c r="B69" t="s">
        <v>261</v>
      </c>
      <c r="C69" t="b">
        <v>0</v>
      </c>
      <c r="D69" t="b">
        <v>0</v>
      </c>
      <c r="E69" t="s">
        <v>1471</v>
      </c>
      <c r="F69" t="s">
        <v>1475</v>
      </c>
      <c r="G69" t="s">
        <v>81</v>
      </c>
      <c r="H69">
        <v>19.6</v>
      </c>
      <c r="I69">
        <v>10</v>
      </c>
      <c r="J69">
        <v>277</v>
      </c>
      <c r="K69">
        <v>9324.860000000001</v>
      </c>
      <c r="L69">
        <v>270.42</v>
      </c>
      <c r="M69">
        <v>0</v>
      </c>
      <c r="N69">
        <v>9054.440000000001</v>
      </c>
      <c r="O69">
        <v>2617.8</v>
      </c>
      <c r="P69">
        <v>6436.64</v>
      </c>
      <c r="Q69">
        <v>74.73</v>
      </c>
      <c r="R69">
        <v>226.32</v>
      </c>
      <c r="S69">
        <v>552</v>
      </c>
      <c r="T69">
        <v>152</v>
      </c>
      <c r="U69">
        <v>11</v>
      </c>
      <c r="V69">
        <v>125</v>
      </c>
      <c r="W69">
        <v>27</v>
      </c>
      <c r="X69">
        <v>32.69</v>
      </c>
      <c r="Y69">
        <v>1.99</v>
      </c>
      <c r="Z69">
        <v>71.09</v>
      </c>
      <c r="AA69">
        <v>2000</v>
      </c>
      <c r="AB69">
        <v>1150.68</v>
      </c>
      <c r="AC69">
        <v>212.85</v>
      </c>
      <c r="AD69">
        <v>110</v>
      </c>
      <c r="AE69">
        <v>185.22</v>
      </c>
      <c r="AF69">
        <v>3658.75</v>
      </c>
      <c r="AG69">
        <v>2476.84</v>
      </c>
      <c r="AH69">
        <v>27.35</v>
      </c>
    </row>
    <row r="70" spans="1:34">
      <c r="A70" t="s">
        <v>590</v>
      </c>
      <c r="B70" t="s">
        <v>262</v>
      </c>
      <c r="C70" t="b">
        <v>1</v>
      </c>
      <c r="D70" t="b">
        <v>0</v>
      </c>
      <c r="E70" t="s">
        <v>1471</v>
      </c>
      <c r="F70" t="s">
        <v>1475</v>
      </c>
      <c r="G70" t="s">
        <v>81</v>
      </c>
      <c r="H70">
        <v>18.5</v>
      </c>
      <c r="I70">
        <v>11</v>
      </c>
      <c r="J70">
        <v>222</v>
      </c>
      <c r="K70">
        <v>8196.23</v>
      </c>
      <c r="L70">
        <v>242.61</v>
      </c>
      <c r="M70">
        <v>33.91</v>
      </c>
      <c r="N70">
        <v>7919.71</v>
      </c>
      <c r="O70">
        <v>2224.5</v>
      </c>
      <c r="P70">
        <v>5695.21</v>
      </c>
      <c r="Q70">
        <v>56</v>
      </c>
      <c r="R70">
        <v>299.01</v>
      </c>
      <c r="S70">
        <v>495</v>
      </c>
      <c r="T70">
        <v>126</v>
      </c>
      <c r="U70">
        <v>8</v>
      </c>
      <c r="V70">
        <v>96</v>
      </c>
      <c r="W70">
        <v>37</v>
      </c>
      <c r="X70">
        <v>35.67</v>
      </c>
      <c r="Y70">
        <v>2.23</v>
      </c>
      <c r="Z70">
        <v>71.91</v>
      </c>
      <c r="AA70">
        <v>2000</v>
      </c>
      <c r="AB70">
        <v>1150.68</v>
      </c>
      <c r="AC70">
        <v>210.32</v>
      </c>
      <c r="AD70">
        <v>110</v>
      </c>
      <c r="AE70">
        <v>192.67</v>
      </c>
      <c r="AF70">
        <v>3663.67</v>
      </c>
      <c r="AG70">
        <v>1676.53</v>
      </c>
      <c r="AH70">
        <v>21.17</v>
      </c>
    </row>
    <row r="71" spans="1:34">
      <c r="A71" t="s">
        <v>591</v>
      </c>
      <c r="B71" t="s">
        <v>263</v>
      </c>
      <c r="C71" t="b">
        <v>1</v>
      </c>
      <c r="D71" t="b">
        <v>0</v>
      </c>
      <c r="E71" t="s">
        <v>1471</v>
      </c>
      <c r="F71" t="s">
        <v>1475</v>
      </c>
      <c r="G71" t="s">
        <v>81</v>
      </c>
      <c r="H71">
        <v>18.4</v>
      </c>
      <c r="I71">
        <v>12</v>
      </c>
      <c r="J71">
        <v>173</v>
      </c>
      <c r="K71">
        <v>6580.6</v>
      </c>
      <c r="L71">
        <v>49.56</v>
      </c>
      <c r="M71">
        <v>0</v>
      </c>
      <c r="N71">
        <v>6531.04</v>
      </c>
      <c r="O71">
        <v>1839.7</v>
      </c>
      <c r="P71">
        <v>4691.34</v>
      </c>
      <c r="Q71">
        <v>50.08</v>
      </c>
      <c r="R71">
        <v>228.63</v>
      </c>
      <c r="S71">
        <v>400</v>
      </c>
      <c r="T71">
        <v>94</v>
      </c>
      <c r="U71">
        <v>8</v>
      </c>
      <c r="V71">
        <v>79</v>
      </c>
      <c r="W71">
        <v>27</v>
      </c>
      <c r="X71">
        <v>37.75</v>
      </c>
      <c r="Y71">
        <v>2.31</v>
      </c>
      <c r="Z71">
        <v>71.83</v>
      </c>
      <c r="AA71">
        <v>2000</v>
      </c>
      <c r="AB71">
        <v>1150.68</v>
      </c>
      <c r="AC71">
        <v>178.82</v>
      </c>
      <c r="AD71">
        <v>110</v>
      </c>
      <c r="AE71">
        <v>188.16</v>
      </c>
      <c r="AF71">
        <v>3627.66</v>
      </c>
      <c r="AG71">
        <v>784.97</v>
      </c>
      <c r="AH71">
        <v>12.02</v>
      </c>
    </row>
    <row r="72" spans="1:34">
      <c r="A72" t="s">
        <v>375</v>
      </c>
      <c r="B72" t="s">
        <v>75</v>
      </c>
      <c r="C72" t="b">
        <v>0</v>
      </c>
      <c r="D72" t="b">
        <v>0</v>
      </c>
      <c r="E72" t="s">
        <v>1471</v>
      </c>
      <c r="F72" t="s">
        <v>82</v>
      </c>
      <c r="G72" t="s">
        <v>81</v>
      </c>
      <c r="H72">
        <v>19.8</v>
      </c>
      <c r="I72">
        <v>13</v>
      </c>
      <c r="J72">
        <v>258</v>
      </c>
      <c r="K72">
        <v>7921.49</v>
      </c>
      <c r="L72">
        <v>185.21</v>
      </c>
      <c r="M72">
        <v>37.39</v>
      </c>
      <c r="N72">
        <v>7698.89</v>
      </c>
      <c r="O72">
        <v>2248.45</v>
      </c>
      <c r="P72">
        <v>5450.44</v>
      </c>
      <c r="Q72">
        <v>56.06</v>
      </c>
      <c r="R72">
        <v>316.45</v>
      </c>
      <c r="S72">
        <v>461</v>
      </c>
      <c r="T72">
        <v>146</v>
      </c>
      <c r="U72">
        <v>5</v>
      </c>
      <c r="V72">
        <v>112</v>
      </c>
      <c r="W72">
        <v>34</v>
      </c>
      <c r="X72">
        <v>29.84</v>
      </c>
      <c r="Y72">
        <v>1.79</v>
      </c>
      <c r="Z72">
        <v>70.8</v>
      </c>
      <c r="AA72">
        <v>2000</v>
      </c>
      <c r="AB72">
        <v>1150.68</v>
      </c>
      <c r="AC72">
        <v>228.67</v>
      </c>
      <c r="AD72">
        <v>110</v>
      </c>
      <c r="AE72">
        <v>210.73</v>
      </c>
      <c r="AF72">
        <v>3700.08</v>
      </c>
      <c r="AG72">
        <v>1377.85</v>
      </c>
      <c r="AH72">
        <v>17.9</v>
      </c>
    </row>
    <row r="73" spans="1:34">
      <c r="A73" t="s">
        <v>592</v>
      </c>
      <c r="B73" t="s">
        <v>258</v>
      </c>
      <c r="C73" t="b">
        <v>0</v>
      </c>
      <c r="D73" t="b">
        <v>0</v>
      </c>
      <c r="E73" t="s">
        <v>1471</v>
      </c>
      <c r="F73" t="s">
        <v>82</v>
      </c>
      <c r="G73" t="s">
        <v>81</v>
      </c>
      <c r="H73">
        <v>20</v>
      </c>
      <c r="I73">
        <v>14</v>
      </c>
      <c r="J73">
        <v>218</v>
      </c>
      <c r="K73">
        <v>6336.27</v>
      </c>
      <c r="L73">
        <v>259.11</v>
      </c>
      <c r="M73">
        <v>13.04</v>
      </c>
      <c r="N73">
        <v>6064.12</v>
      </c>
      <c r="O73">
        <v>1723.95</v>
      </c>
      <c r="P73">
        <v>4340.17</v>
      </c>
      <c r="Q73">
        <v>43.73</v>
      </c>
      <c r="R73">
        <v>242.4</v>
      </c>
      <c r="S73">
        <v>380</v>
      </c>
      <c r="T73">
        <v>135</v>
      </c>
      <c r="U73">
        <v>8</v>
      </c>
      <c r="V73">
        <v>83</v>
      </c>
      <c r="W73">
        <v>29</v>
      </c>
      <c r="X73">
        <v>27.82</v>
      </c>
      <c r="Y73">
        <v>1.74</v>
      </c>
      <c r="Z73">
        <v>71.56999999999999</v>
      </c>
      <c r="AA73">
        <v>2000</v>
      </c>
      <c r="AB73">
        <v>1150.68</v>
      </c>
      <c r="AC73">
        <v>201.96</v>
      </c>
      <c r="AD73">
        <v>110</v>
      </c>
      <c r="AE73">
        <v>169.09</v>
      </c>
      <c r="AF73">
        <v>3631.73</v>
      </c>
      <c r="AG73">
        <v>422.31</v>
      </c>
      <c r="AH73">
        <v>6.96</v>
      </c>
    </row>
    <row r="74" spans="1:34">
      <c r="A74" t="s">
        <v>593</v>
      </c>
      <c r="B74" t="s">
        <v>259</v>
      </c>
      <c r="C74" t="b">
        <v>0</v>
      </c>
      <c r="D74" t="b">
        <v>0</v>
      </c>
      <c r="E74" t="s">
        <v>1471</v>
      </c>
      <c r="F74" t="s">
        <v>82</v>
      </c>
      <c r="G74" t="s">
        <v>81</v>
      </c>
      <c r="H74">
        <v>21.5</v>
      </c>
      <c r="I74">
        <v>15</v>
      </c>
      <c r="J74">
        <v>246</v>
      </c>
      <c r="K74">
        <v>7160.65</v>
      </c>
      <c r="L74">
        <v>180.85</v>
      </c>
      <c r="M74">
        <v>2.61</v>
      </c>
      <c r="N74">
        <v>6977.19</v>
      </c>
      <c r="O74">
        <v>2023.15</v>
      </c>
      <c r="P74">
        <v>4954.04</v>
      </c>
      <c r="Q74">
        <v>51.15</v>
      </c>
      <c r="R74">
        <v>260.58</v>
      </c>
      <c r="S74">
        <v>429</v>
      </c>
      <c r="T74">
        <v>149</v>
      </c>
      <c r="U74">
        <v>9</v>
      </c>
      <c r="V74">
        <v>97</v>
      </c>
      <c r="W74">
        <v>29</v>
      </c>
      <c r="X74">
        <v>28.36</v>
      </c>
      <c r="Y74">
        <v>1.74</v>
      </c>
      <c r="Z74">
        <v>71</v>
      </c>
      <c r="AA74">
        <v>2000</v>
      </c>
      <c r="AB74">
        <v>1150.68</v>
      </c>
      <c r="AC74">
        <v>204.21</v>
      </c>
      <c r="AD74">
        <v>110</v>
      </c>
      <c r="AE74">
        <v>203.24</v>
      </c>
      <c r="AF74">
        <v>3668.13</v>
      </c>
      <c r="AG74">
        <v>974.1799999999999</v>
      </c>
      <c r="AH74">
        <v>13.96</v>
      </c>
    </row>
    <row r="75" spans="1:34">
      <c r="A75" t="s">
        <v>594</v>
      </c>
      <c r="B75" t="s">
        <v>260</v>
      </c>
      <c r="C75" t="b">
        <v>0</v>
      </c>
      <c r="D75" t="b">
        <v>0</v>
      </c>
      <c r="E75" t="s">
        <v>1471</v>
      </c>
      <c r="F75" t="s">
        <v>82</v>
      </c>
      <c r="G75" t="s">
        <v>81</v>
      </c>
      <c r="H75">
        <v>19.7</v>
      </c>
      <c r="I75">
        <v>16</v>
      </c>
      <c r="J75">
        <v>232</v>
      </c>
      <c r="K75">
        <v>6829.32</v>
      </c>
      <c r="L75">
        <v>128.69</v>
      </c>
      <c r="M75">
        <v>34.78</v>
      </c>
      <c r="N75">
        <v>6665.85</v>
      </c>
      <c r="O75">
        <v>1864.8</v>
      </c>
      <c r="P75">
        <v>4801.05</v>
      </c>
      <c r="Q75">
        <v>50.36</v>
      </c>
      <c r="R75">
        <v>278.69</v>
      </c>
      <c r="S75">
        <v>421</v>
      </c>
      <c r="T75">
        <v>128</v>
      </c>
      <c r="U75">
        <v>4</v>
      </c>
      <c r="V75">
        <v>104</v>
      </c>
      <c r="W75">
        <v>34</v>
      </c>
      <c r="X75">
        <v>28.73</v>
      </c>
      <c r="Y75">
        <v>1.81</v>
      </c>
      <c r="Z75">
        <v>72.02</v>
      </c>
      <c r="AA75">
        <v>2000</v>
      </c>
      <c r="AB75">
        <v>1150.68</v>
      </c>
      <c r="AC75">
        <v>199.24</v>
      </c>
      <c r="AD75">
        <v>110</v>
      </c>
      <c r="AE75">
        <v>163.81</v>
      </c>
      <c r="AF75">
        <v>3623.73</v>
      </c>
      <c r="AG75">
        <v>848.27</v>
      </c>
      <c r="AH75">
        <v>12.73</v>
      </c>
    </row>
    <row r="76" spans="1:34">
      <c r="A76" t="s">
        <v>595</v>
      </c>
      <c r="B76" t="s">
        <v>261</v>
      </c>
      <c r="C76" t="b">
        <v>0</v>
      </c>
      <c r="D76" t="b">
        <v>0</v>
      </c>
      <c r="E76" t="s">
        <v>1471</v>
      </c>
      <c r="F76" t="s">
        <v>82</v>
      </c>
      <c r="G76" t="s">
        <v>81</v>
      </c>
      <c r="H76">
        <v>19.4</v>
      </c>
      <c r="I76">
        <v>17</v>
      </c>
      <c r="J76">
        <v>284</v>
      </c>
      <c r="K76">
        <v>9111.01</v>
      </c>
      <c r="L76">
        <v>284.32</v>
      </c>
      <c r="M76">
        <v>19.13</v>
      </c>
      <c r="N76">
        <v>8807.559999999999</v>
      </c>
      <c r="O76">
        <v>2549.5</v>
      </c>
      <c r="P76">
        <v>6258.06</v>
      </c>
      <c r="Q76">
        <v>63.26</v>
      </c>
      <c r="R76">
        <v>373.42</v>
      </c>
      <c r="S76">
        <v>533</v>
      </c>
      <c r="T76">
        <v>166</v>
      </c>
      <c r="U76">
        <v>7</v>
      </c>
      <c r="V76">
        <v>118</v>
      </c>
      <c r="W76">
        <v>43</v>
      </c>
      <c r="X76">
        <v>31.01</v>
      </c>
      <c r="Y76">
        <v>1.88</v>
      </c>
      <c r="Z76">
        <v>71.05</v>
      </c>
      <c r="AA76">
        <v>2000</v>
      </c>
      <c r="AB76">
        <v>1150.68</v>
      </c>
      <c r="AC76">
        <v>227.39</v>
      </c>
      <c r="AD76">
        <v>110</v>
      </c>
      <c r="AE76">
        <v>193.92</v>
      </c>
      <c r="AF76">
        <v>3681.99</v>
      </c>
      <c r="AG76">
        <v>2139.39</v>
      </c>
      <c r="AH76">
        <v>24.29</v>
      </c>
    </row>
    <row r="77" spans="1:34">
      <c r="A77" t="s">
        <v>596</v>
      </c>
      <c r="B77" t="s">
        <v>262</v>
      </c>
      <c r="C77" t="b">
        <v>1</v>
      </c>
      <c r="D77" t="b">
        <v>0</v>
      </c>
      <c r="E77" t="s">
        <v>1471</v>
      </c>
      <c r="F77" t="s">
        <v>82</v>
      </c>
      <c r="G77" t="s">
        <v>81</v>
      </c>
      <c r="H77">
        <v>19</v>
      </c>
      <c r="I77">
        <v>18</v>
      </c>
      <c r="J77">
        <v>274</v>
      </c>
      <c r="K77">
        <v>10359.78</v>
      </c>
      <c r="L77">
        <v>259.1</v>
      </c>
      <c r="M77">
        <v>16.52</v>
      </c>
      <c r="N77">
        <v>10084.16</v>
      </c>
      <c r="O77">
        <v>2941.7</v>
      </c>
      <c r="P77">
        <v>7142.46</v>
      </c>
      <c r="Q77">
        <v>70.23</v>
      </c>
      <c r="R77">
        <v>436.01</v>
      </c>
      <c r="S77">
        <v>613</v>
      </c>
      <c r="T77">
        <v>164</v>
      </c>
      <c r="U77">
        <v>14</v>
      </c>
      <c r="V77">
        <v>110</v>
      </c>
      <c r="W77">
        <v>48</v>
      </c>
      <c r="X77">
        <v>36.8</v>
      </c>
      <c r="Y77">
        <v>2.24</v>
      </c>
      <c r="Z77">
        <v>70.83</v>
      </c>
      <c r="AA77">
        <v>2000</v>
      </c>
      <c r="AB77">
        <v>1150.68</v>
      </c>
      <c r="AC77">
        <v>191.1</v>
      </c>
      <c r="AD77">
        <v>110</v>
      </c>
      <c r="AE77">
        <v>212.17</v>
      </c>
      <c r="AF77">
        <v>3663.95</v>
      </c>
      <c r="AG77">
        <v>2972.27</v>
      </c>
      <c r="AH77">
        <v>29.47</v>
      </c>
    </row>
    <row r="78" spans="1:34">
      <c r="A78" t="s">
        <v>597</v>
      </c>
      <c r="B78" t="s">
        <v>263</v>
      </c>
      <c r="C78" t="b">
        <v>1</v>
      </c>
      <c r="D78" t="b">
        <v>0</v>
      </c>
      <c r="E78" t="s">
        <v>1471</v>
      </c>
      <c r="F78" t="s">
        <v>82</v>
      </c>
      <c r="G78" t="s">
        <v>81</v>
      </c>
      <c r="H78">
        <v>19</v>
      </c>
      <c r="I78">
        <v>19</v>
      </c>
      <c r="J78">
        <v>220</v>
      </c>
      <c r="K78">
        <v>8200.610000000001</v>
      </c>
      <c r="L78">
        <v>132.17</v>
      </c>
      <c r="M78">
        <v>19.13</v>
      </c>
      <c r="N78">
        <v>8049.31</v>
      </c>
      <c r="O78">
        <v>2307.2</v>
      </c>
      <c r="P78">
        <v>5742.11</v>
      </c>
      <c r="Q78">
        <v>57.31</v>
      </c>
      <c r="R78">
        <v>366.01</v>
      </c>
      <c r="S78">
        <v>504</v>
      </c>
      <c r="T78">
        <v>129</v>
      </c>
      <c r="U78">
        <v>4</v>
      </c>
      <c r="V78">
        <v>91</v>
      </c>
      <c r="W78">
        <v>40</v>
      </c>
      <c r="X78">
        <v>36.59</v>
      </c>
      <c r="Y78">
        <v>2.29</v>
      </c>
      <c r="Z78">
        <v>71.34</v>
      </c>
      <c r="AA78">
        <v>2000</v>
      </c>
      <c r="AB78">
        <v>1150.68</v>
      </c>
      <c r="AC78">
        <v>196.17</v>
      </c>
      <c r="AD78">
        <v>110</v>
      </c>
      <c r="AE78">
        <v>215.99</v>
      </c>
      <c r="AF78">
        <v>3672.84</v>
      </c>
      <c r="AG78">
        <v>1645.95</v>
      </c>
      <c r="AH78">
        <v>20.45</v>
      </c>
    </row>
    <row r="79" spans="1:34">
      <c r="A79" t="s">
        <v>376</v>
      </c>
      <c r="B79" t="s">
        <v>75</v>
      </c>
      <c r="C79" t="b">
        <v>0</v>
      </c>
      <c r="D79" t="b">
        <v>0</v>
      </c>
      <c r="E79" t="s">
        <v>1471</v>
      </c>
      <c r="F79" t="s">
        <v>82</v>
      </c>
      <c r="G79" t="s">
        <v>81</v>
      </c>
      <c r="H79">
        <v>20</v>
      </c>
      <c r="I79">
        <v>20</v>
      </c>
      <c r="J79">
        <v>225</v>
      </c>
      <c r="K79">
        <v>7295.35</v>
      </c>
      <c r="L79">
        <v>117.38</v>
      </c>
      <c r="M79">
        <v>50.43</v>
      </c>
      <c r="N79">
        <v>7127.54</v>
      </c>
      <c r="O79">
        <v>2114.95</v>
      </c>
      <c r="P79">
        <v>5012.59</v>
      </c>
      <c r="Q79">
        <v>50.12</v>
      </c>
      <c r="R79">
        <v>303.22</v>
      </c>
      <c r="S79">
        <v>434</v>
      </c>
      <c r="T79">
        <v>125</v>
      </c>
      <c r="U79">
        <v>9</v>
      </c>
      <c r="V79">
        <v>100</v>
      </c>
      <c r="W79">
        <v>40</v>
      </c>
      <c r="X79">
        <v>31.68</v>
      </c>
      <c r="Y79">
        <v>1.93</v>
      </c>
      <c r="Z79">
        <v>70.33</v>
      </c>
      <c r="AA79">
        <v>2000</v>
      </c>
      <c r="AB79">
        <v>1150.68</v>
      </c>
      <c r="AC79">
        <v>220.71</v>
      </c>
      <c r="AD79">
        <v>110</v>
      </c>
      <c r="AE79">
        <v>169.29</v>
      </c>
      <c r="AF79">
        <v>3650.68</v>
      </c>
      <c r="AG79">
        <v>1008.57</v>
      </c>
      <c r="AH79">
        <v>14.15</v>
      </c>
    </row>
    <row r="80" spans="1:34">
      <c r="A80" t="s">
        <v>598</v>
      </c>
      <c r="B80" t="s">
        <v>258</v>
      </c>
      <c r="C80" t="b">
        <v>0</v>
      </c>
      <c r="D80" t="b">
        <v>0</v>
      </c>
      <c r="E80" t="s">
        <v>1471</v>
      </c>
      <c r="F80" t="s">
        <v>82</v>
      </c>
      <c r="G80" t="s">
        <v>81</v>
      </c>
      <c r="H80">
        <v>19.8</v>
      </c>
      <c r="I80">
        <v>21</v>
      </c>
      <c r="J80">
        <v>226</v>
      </c>
      <c r="K80">
        <v>6389.23</v>
      </c>
      <c r="L80">
        <v>86.08</v>
      </c>
      <c r="M80">
        <v>21.74</v>
      </c>
      <c r="N80">
        <v>6281.41</v>
      </c>
      <c r="O80">
        <v>1780.9</v>
      </c>
      <c r="P80">
        <v>4500.51</v>
      </c>
      <c r="Q80">
        <v>48.79</v>
      </c>
      <c r="R80">
        <v>217.52</v>
      </c>
      <c r="S80">
        <v>389</v>
      </c>
      <c r="T80">
        <v>128</v>
      </c>
      <c r="U80">
        <v>11</v>
      </c>
      <c r="V80">
        <v>98</v>
      </c>
      <c r="W80">
        <v>26</v>
      </c>
      <c r="X80">
        <v>27.79</v>
      </c>
      <c r="Y80">
        <v>1.72</v>
      </c>
      <c r="Z80">
        <v>71.65000000000001</v>
      </c>
      <c r="AA80">
        <v>2000</v>
      </c>
      <c r="AB80">
        <v>1150.68</v>
      </c>
      <c r="AC80">
        <v>235.24</v>
      </c>
      <c r="AD80">
        <v>110</v>
      </c>
      <c r="AE80">
        <v>203.1</v>
      </c>
      <c r="AF80">
        <v>3699.02</v>
      </c>
      <c r="AG80">
        <v>535.1799999999999</v>
      </c>
      <c r="AH80">
        <v>8.52</v>
      </c>
    </row>
    <row r="81" spans="1:34">
      <c r="A81" t="s">
        <v>599</v>
      </c>
      <c r="B81" t="s">
        <v>259</v>
      </c>
      <c r="C81" t="b">
        <v>0</v>
      </c>
      <c r="D81" t="b">
        <v>0</v>
      </c>
      <c r="E81" t="s">
        <v>1471</v>
      </c>
      <c r="F81" t="s">
        <v>82</v>
      </c>
      <c r="G81" t="s">
        <v>81</v>
      </c>
      <c r="H81">
        <v>23</v>
      </c>
      <c r="I81">
        <v>22</v>
      </c>
      <c r="J81">
        <v>236</v>
      </c>
      <c r="K81">
        <v>8091.78</v>
      </c>
      <c r="L81">
        <v>301.11</v>
      </c>
      <c r="M81">
        <v>0</v>
      </c>
      <c r="N81">
        <v>7790.67</v>
      </c>
      <c r="O81">
        <v>2354.7</v>
      </c>
      <c r="P81">
        <v>5435.97</v>
      </c>
      <c r="Q81">
        <v>49.81</v>
      </c>
      <c r="R81">
        <v>316.64</v>
      </c>
      <c r="S81">
        <v>478</v>
      </c>
      <c r="T81">
        <v>142</v>
      </c>
      <c r="U81">
        <v>6</v>
      </c>
      <c r="V81">
        <v>94</v>
      </c>
      <c r="W81">
        <v>31</v>
      </c>
      <c r="X81">
        <v>33.01</v>
      </c>
      <c r="Y81">
        <v>2.03</v>
      </c>
      <c r="Z81">
        <v>69.78</v>
      </c>
      <c r="AA81">
        <v>2000</v>
      </c>
      <c r="AB81">
        <v>1150.68</v>
      </c>
      <c r="AC81">
        <v>237.32</v>
      </c>
      <c r="AD81">
        <v>110</v>
      </c>
      <c r="AE81">
        <v>179.38</v>
      </c>
      <c r="AF81">
        <v>3677.38</v>
      </c>
      <c r="AG81">
        <v>1392.14</v>
      </c>
      <c r="AH81">
        <v>17.87</v>
      </c>
    </row>
    <row r="82" spans="1:34">
      <c r="A82" t="s">
        <v>600</v>
      </c>
      <c r="B82" t="s">
        <v>260</v>
      </c>
      <c r="C82" t="b">
        <v>0</v>
      </c>
      <c r="D82" t="b">
        <v>0</v>
      </c>
      <c r="E82" t="s">
        <v>1471</v>
      </c>
      <c r="F82" t="s">
        <v>82</v>
      </c>
      <c r="G82" t="s">
        <v>1480</v>
      </c>
      <c r="H82">
        <v>21.5</v>
      </c>
      <c r="I82">
        <v>23</v>
      </c>
      <c r="J82">
        <v>238</v>
      </c>
      <c r="K82">
        <v>8071.02</v>
      </c>
      <c r="L82">
        <v>261.46</v>
      </c>
      <c r="M82">
        <v>0</v>
      </c>
      <c r="N82">
        <v>7809.56</v>
      </c>
      <c r="O82">
        <v>2268.6</v>
      </c>
      <c r="P82">
        <v>5540.96</v>
      </c>
      <c r="Q82">
        <v>49.72</v>
      </c>
      <c r="R82">
        <v>191.88</v>
      </c>
      <c r="S82">
        <v>483</v>
      </c>
      <c r="T82">
        <v>143</v>
      </c>
      <c r="U82">
        <v>11</v>
      </c>
      <c r="V82">
        <v>95</v>
      </c>
      <c r="W82">
        <v>27</v>
      </c>
      <c r="X82">
        <v>32.81</v>
      </c>
      <c r="Y82">
        <v>2.03</v>
      </c>
      <c r="Z82">
        <v>70.95</v>
      </c>
      <c r="AA82">
        <v>2000</v>
      </c>
      <c r="AB82">
        <v>1150.68</v>
      </c>
      <c r="AC82">
        <v>229.09</v>
      </c>
      <c r="AD82">
        <v>110</v>
      </c>
      <c r="AE82">
        <v>211.29</v>
      </c>
      <c r="AF82">
        <v>3701.06</v>
      </c>
      <c r="AG82">
        <v>1598.3</v>
      </c>
      <c r="AH82">
        <v>20.47</v>
      </c>
    </row>
    <row r="83" spans="1:34">
      <c r="A83" t="s">
        <v>601</v>
      </c>
      <c r="B83" t="s">
        <v>261</v>
      </c>
      <c r="C83" t="b">
        <v>0</v>
      </c>
      <c r="D83" t="b">
        <v>0</v>
      </c>
      <c r="E83" t="s">
        <v>1471</v>
      </c>
      <c r="F83" t="s">
        <v>82</v>
      </c>
      <c r="G83" t="s">
        <v>1481</v>
      </c>
      <c r="H83">
        <v>23.2</v>
      </c>
      <c r="I83">
        <v>24</v>
      </c>
      <c r="J83">
        <v>278</v>
      </c>
      <c r="K83">
        <v>10865.9</v>
      </c>
      <c r="L83">
        <v>297.69</v>
      </c>
      <c r="M83">
        <v>0</v>
      </c>
      <c r="N83">
        <v>10568.21</v>
      </c>
      <c r="O83">
        <v>3039.95</v>
      </c>
      <c r="P83">
        <v>7528.26</v>
      </c>
      <c r="Q83">
        <v>73.19</v>
      </c>
      <c r="R83">
        <v>594.92</v>
      </c>
      <c r="S83">
        <v>593</v>
      </c>
      <c r="T83">
        <v>148</v>
      </c>
      <c r="U83">
        <v>13</v>
      </c>
      <c r="V83">
        <v>130</v>
      </c>
      <c r="W83">
        <v>59</v>
      </c>
      <c r="X83">
        <v>38.02</v>
      </c>
      <c r="Y83">
        <v>2.13</v>
      </c>
      <c r="Z83">
        <v>71.23</v>
      </c>
      <c r="AA83">
        <v>2240</v>
      </c>
      <c r="AB83">
        <v>1150.68</v>
      </c>
      <c r="AC83">
        <v>217.59</v>
      </c>
      <c r="AD83">
        <v>360</v>
      </c>
      <c r="AE83">
        <v>176.4</v>
      </c>
      <c r="AF83">
        <v>4144.67</v>
      </c>
      <c r="AG83">
        <v>2715.48</v>
      </c>
      <c r="AH83">
        <v>25.69</v>
      </c>
    </row>
    <row r="84" spans="1:34">
      <c r="A84" t="s">
        <v>602</v>
      </c>
      <c r="B84" t="s">
        <v>262</v>
      </c>
      <c r="C84" t="b">
        <v>1</v>
      </c>
      <c r="D84" t="b">
        <v>0</v>
      </c>
      <c r="E84" t="s">
        <v>1471</v>
      </c>
      <c r="F84" t="s">
        <v>82</v>
      </c>
      <c r="G84" t="s">
        <v>1481</v>
      </c>
      <c r="H84">
        <v>24.6</v>
      </c>
      <c r="I84">
        <v>25</v>
      </c>
      <c r="J84">
        <v>231</v>
      </c>
      <c r="K84">
        <v>8957.26</v>
      </c>
      <c r="L84">
        <v>341.45</v>
      </c>
      <c r="M84">
        <v>19.57</v>
      </c>
      <c r="N84">
        <v>8596.24</v>
      </c>
      <c r="O84">
        <v>2461.6</v>
      </c>
      <c r="P84">
        <v>6134.64</v>
      </c>
      <c r="Q84">
        <v>54</v>
      </c>
      <c r="R84">
        <v>588.4</v>
      </c>
      <c r="S84">
        <v>503</v>
      </c>
      <c r="T84">
        <v>136</v>
      </c>
      <c r="U84">
        <v>5</v>
      </c>
      <c r="V84">
        <v>95</v>
      </c>
      <c r="W84">
        <v>58</v>
      </c>
      <c r="X84">
        <v>37.21</v>
      </c>
      <c r="Y84">
        <v>2.18</v>
      </c>
      <c r="Z84">
        <v>71.36</v>
      </c>
      <c r="AA84">
        <v>2240</v>
      </c>
      <c r="AB84">
        <v>1150.68</v>
      </c>
      <c r="AC84">
        <v>248.11</v>
      </c>
      <c r="AD84">
        <v>360</v>
      </c>
      <c r="AE84">
        <v>174.82</v>
      </c>
      <c r="AF84">
        <v>4173.61</v>
      </c>
      <c r="AG84">
        <v>1318.63</v>
      </c>
      <c r="AH84">
        <v>15.34</v>
      </c>
    </row>
    <row r="85" spans="1:34">
      <c r="A85" t="s">
        <v>603</v>
      </c>
      <c r="B85" t="s">
        <v>263</v>
      </c>
      <c r="C85" t="b">
        <v>1</v>
      </c>
      <c r="D85" t="b">
        <v>0</v>
      </c>
      <c r="E85" t="s">
        <v>1471</v>
      </c>
      <c r="F85" t="s">
        <v>82</v>
      </c>
      <c r="G85" t="s">
        <v>1481</v>
      </c>
      <c r="H85">
        <v>23</v>
      </c>
      <c r="I85">
        <v>26</v>
      </c>
      <c r="J85">
        <v>202</v>
      </c>
      <c r="K85">
        <v>7317.25</v>
      </c>
      <c r="L85">
        <v>161.53</v>
      </c>
      <c r="M85">
        <v>33.04</v>
      </c>
      <c r="N85">
        <v>7122.68</v>
      </c>
      <c r="O85">
        <v>1967.5</v>
      </c>
      <c r="P85">
        <v>5155.18</v>
      </c>
      <c r="Q85">
        <v>63.39</v>
      </c>
      <c r="R85">
        <v>159.47</v>
      </c>
      <c r="S85">
        <v>403</v>
      </c>
      <c r="T85">
        <v>110</v>
      </c>
      <c r="U85">
        <v>12</v>
      </c>
      <c r="V85">
        <v>92</v>
      </c>
      <c r="W85">
        <v>23</v>
      </c>
      <c r="X85">
        <v>35.26</v>
      </c>
      <c r="Y85">
        <v>2</v>
      </c>
      <c r="Z85">
        <v>72.38</v>
      </c>
      <c r="AA85">
        <v>2240</v>
      </c>
      <c r="AB85">
        <v>1150.68</v>
      </c>
      <c r="AC85">
        <v>210.79</v>
      </c>
      <c r="AD85">
        <v>360</v>
      </c>
      <c r="AE85">
        <v>197.5</v>
      </c>
      <c r="AF85">
        <v>4158.97</v>
      </c>
      <c r="AG85">
        <v>773.35</v>
      </c>
      <c r="AH85">
        <v>10.86</v>
      </c>
    </row>
    <row r="86" spans="1:34">
      <c r="A86" t="s">
        <v>377</v>
      </c>
      <c r="B86" t="s">
        <v>75</v>
      </c>
      <c r="C86" t="b">
        <v>0</v>
      </c>
      <c r="D86" t="b">
        <v>0</v>
      </c>
      <c r="E86" t="s">
        <v>1471</v>
      </c>
      <c r="F86" t="s">
        <v>82</v>
      </c>
      <c r="G86" t="s">
        <v>1481</v>
      </c>
      <c r="H86">
        <v>22.3</v>
      </c>
      <c r="I86">
        <v>27</v>
      </c>
      <c r="J86">
        <v>221</v>
      </c>
      <c r="K86">
        <v>8208.549999999999</v>
      </c>
      <c r="L86">
        <v>246.47</v>
      </c>
      <c r="M86">
        <v>34.78</v>
      </c>
      <c r="N86">
        <v>7927.3</v>
      </c>
      <c r="O86">
        <v>2286.75</v>
      </c>
      <c r="P86">
        <v>5640.55</v>
      </c>
      <c r="Q86">
        <v>50.31</v>
      </c>
      <c r="R86">
        <v>346.28</v>
      </c>
      <c r="S86">
        <v>454</v>
      </c>
      <c r="T86">
        <v>136</v>
      </c>
      <c r="U86">
        <v>8</v>
      </c>
      <c r="V86">
        <v>85</v>
      </c>
      <c r="W86">
        <v>40</v>
      </c>
      <c r="X86">
        <v>35.87</v>
      </c>
      <c r="Y86">
        <v>2.05</v>
      </c>
      <c r="Z86">
        <v>71.15000000000001</v>
      </c>
      <c r="AA86">
        <v>2240</v>
      </c>
      <c r="AB86">
        <v>1150.68</v>
      </c>
      <c r="AC86">
        <v>195.86</v>
      </c>
      <c r="AD86">
        <v>360</v>
      </c>
      <c r="AE86">
        <v>183</v>
      </c>
      <c r="AF86">
        <v>4129.54</v>
      </c>
      <c r="AG86">
        <v>1114.42</v>
      </c>
      <c r="AH86">
        <v>14.06</v>
      </c>
    </row>
    <row r="87" spans="1:34">
      <c r="A87" t="s">
        <v>604</v>
      </c>
      <c r="B87" t="s">
        <v>258</v>
      </c>
      <c r="C87" t="b">
        <v>0</v>
      </c>
      <c r="D87" t="b">
        <v>0</v>
      </c>
      <c r="E87" t="s">
        <v>1471</v>
      </c>
      <c r="F87" t="s">
        <v>82</v>
      </c>
      <c r="G87" t="s">
        <v>1482</v>
      </c>
      <c r="H87">
        <v>21.2</v>
      </c>
      <c r="I87">
        <v>0</v>
      </c>
      <c r="J87">
        <v>277</v>
      </c>
      <c r="K87">
        <v>11965.11</v>
      </c>
      <c r="L87">
        <v>424.25</v>
      </c>
      <c r="M87">
        <v>19.13</v>
      </c>
      <c r="N87">
        <v>11521.73</v>
      </c>
      <c r="O87">
        <v>3373.25</v>
      </c>
      <c r="P87">
        <v>8148.48</v>
      </c>
      <c r="Q87">
        <v>85.84</v>
      </c>
      <c r="R87">
        <v>616.76</v>
      </c>
      <c r="S87">
        <v>631</v>
      </c>
      <c r="T87">
        <v>182</v>
      </c>
      <c r="U87">
        <v>16</v>
      </c>
      <c r="V87">
        <v>95</v>
      </c>
      <c r="W87">
        <v>57</v>
      </c>
      <c r="X87">
        <v>41.59</v>
      </c>
      <c r="Y87">
        <v>2.28</v>
      </c>
      <c r="Z87">
        <v>70.72</v>
      </c>
      <c r="AA87">
        <v>2240</v>
      </c>
      <c r="AB87">
        <v>1150.68</v>
      </c>
      <c r="AC87">
        <v>213.84</v>
      </c>
      <c r="AD87">
        <v>360</v>
      </c>
      <c r="AE87">
        <v>187.57</v>
      </c>
      <c r="AF87">
        <v>4152.09</v>
      </c>
      <c r="AG87">
        <v>3293.79</v>
      </c>
      <c r="AH87">
        <v>28.59</v>
      </c>
    </row>
    <row r="88" spans="1:34">
      <c r="A88" t="s">
        <v>605</v>
      </c>
      <c r="B88" t="s">
        <v>259</v>
      </c>
      <c r="C88" t="b">
        <v>0</v>
      </c>
      <c r="D88" t="b">
        <v>0</v>
      </c>
      <c r="E88" t="s">
        <v>1471</v>
      </c>
      <c r="F88" t="s">
        <v>82</v>
      </c>
      <c r="G88" t="s">
        <v>1482</v>
      </c>
      <c r="H88">
        <v>22.1</v>
      </c>
      <c r="I88">
        <v>1</v>
      </c>
      <c r="J88">
        <v>248</v>
      </c>
      <c r="K88">
        <v>10453.64</v>
      </c>
      <c r="L88">
        <v>230.9</v>
      </c>
      <c r="M88">
        <v>32.17</v>
      </c>
      <c r="N88">
        <v>10190.57</v>
      </c>
      <c r="O88">
        <v>2976.8</v>
      </c>
      <c r="P88">
        <v>7213.77</v>
      </c>
      <c r="Q88">
        <v>67.62</v>
      </c>
      <c r="R88">
        <v>620</v>
      </c>
      <c r="S88">
        <v>555</v>
      </c>
      <c r="T88">
        <v>156</v>
      </c>
      <c r="U88">
        <v>10</v>
      </c>
      <c r="V88">
        <v>92</v>
      </c>
      <c r="W88">
        <v>62</v>
      </c>
      <c r="X88">
        <v>41.09</v>
      </c>
      <c r="Y88">
        <v>2.24</v>
      </c>
      <c r="Z88">
        <v>70.79000000000001</v>
      </c>
      <c r="AA88">
        <v>2240</v>
      </c>
      <c r="AB88">
        <v>1150.68</v>
      </c>
      <c r="AC88">
        <v>207.6</v>
      </c>
      <c r="AD88">
        <v>360</v>
      </c>
      <c r="AE88">
        <v>207.41</v>
      </c>
      <c r="AF88">
        <v>4165.69</v>
      </c>
      <c r="AG88">
        <v>2360.46</v>
      </c>
      <c r="AH88">
        <v>23.16</v>
      </c>
    </row>
    <row r="89" spans="1:34">
      <c r="A89" t="s">
        <v>606</v>
      </c>
      <c r="B89" t="s">
        <v>260</v>
      </c>
      <c r="C89" t="b">
        <v>0</v>
      </c>
      <c r="D89" t="b">
        <v>0</v>
      </c>
      <c r="E89" t="s">
        <v>1471</v>
      </c>
      <c r="F89" t="s">
        <v>82</v>
      </c>
      <c r="G89" t="s">
        <v>1482</v>
      </c>
      <c r="H89">
        <v>22.2</v>
      </c>
      <c r="I89">
        <v>2</v>
      </c>
      <c r="J89">
        <v>289</v>
      </c>
      <c r="K89">
        <v>11245.08</v>
      </c>
      <c r="L89">
        <v>420.15</v>
      </c>
      <c r="M89">
        <v>0</v>
      </c>
      <c r="N89">
        <v>10824.93</v>
      </c>
      <c r="O89">
        <v>3172.25</v>
      </c>
      <c r="P89">
        <v>7652.68</v>
      </c>
      <c r="Q89">
        <v>76.38</v>
      </c>
      <c r="R89">
        <v>510.26</v>
      </c>
      <c r="S89">
        <v>601</v>
      </c>
      <c r="T89">
        <v>178</v>
      </c>
      <c r="U89">
        <v>11</v>
      </c>
      <c r="V89">
        <v>111</v>
      </c>
      <c r="W89">
        <v>57</v>
      </c>
      <c r="X89">
        <v>37.46</v>
      </c>
      <c r="Y89">
        <v>2.08</v>
      </c>
      <c r="Z89">
        <v>70.69</v>
      </c>
      <c r="AA89">
        <v>2240</v>
      </c>
      <c r="AB89">
        <v>1150.68</v>
      </c>
      <c r="AC89">
        <v>206.93</v>
      </c>
      <c r="AD89">
        <v>360</v>
      </c>
      <c r="AE89">
        <v>205.07</v>
      </c>
      <c r="AF89">
        <v>4162.68</v>
      </c>
      <c r="AG89">
        <v>2903.36</v>
      </c>
      <c r="AH89">
        <v>26.82</v>
      </c>
    </row>
    <row r="90" spans="1:34">
      <c r="A90" t="s">
        <v>607</v>
      </c>
      <c r="B90" t="s">
        <v>261</v>
      </c>
      <c r="C90" t="b">
        <v>0</v>
      </c>
      <c r="D90" t="b">
        <v>0</v>
      </c>
      <c r="E90" t="s">
        <v>1471</v>
      </c>
      <c r="F90" t="s">
        <v>82</v>
      </c>
      <c r="G90" t="s">
        <v>1482</v>
      </c>
      <c r="H90">
        <v>24.6</v>
      </c>
      <c r="I90">
        <v>3</v>
      </c>
      <c r="J90">
        <v>241</v>
      </c>
      <c r="K90">
        <v>10214.58</v>
      </c>
      <c r="L90">
        <v>244.45</v>
      </c>
      <c r="M90">
        <v>20</v>
      </c>
      <c r="N90">
        <v>9950.129999999999</v>
      </c>
      <c r="O90">
        <v>2924.8</v>
      </c>
      <c r="P90">
        <v>7025.33</v>
      </c>
      <c r="Q90">
        <v>74.19</v>
      </c>
      <c r="R90">
        <v>428.48</v>
      </c>
      <c r="S90">
        <v>529</v>
      </c>
      <c r="T90">
        <v>122</v>
      </c>
      <c r="U90">
        <v>12</v>
      </c>
      <c r="V90">
        <v>119</v>
      </c>
      <c r="W90">
        <v>37</v>
      </c>
      <c r="X90">
        <v>41.29</v>
      </c>
      <c r="Y90">
        <v>2.2</v>
      </c>
      <c r="Z90">
        <v>70.61</v>
      </c>
      <c r="AA90">
        <v>2240</v>
      </c>
      <c r="AB90">
        <v>1150.68</v>
      </c>
      <c r="AC90">
        <v>240.86</v>
      </c>
      <c r="AD90">
        <v>360</v>
      </c>
      <c r="AE90">
        <v>201.51</v>
      </c>
      <c r="AF90">
        <v>4193.05</v>
      </c>
      <c r="AG90">
        <v>2329.61</v>
      </c>
      <c r="AH90">
        <v>23.41</v>
      </c>
    </row>
    <row r="91" spans="1:34">
      <c r="A91" t="s">
        <v>608</v>
      </c>
      <c r="B91" t="s">
        <v>262</v>
      </c>
      <c r="C91" t="b">
        <v>1</v>
      </c>
      <c r="D91" t="b">
        <v>0</v>
      </c>
      <c r="E91" t="s">
        <v>1471</v>
      </c>
      <c r="F91" t="s">
        <v>82</v>
      </c>
      <c r="G91" t="s">
        <v>1482</v>
      </c>
      <c r="H91">
        <v>24.7</v>
      </c>
      <c r="I91">
        <v>4</v>
      </c>
      <c r="J91">
        <v>279</v>
      </c>
      <c r="K91">
        <v>11990.33</v>
      </c>
      <c r="L91">
        <v>294.65</v>
      </c>
      <c r="M91">
        <v>32.17</v>
      </c>
      <c r="N91">
        <v>11663.51</v>
      </c>
      <c r="O91">
        <v>3318.35</v>
      </c>
      <c r="P91">
        <v>8345.16</v>
      </c>
      <c r="Q91">
        <v>79.52</v>
      </c>
      <c r="R91">
        <v>563.35</v>
      </c>
      <c r="S91">
        <v>656</v>
      </c>
      <c r="T91">
        <v>163</v>
      </c>
      <c r="U91">
        <v>16</v>
      </c>
      <c r="V91">
        <v>116</v>
      </c>
      <c r="W91">
        <v>53</v>
      </c>
      <c r="X91">
        <v>41.8</v>
      </c>
      <c r="Y91">
        <v>2.35</v>
      </c>
      <c r="Z91">
        <v>71.55</v>
      </c>
      <c r="AA91">
        <v>2240</v>
      </c>
      <c r="AB91">
        <v>1150.68</v>
      </c>
      <c r="AC91">
        <v>229.93</v>
      </c>
      <c r="AD91">
        <v>360</v>
      </c>
      <c r="AE91">
        <v>186.7</v>
      </c>
      <c r="AF91">
        <v>4167.31</v>
      </c>
      <c r="AG91">
        <v>3534.98</v>
      </c>
      <c r="AH91">
        <v>30.31</v>
      </c>
    </row>
    <row r="92" spans="1:34">
      <c r="A92" t="s">
        <v>609</v>
      </c>
      <c r="B92" t="s">
        <v>263</v>
      </c>
      <c r="C92" t="b">
        <v>1</v>
      </c>
      <c r="D92" t="b">
        <v>0</v>
      </c>
      <c r="E92" t="s">
        <v>1471</v>
      </c>
      <c r="F92" t="s">
        <v>82</v>
      </c>
      <c r="G92" t="s">
        <v>1481</v>
      </c>
      <c r="H92">
        <v>25.6</v>
      </c>
      <c r="I92">
        <v>5</v>
      </c>
      <c r="J92">
        <v>248</v>
      </c>
      <c r="K92">
        <v>10178.93</v>
      </c>
      <c r="L92">
        <v>370.2</v>
      </c>
      <c r="M92">
        <v>28.7</v>
      </c>
      <c r="N92">
        <v>9780.030000000001</v>
      </c>
      <c r="O92">
        <v>2845.7</v>
      </c>
      <c r="P92">
        <v>6934.33</v>
      </c>
      <c r="Q92">
        <v>66.45</v>
      </c>
      <c r="R92">
        <v>483.11</v>
      </c>
      <c r="S92">
        <v>548</v>
      </c>
      <c r="T92">
        <v>146</v>
      </c>
      <c r="U92">
        <v>12</v>
      </c>
      <c r="V92">
        <v>102</v>
      </c>
      <c r="W92">
        <v>57</v>
      </c>
      <c r="X92">
        <v>39.44</v>
      </c>
      <c r="Y92">
        <v>2.21</v>
      </c>
      <c r="Z92">
        <v>70.90000000000001</v>
      </c>
      <c r="AA92">
        <v>2314.67</v>
      </c>
      <c r="AB92">
        <v>1150.68</v>
      </c>
      <c r="AC92">
        <v>234.62</v>
      </c>
      <c r="AD92">
        <v>360</v>
      </c>
      <c r="AE92">
        <v>172.27</v>
      </c>
      <c r="AF92">
        <v>4232.24</v>
      </c>
      <c r="AG92">
        <v>2152.53</v>
      </c>
      <c r="AH92">
        <v>22.01</v>
      </c>
    </row>
    <row r="93" spans="1:34">
      <c r="A93" t="s">
        <v>378</v>
      </c>
      <c r="B93" t="s">
        <v>75</v>
      </c>
      <c r="C93" t="b">
        <v>0</v>
      </c>
      <c r="D93" t="b">
        <v>0</v>
      </c>
      <c r="E93" t="s">
        <v>1471</v>
      </c>
      <c r="F93" t="s">
        <v>82</v>
      </c>
      <c r="G93" t="s">
        <v>1481</v>
      </c>
      <c r="H93">
        <v>25.1</v>
      </c>
      <c r="I93">
        <v>6</v>
      </c>
      <c r="J93">
        <v>238</v>
      </c>
      <c r="K93">
        <v>9157.209999999999</v>
      </c>
      <c r="L93">
        <v>131.01</v>
      </c>
      <c r="M93">
        <v>0</v>
      </c>
      <c r="N93">
        <v>9026.200000000001</v>
      </c>
      <c r="O93">
        <v>2537.4</v>
      </c>
      <c r="P93">
        <v>6488.8</v>
      </c>
      <c r="Q93">
        <v>64.33</v>
      </c>
      <c r="R93">
        <v>468.67</v>
      </c>
      <c r="S93">
        <v>500</v>
      </c>
      <c r="T93">
        <v>142</v>
      </c>
      <c r="U93">
        <v>8</v>
      </c>
      <c r="V93">
        <v>96</v>
      </c>
      <c r="W93">
        <v>51</v>
      </c>
      <c r="X93">
        <v>37.93</v>
      </c>
      <c r="Y93">
        <v>2.1</v>
      </c>
      <c r="Z93">
        <v>71.89</v>
      </c>
      <c r="AA93">
        <v>2314.67</v>
      </c>
      <c r="AB93">
        <v>1150.68</v>
      </c>
      <c r="AC93">
        <v>258.44</v>
      </c>
      <c r="AD93">
        <v>360</v>
      </c>
      <c r="AE93">
        <v>199.81</v>
      </c>
      <c r="AF93">
        <v>4283.6</v>
      </c>
      <c r="AG93">
        <v>1672.2</v>
      </c>
      <c r="AH93">
        <v>18.53</v>
      </c>
    </row>
    <row r="94" spans="1:34">
      <c r="A94" t="s">
        <v>610</v>
      </c>
      <c r="B94" t="s">
        <v>258</v>
      </c>
      <c r="C94" t="b">
        <v>0</v>
      </c>
      <c r="D94" t="b">
        <v>0</v>
      </c>
      <c r="E94" t="s">
        <v>1471</v>
      </c>
      <c r="F94" t="s">
        <v>82</v>
      </c>
      <c r="G94" t="s">
        <v>1481</v>
      </c>
      <c r="H94">
        <v>23.8</v>
      </c>
      <c r="I94">
        <v>7</v>
      </c>
      <c r="J94">
        <v>223</v>
      </c>
      <c r="K94">
        <v>8881.559999999999</v>
      </c>
      <c r="L94">
        <v>370.57</v>
      </c>
      <c r="M94">
        <v>49.56</v>
      </c>
      <c r="N94">
        <v>8461.43</v>
      </c>
      <c r="O94">
        <v>2495.4</v>
      </c>
      <c r="P94">
        <v>5966.03</v>
      </c>
      <c r="Q94">
        <v>59.07</v>
      </c>
      <c r="R94">
        <v>412.95</v>
      </c>
      <c r="S94">
        <v>477</v>
      </c>
      <c r="T94">
        <v>126</v>
      </c>
      <c r="U94">
        <v>8</v>
      </c>
      <c r="V94">
        <v>97</v>
      </c>
      <c r="W94">
        <v>46</v>
      </c>
      <c r="X94">
        <v>37.94</v>
      </c>
      <c r="Y94">
        <v>2.14</v>
      </c>
      <c r="Z94">
        <v>70.51000000000001</v>
      </c>
      <c r="AA94">
        <v>2314.67</v>
      </c>
      <c r="AB94">
        <v>1150.68</v>
      </c>
      <c r="AC94">
        <v>231.68</v>
      </c>
      <c r="AD94">
        <v>360</v>
      </c>
      <c r="AE94">
        <v>209.98</v>
      </c>
      <c r="AF94">
        <v>4267.01</v>
      </c>
      <c r="AG94">
        <v>1227</v>
      </c>
      <c r="AH94">
        <v>14.5</v>
      </c>
    </row>
    <row r="95" spans="1:34">
      <c r="A95" t="s">
        <v>611</v>
      </c>
      <c r="B95" t="s">
        <v>259</v>
      </c>
      <c r="C95" t="b">
        <v>0</v>
      </c>
      <c r="D95" t="b">
        <v>0</v>
      </c>
      <c r="E95" t="s">
        <v>1471</v>
      </c>
      <c r="F95" t="s">
        <v>82</v>
      </c>
      <c r="G95" t="s">
        <v>1481</v>
      </c>
      <c r="H95">
        <v>25</v>
      </c>
      <c r="I95">
        <v>8</v>
      </c>
      <c r="J95">
        <v>226</v>
      </c>
      <c r="K95">
        <v>8173.76</v>
      </c>
      <c r="L95">
        <v>300.05</v>
      </c>
      <c r="M95">
        <v>22.7</v>
      </c>
      <c r="N95">
        <v>7851.01</v>
      </c>
      <c r="O95">
        <v>2213.55</v>
      </c>
      <c r="P95">
        <v>5637.46</v>
      </c>
      <c r="Q95">
        <v>57.45</v>
      </c>
      <c r="R95">
        <v>389.12</v>
      </c>
      <c r="S95">
        <v>450</v>
      </c>
      <c r="T95">
        <v>121</v>
      </c>
      <c r="U95">
        <v>13</v>
      </c>
      <c r="V95">
        <v>105</v>
      </c>
      <c r="W95">
        <v>43</v>
      </c>
      <c r="X95">
        <v>34.74</v>
      </c>
      <c r="Y95">
        <v>1.99</v>
      </c>
      <c r="Z95">
        <v>71.81</v>
      </c>
      <c r="AA95">
        <v>2314.67</v>
      </c>
      <c r="AB95">
        <v>1150.68</v>
      </c>
      <c r="AC95">
        <v>270.62</v>
      </c>
      <c r="AD95">
        <v>360</v>
      </c>
      <c r="AE95">
        <v>180.91</v>
      </c>
      <c r="AF95">
        <v>4276.88</v>
      </c>
      <c r="AG95">
        <v>914.01</v>
      </c>
      <c r="AH95">
        <v>11.64</v>
      </c>
    </row>
    <row r="96" spans="1:34">
      <c r="A96" t="s">
        <v>612</v>
      </c>
      <c r="B96" t="s">
        <v>260</v>
      </c>
      <c r="C96" t="b">
        <v>0</v>
      </c>
      <c r="D96" t="b">
        <v>0</v>
      </c>
      <c r="E96" t="s">
        <v>1471</v>
      </c>
      <c r="F96" t="s">
        <v>82</v>
      </c>
      <c r="G96" t="s">
        <v>1481</v>
      </c>
      <c r="H96">
        <v>25.8</v>
      </c>
      <c r="I96">
        <v>9</v>
      </c>
      <c r="J96">
        <v>228</v>
      </c>
      <c r="K96">
        <v>8092.11</v>
      </c>
      <c r="L96">
        <v>395.53</v>
      </c>
      <c r="M96">
        <v>24.35</v>
      </c>
      <c r="N96">
        <v>7672.23</v>
      </c>
      <c r="O96">
        <v>2307.55</v>
      </c>
      <c r="P96">
        <v>5364.68</v>
      </c>
      <c r="Q96">
        <v>44.76</v>
      </c>
      <c r="R96">
        <v>509.73</v>
      </c>
      <c r="S96">
        <v>450</v>
      </c>
      <c r="T96">
        <v>146</v>
      </c>
      <c r="U96">
        <v>10</v>
      </c>
      <c r="V96">
        <v>82</v>
      </c>
      <c r="W96">
        <v>54</v>
      </c>
      <c r="X96">
        <v>33.65</v>
      </c>
      <c r="Y96">
        <v>1.97</v>
      </c>
      <c r="Z96">
        <v>69.92</v>
      </c>
      <c r="AA96">
        <v>2314.67</v>
      </c>
      <c r="AB96">
        <v>1150.68</v>
      </c>
      <c r="AC96">
        <v>253.14</v>
      </c>
      <c r="AD96">
        <v>360</v>
      </c>
      <c r="AE96">
        <v>153.39</v>
      </c>
      <c r="AF96">
        <v>4231.88</v>
      </c>
      <c r="AG96">
        <v>578.3099999999999</v>
      </c>
      <c r="AH96">
        <v>7.54</v>
      </c>
    </row>
    <row r="97" spans="1:34">
      <c r="A97" t="s">
        <v>613</v>
      </c>
      <c r="B97" t="s">
        <v>261</v>
      </c>
      <c r="C97" t="b">
        <v>0</v>
      </c>
      <c r="D97" t="b">
        <v>0</v>
      </c>
      <c r="E97" t="s">
        <v>1471</v>
      </c>
      <c r="F97" t="s">
        <v>82</v>
      </c>
      <c r="G97" t="s">
        <v>1481</v>
      </c>
      <c r="H97">
        <v>26.1</v>
      </c>
      <c r="I97">
        <v>10</v>
      </c>
      <c r="J97">
        <v>247</v>
      </c>
      <c r="K97">
        <v>9539.02</v>
      </c>
      <c r="L97">
        <v>344.91</v>
      </c>
      <c r="M97">
        <v>59.13</v>
      </c>
      <c r="N97">
        <v>9134.98</v>
      </c>
      <c r="O97">
        <v>2685.95</v>
      </c>
      <c r="P97">
        <v>6449.03</v>
      </c>
      <c r="Q97">
        <v>62.08</v>
      </c>
      <c r="R97">
        <v>443.32</v>
      </c>
      <c r="S97">
        <v>510</v>
      </c>
      <c r="T97">
        <v>143</v>
      </c>
      <c r="U97">
        <v>8</v>
      </c>
      <c r="V97">
        <v>104</v>
      </c>
      <c r="W97">
        <v>47</v>
      </c>
      <c r="X97">
        <v>36.98</v>
      </c>
      <c r="Y97">
        <v>2.06</v>
      </c>
      <c r="Z97">
        <v>70.59999999999999</v>
      </c>
      <c r="AA97">
        <v>2314.67</v>
      </c>
      <c r="AB97">
        <v>1150.68</v>
      </c>
      <c r="AC97">
        <v>233.03</v>
      </c>
      <c r="AD97">
        <v>360</v>
      </c>
      <c r="AE97">
        <v>174.72</v>
      </c>
      <c r="AF97">
        <v>4233.1</v>
      </c>
      <c r="AG97">
        <v>1710.53</v>
      </c>
      <c r="AH97">
        <v>18.73</v>
      </c>
    </row>
    <row r="98" spans="1:34">
      <c r="A98" t="s">
        <v>614</v>
      </c>
      <c r="B98" t="s">
        <v>262</v>
      </c>
      <c r="C98" t="b">
        <v>1</v>
      </c>
      <c r="D98" t="b">
        <v>0</v>
      </c>
      <c r="E98" t="s">
        <v>1471</v>
      </c>
      <c r="F98" t="s">
        <v>82</v>
      </c>
      <c r="G98" t="s">
        <v>1481</v>
      </c>
      <c r="H98">
        <v>27.6</v>
      </c>
      <c r="I98">
        <v>11</v>
      </c>
      <c r="J98">
        <v>204</v>
      </c>
      <c r="K98">
        <v>8211.23</v>
      </c>
      <c r="L98">
        <v>345.26</v>
      </c>
      <c r="M98">
        <v>68.78</v>
      </c>
      <c r="N98">
        <v>7797.19</v>
      </c>
      <c r="O98">
        <v>2315.95</v>
      </c>
      <c r="P98">
        <v>5481.24</v>
      </c>
      <c r="Q98">
        <v>53.98</v>
      </c>
      <c r="R98">
        <v>426.54</v>
      </c>
      <c r="S98">
        <v>434</v>
      </c>
      <c r="T98">
        <v>139</v>
      </c>
      <c r="U98">
        <v>8</v>
      </c>
      <c r="V98">
        <v>65</v>
      </c>
      <c r="W98">
        <v>47</v>
      </c>
      <c r="X98">
        <v>38.22</v>
      </c>
      <c r="Y98">
        <v>2.13</v>
      </c>
      <c r="Z98">
        <v>70.3</v>
      </c>
      <c r="AA98">
        <v>2314.67</v>
      </c>
      <c r="AB98">
        <v>1150.68</v>
      </c>
      <c r="AC98">
        <v>242.18</v>
      </c>
      <c r="AD98">
        <v>360</v>
      </c>
      <c r="AE98">
        <v>210.01</v>
      </c>
      <c r="AF98">
        <v>4277.54</v>
      </c>
      <c r="AG98">
        <v>723.1799999999999</v>
      </c>
      <c r="AH98">
        <v>9.27</v>
      </c>
    </row>
    <row r="99" spans="1:34">
      <c r="A99" t="s">
        <v>615</v>
      </c>
      <c r="B99" t="s">
        <v>263</v>
      </c>
      <c r="C99" t="b">
        <v>1</v>
      </c>
      <c r="D99" t="b">
        <v>0</v>
      </c>
      <c r="E99" t="s">
        <v>1471</v>
      </c>
      <c r="F99" t="s">
        <v>82</v>
      </c>
      <c r="G99" t="s">
        <v>1481</v>
      </c>
      <c r="H99">
        <v>27.3</v>
      </c>
      <c r="I99">
        <v>12</v>
      </c>
      <c r="J99">
        <v>241</v>
      </c>
      <c r="K99">
        <v>10175.41</v>
      </c>
      <c r="L99">
        <v>294.14</v>
      </c>
      <c r="M99">
        <v>0</v>
      </c>
      <c r="N99">
        <v>9881.27</v>
      </c>
      <c r="O99">
        <v>2792.55</v>
      </c>
      <c r="P99">
        <v>7088.72</v>
      </c>
      <c r="Q99">
        <v>66.15000000000001</v>
      </c>
      <c r="R99">
        <v>486.72</v>
      </c>
      <c r="S99">
        <v>556</v>
      </c>
      <c r="T99">
        <v>150</v>
      </c>
      <c r="U99">
        <v>9</v>
      </c>
      <c r="V99">
        <v>91</v>
      </c>
      <c r="W99">
        <v>54</v>
      </c>
      <c r="X99">
        <v>41</v>
      </c>
      <c r="Y99">
        <v>2.31</v>
      </c>
      <c r="Z99">
        <v>71.73999999999999</v>
      </c>
      <c r="AA99">
        <v>2314.67</v>
      </c>
      <c r="AB99">
        <v>1150.68</v>
      </c>
      <c r="AC99">
        <v>238.5</v>
      </c>
      <c r="AD99">
        <v>360</v>
      </c>
      <c r="AE99">
        <v>215.98</v>
      </c>
      <c r="AF99">
        <v>4279.83</v>
      </c>
      <c r="AG99">
        <v>2256.02</v>
      </c>
      <c r="AH99">
        <v>22.83</v>
      </c>
    </row>
    <row r="100" spans="1:34">
      <c r="A100" t="s">
        <v>379</v>
      </c>
      <c r="B100" t="s">
        <v>75</v>
      </c>
      <c r="C100" t="b">
        <v>0</v>
      </c>
      <c r="D100" t="b">
        <v>0</v>
      </c>
      <c r="E100" t="s">
        <v>1471</v>
      </c>
      <c r="F100" t="s">
        <v>82</v>
      </c>
      <c r="G100" t="s">
        <v>1481</v>
      </c>
      <c r="H100">
        <v>28</v>
      </c>
      <c r="I100">
        <v>13</v>
      </c>
      <c r="J100">
        <v>212</v>
      </c>
      <c r="K100">
        <v>7869.43</v>
      </c>
      <c r="L100">
        <v>184.09</v>
      </c>
      <c r="M100">
        <v>0</v>
      </c>
      <c r="N100">
        <v>7685.34</v>
      </c>
      <c r="O100">
        <v>2148.8</v>
      </c>
      <c r="P100">
        <v>5536.54</v>
      </c>
      <c r="Q100">
        <v>50</v>
      </c>
      <c r="R100">
        <v>424.11</v>
      </c>
      <c r="S100">
        <v>450</v>
      </c>
      <c r="T100">
        <v>123</v>
      </c>
      <c r="U100">
        <v>10</v>
      </c>
      <c r="V100">
        <v>89</v>
      </c>
      <c r="W100">
        <v>45</v>
      </c>
      <c r="X100">
        <v>36.25</v>
      </c>
      <c r="Y100">
        <v>2.12</v>
      </c>
      <c r="Z100">
        <v>72.04000000000001</v>
      </c>
      <c r="AA100">
        <v>2314.67</v>
      </c>
      <c r="AB100">
        <v>1150.68</v>
      </c>
      <c r="AC100">
        <v>291.18</v>
      </c>
      <c r="AD100">
        <v>360</v>
      </c>
      <c r="AE100">
        <v>199.68</v>
      </c>
      <c r="AF100">
        <v>4316.21</v>
      </c>
      <c r="AG100">
        <v>746.22</v>
      </c>
      <c r="AH100">
        <v>9.710000000000001</v>
      </c>
    </row>
    <row r="101" spans="1:34">
      <c r="A101" t="s">
        <v>616</v>
      </c>
      <c r="B101" t="s">
        <v>258</v>
      </c>
      <c r="C101" t="b">
        <v>0</v>
      </c>
      <c r="D101" t="b">
        <v>0</v>
      </c>
      <c r="E101" t="s">
        <v>1471</v>
      </c>
      <c r="F101" t="s">
        <v>82</v>
      </c>
      <c r="G101" t="s">
        <v>1481</v>
      </c>
      <c r="H101">
        <v>27.2</v>
      </c>
      <c r="I101">
        <v>14</v>
      </c>
      <c r="J101">
        <v>216</v>
      </c>
      <c r="K101">
        <v>8626.67</v>
      </c>
      <c r="L101">
        <v>229.36</v>
      </c>
      <c r="M101">
        <v>12.17</v>
      </c>
      <c r="N101">
        <v>8385.139999999999</v>
      </c>
      <c r="O101">
        <v>2335.9</v>
      </c>
      <c r="P101">
        <v>6049.24</v>
      </c>
      <c r="Q101">
        <v>57.12</v>
      </c>
      <c r="R101">
        <v>493.8</v>
      </c>
      <c r="S101">
        <v>461</v>
      </c>
      <c r="T101">
        <v>121</v>
      </c>
      <c r="U101">
        <v>10</v>
      </c>
      <c r="V101">
        <v>95</v>
      </c>
      <c r="W101">
        <v>49</v>
      </c>
      <c r="X101">
        <v>38.82</v>
      </c>
      <c r="Y101">
        <v>2.13</v>
      </c>
      <c r="Z101">
        <v>72.14</v>
      </c>
      <c r="AA101">
        <v>2314.67</v>
      </c>
      <c r="AB101">
        <v>1150.68</v>
      </c>
      <c r="AC101">
        <v>242.84</v>
      </c>
      <c r="AD101">
        <v>360</v>
      </c>
      <c r="AE101">
        <v>169.65</v>
      </c>
      <c r="AF101">
        <v>4237.84</v>
      </c>
      <c r="AG101">
        <v>1260.48</v>
      </c>
      <c r="AH101">
        <v>15.03</v>
      </c>
    </row>
    <row r="102" spans="1:34">
      <c r="A102" t="s">
        <v>617</v>
      </c>
      <c r="B102" t="s">
        <v>259</v>
      </c>
      <c r="C102" t="b">
        <v>0</v>
      </c>
      <c r="D102" t="b">
        <v>0</v>
      </c>
      <c r="E102" t="s">
        <v>1471</v>
      </c>
      <c r="F102" t="s">
        <v>82</v>
      </c>
      <c r="G102" t="s">
        <v>1483</v>
      </c>
      <c r="H102">
        <v>26.3</v>
      </c>
      <c r="I102">
        <v>15</v>
      </c>
      <c r="J102">
        <v>194</v>
      </c>
      <c r="K102">
        <v>7118.15</v>
      </c>
      <c r="L102">
        <v>208.13</v>
      </c>
      <c r="M102">
        <v>7.83</v>
      </c>
      <c r="N102">
        <v>6902.19</v>
      </c>
      <c r="O102">
        <v>1964.95</v>
      </c>
      <c r="P102">
        <v>4937.24</v>
      </c>
      <c r="Q102">
        <v>46.99</v>
      </c>
      <c r="R102">
        <v>405.12</v>
      </c>
      <c r="S102">
        <v>393</v>
      </c>
      <c r="T102">
        <v>116</v>
      </c>
      <c r="U102">
        <v>7</v>
      </c>
      <c r="V102">
        <v>78</v>
      </c>
      <c r="W102">
        <v>45</v>
      </c>
      <c r="X102">
        <v>35.58</v>
      </c>
      <c r="Y102">
        <v>2.03</v>
      </c>
      <c r="Z102">
        <v>71.53</v>
      </c>
      <c r="AA102">
        <v>2314.67</v>
      </c>
      <c r="AB102">
        <v>1150.68</v>
      </c>
      <c r="AC102">
        <v>261.64</v>
      </c>
      <c r="AD102">
        <v>360</v>
      </c>
      <c r="AE102">
        <v>220.51</v>
      </c>
      <c r="AF102">
        <v>4307.5</v>
      </c>
      <c r="AG102">
        <v>177.63</v>
      </c>
      <c r="AH102">
        <v>2.57</v>
      </c>
    </row>
    <row r="103" spans="1:34">
      <c r="A103" t="s">
        <v>618</v>
      </c>
      <c r="B103" t="s">
        <v>260</v>
      </c>
      <c r="C103" t="b">
        <v>0</v>
      </c>
      <c r="D103" t="b">
        <v>0</v>
      </c>
      <c r="E103" t="s">
        <v>1471</v>
      </c>
      <c r="F103" t="s">
        <v>82</v>
      </c>
      <c r="G103" t="s">
        <v>1483</v>
      </c>
      <c r="H103">
        <v>27.1</v>
      </c>
      <c r="I103">
        <v>16</v>
      </c>
      <c r="J103">
        <v>196</v>
      </c>
      <c r="K103">
        <v>7745.94</v>
      </c>
      <c r="L103">
        <v>197.79</v>
      </c>
      <c r="M103">
        <v>0</v>
      </c>
      <c r="N103">
        <v>7548.15</v>
      </c>
      <c r="O103">
        <v>2155.95</v>
      </c>
      <c r="P103">
        <v>5392.2</v>
      </c>
      <c r="Q103">
        <v>50.08</v>
      </c>
      <c r="R103">
        <v>361.79</v>
      </c>
      <c r="S103">
        <v>419</v>
      </c>
      <c r="T103">
        <v>118</v>
      </c>
      <c r="U103">
        <v>6</v>
      </c>
      <c r="V103">
        <v>78</v>
      </c>
      <c r="W103">
        <v>41</v>
      </c>
      <c r="X103">
        <v>38.51</v>
      </c>
      <c r="Y103">
        <v>2.14</v>
      </c>
      <c r="Z103">
        <v>71.44</v>
      </c>
      <c r="AA103">
        <v>2314.67</v>
      </c>
      <c r="AB103">
        <v>1150.68</v>
      </c>
      <c r="AC103">
        <v>266.8</v>
      </c>
      <c r="AD103">
        <v>360</v>
      </c>
      <c r="AE103">
        <v>168.65</v>
      </c>
      <c r="AF103">
        <v>4260.8</v>
      </c>
      <c r="AG103">
        <v>719.53</v>
      </c>
      <c r="AH103">
        <v>9.529999999999999</v>
      </c>
    </row>
    <row r="104" spans="1:34">
      <c r="A104" t="s">
        <v>619</v>
      </c>
      <c r="B104" t="s">
        <v>261</v>
      </c>
      <c r="C104" t="b">
        <v>0</v>
      </c>
      <c r="D104" t="b">
        <v>0</v>
      </c>
      <c r="E104" t="s">
        <v>1471</v>
      </c>
      <c r="F104" t="s">
        <v>1475</v>
      </c>
      <c r="G104" t="s">
        <v>1483</v>
      </c>
      <c r="H104">
        <v>27.2</v>
      </c>
      <c r="I104">
        <v>17</v>
      </c>
      <c r="J104">
        <v>277</v>
      </c>
      <c r="K104">
        <v>12540.67</v>
      </c>
      <c r="L104">
        <v>376.6</v>
      </c>
      <c r="M104">
        <v>25.22</v>
      </c>
      <c r="N104">
        <v>12138.85</v>
      </c>
      <c r="O104">
        <v>3573</v>
      </c>
      <c r="P104">
        <v>8565.85</v>
      </c>
      <c r="Q104">
        <v>83.42</v>
      </c>
      <c r="R104">
        <v>699.7</v>
      </c>
      <c r="S104">
        <v>669</v>
      </c>
      <c r="T104">
        <v>158</v>
      </c>
      <c r="U104">
        <v>8</v>
      </c>
      <c r="V104">
        <v>119</v>
      </c>
      <c r="W104">
        <v>62</v>
      </c>
      <c r="X104">
        <v>43.82</v>
      </c>
      <c r="Y104">
        <v>2.42</v>
      </c>
      <c r="Z104">
        <v>70.56999999999999</v>
      </c>
      <c r="AA104">
        <v>2314.67</v>
      </c>
      <c r="AB104">
        <v>1150.68</v>
      </c>
      <c r="AC104">
        <v>258.9</v>
      </c>
      <c r="AD104">
        <v>360</v>
      </c>
      <c r="AE104">
        <v>173.11</v>
      </c>
      <c r="AF104">
        <v>4257.36</v>
      </c>
      <c r="AG104">
        <v>3525.37</v>
      </c>
      <c r="AH104">
        <v>29.04</v>
      </c>
    </row>
    <row r="105" spans="1:34">
      <c r="A105" t="s">
        <v>620</v>
      </c>
      <c r="B105" t="s">
        <v>262</v>
      </c>
      <c r="C105" t="b">
        <v>1</v>
      </c>
      <c r="D105" t="b">
        <v>0</v>
      </c>
      <c r="E105" t="s">
        <v>1471</v>
      </c>
      <c r="F105" t="s">
        <v>1475</v>
      </c>
      <c r="G105" t="s">
        <v>1483</v>
      </c>
      <c r="H105">
        <v>27.4</v>
      </c>
      <c r="I105">
        <v>18</v>
      </c>
      <c r="J105">
        <v>212</v>
      </c>
      <c r="K105">
        <v>8443.370000000001</v>
      </c>
      <c r="L105">
        <v>366.82</v>
      </c>
      <c r="M105">
        <v>0</v>
      </c>
      <c r="N105">
        <v>8076.55</v>
      </c>
      <c r="O105">
        <v>2346.65</v>
      </c>
      <c r="P105">
        <v>5729.9</v>
      </c>
      <c r="Q105">
        <v>57.09</v>
      </c>
      <c r="R105">
        <v>426.15</v>
      </c>
      <c r="S105">
        <v>464</v>
      </c>
      <c r="T105">
        <v>140</v>
      </c>
      <c r="U105">
        <v>7</v>
      </c>
      <c r="V105">
        <v>72</v>
      </c>
      <c r="W105">
        <v>49</v>
      </c>
      <c r="X105">
        <v>38.1</v>
      </c>
      <c r="Y105">
        <v>2.19</v>
      </c>
      <c r="Z105">
        <v>70.94</v>
      </c>
      <c r="AA105">
        <v>2314.67</v>
      </c>
      <c r="AB105">
        <v>1150.68</v>
      </c>
      <c r="AC105">
        <v>250.93</v>
      </c>
      <c r="AD105">
        <v>360</v>
      </c>
      <c r="AE105">
        <v>176.07</v>
      </c>
      <c r="AF105">
        <v>4252.35</v>
      </c>
      <c r="AG105">
        <v>994.3099999999999</v>
      </c>
      <c r="AH105">
        <v>12.31</v>
      </c>
    </row>
    <row r="106" spans="1:34">
      <c r="A106" t="s">
        <v>621</v>
      </c>
      <c r="B106" t="s">
        <v>263</v>
      </c>
      <c r="C106" t="b">
        <v>1</v>
      </c>
      <c r="D106" t="b">
        <v>0</v>
      </c>
      <c r="E106" t="s">
        <v>1471</v>
      </c>
      <c r="F106" t="s">
        <v>1475</v>
      </c>
      <c r="G106" t="s">
        <v>1483</v>
      </c>
      <c r="H106">
        <v>28</v>
      </c>
      <c r="I106">
        <v>19</v>
      </c>
      <c r="J106">
        <v>190</v>
      </c>
      <c r="K106">
        <v>7918.99</v>
      </c>
      <c r="L106">
        <v>144.56</v>
      </c>
      <c r="M106">
        <v>54.78</v>
      </c>
      <c r="N106">
        <v>7719.65</v>
      </c>
      <c r="O106">
        <v>2189.05</v>
      </c>
      <c r="P106">
        <v>5530.6</v>
      </c>
      <c r="Q106">
        <v>64.09</v>
      </c>
      <c r="R106">
        <v>337.33</v>
      </c>
      <c r="S106">
        <v>425</v>
      </c>
      <c r="T106">
        <v>100</v>
      </c>
      <c r="U106">
        <v>4</v>
      </c>
      <c r="V106">
        <v>90</v>
      </c>
      <c r="W106">
        <v>36</v>
      </c>
      <c r="X106">
        <v>40.63</v>
      </c>
      <c r="Y106">
        <v>2.24</v>
      </c>
      <c r="Z106">
        <v>71.64</v>
      </c>
      <c r="AA106">
        <v>2314.67</v>
      </c>
      <c r="AB106">
        <v>1150.68</v>
      </c>
      <c r="AC106">
        <v>267.86</v>
      </c>
      <c r="AD106">
        <v>360</v>
      </c>
      <c r="AE106">
        <v>180.57</v>
      </c>
      <c r="AF106">
        <v>4273.78</v>
      </c>
      <c r="AG106">
        <v>855.4</v>
      </c>
      <c r="AH106">
        <v>11.08</v>
      </c>
    </row>
    <row r="107" spans="1:34">
      <c r="A107" t="s">
        <v>380</v>
      </c>
      <c r="B107" t="s">
        <v>75</v>
      </c>
      <c r="C107" t="b">
        <v>0</v>
      </c>
      <c r="D107" t="b">
        <v>0</v>
      </c>
      <c r="E107" t="s">
        <v>1471</v>
      </c>
      <c r="F107" t="s">
        <v>1475</v>
      </c>
      <c r="G107" t="s">
        <v>1483</v>
      </c>
      <c r="H107">
        <v>28.6</v>
      </c>
      <c r="I107">
        <v>20</v>
      </c>
      <c r="J107">
        <v>215</v>
      </c>
      <c r="K107">
        <v>8738.110000000001</v>
      </c>
      <c r="L107">
        <v>200.22</v>
      </c>
      <c r="M107">
        <v>0</v>
      </c>
      <c r="N107">
        <v>8537.889999999999</v>
      </c>
      <c r="O107">
        <v>2437.15</v>
      </c>
      <c r="P107">
        <v>6100.74</v>
      </c>
      <c r="Q107">
        <v>50.59</v>
      </c>
      <c r="R107">
        <v>580.09</v>
      </c>
      <c r="S107">
        <v>469</v>
      </c>
      <c r="T107">
        <v>129</v>
      </c>
      <c r="U107">
        <v>13</v>
      </c>
      <c r="V107">
        <v>86</v>
      </c>
      <c r="W107">
        <v>51</v>
      </c>
      <c r="X107">
        <v>39.71</v>
      </c>
      <c r="Y107">
        <v>2.18</v>
      </c>
      <c r="Z107">
        <v>71.45</v>
      </c>
      <c r="AA107">
        <v>2314.67</v>
      </c>
      <c r="AB107">
        <v>1150.68</v>
      </c>
      <c r="AC107">
        <v>305.31</v>
      </c>
      <c r="AD107">
        <v>360</v>
      </c>
      <c r="AE107">
        <v>228.65</v>
      </c>
      <c r="AF107">
        <v>4359.31</v>
      </c>
      <c r="AG107">
        <v>1110.75</v>
      </c>
      <c r="AH107">
        <v>13.01</v>
      </c>
    </row>
    <row r="108" spans="1:34">
      <c r="A108" t="s">
        <v>622</v>
      </c>
      <c r="B108" t="s">
        <v>258</v>
      </c>
      <c r="C108" t="b">
        <v>0</v>
      </c>
      <c r="D108" t="b">
        <v>0</v>
      </c>
      <c r="E108" t="s">
        <v>1471</v>
      </c>
      <c r="F108" t="s">
        <v>1475</v>
      </c>
      <c r="G108" t="s">
        <v>1483</v>
      </c>
      <c r="H108">
        <v>28.7</v>
      </c>
      <c r="I108">
        <v>21</v>
      </c>
      <c r="J108">
        <v>193</v>
      </c>
      <c r="K108">
        <v>9142.52</v>
      </c>
      <c r="L108">
        <v>201.72</v>
      </c>
      <c r="M108">
        <v>20.87</v>
      </c>
      <c r="N108">
        <v>8919.93</v>
      </c>
      <c r="O108">
        <v>2697.35</v>
      </c>
      <c r="P108">
        <v>6222.58</v>
      </c>
      <c r="Q108">
        <v>53.79</v>
      </c>
      <c r="R108">
        <v>563.84</v>
      </c>
      <c r="S108">
        <v>466</v>
      </c>
      <c r="T108">
        <v>116</v>
      </c>
      <c r="U108">
        <v>8</v>
      </c>
      <c r="V108">
        <v>77</v>
      </c>
      <c r="W108">
        <v>58</v>
      </c>
      <c r="X108">
        <v>46.22</v>
      </c>
      <c r="Y108">
        <v>2.41</v>
      </c>
      <c r="Z108">
        <v>69.76000000000001</v>
      </c>
      <c r="AA108">
        <v>2314.67</v>
      </c>
      <c r="AB108">
        <v>1150.68</v>
      </c>
      <c r="AC108">
        <v>310.87</v>
      </c>
      <c r="AD108">
        <v>360</v>
      </c>
      <c r="AE108">
        <v>175.1</v>
      </c>
      <c r="AF108">
        <v>4311.32</v>
      </c>
      <c r="AG108">
        <v>1293.63</v>
      </c>
      <c r="AH108">
        <v>14.5</v>
      </c>
    </row>
    <row r="109" spans="1:34">
      <c r="A109" t="s">
        <v>623</v>
      </c>
      <c r="B109" t="s">
        <v>259</v>
      </c>
      <c r="C109" t="b">
        <v>0</v>
      </c>
      <c r="D109" t="b">
        <v>0</v>
      </c>
      <c r="E109" t="s">
        <v>1471</v>
      </c>
      <c r="F109" t="s">
        <v>1475</v>
      </c>
      <c r="G109" t="s">
        <v>1483</v>
      </c>
      <c r="H109">
        <v>29.3</v>
      </c>
      <c r="I109">
        <v>22</v>
      </c>
      <c r="J109">
        <v>172</v>
      </c>
      <c r="K109">
        <v>6541.58</v>
      </c>
      <c r="L109">
        <v>132.51</v>
      </c>
      <c r="M109">
        <v>18.26</v>
      </c>
      <c r="N109">
        <v>6390.81</v>
      </c>
      <c r="O109">
        <v>1781.1</v>
      </c>
      <c r="P109">
        <v>4609.71</v>
      </c>
      <c r="Q109">
        <v>47.11</v>
      </c>
      <c r="R109">
        <v>426.05</v>
      </c>
      <c r="S109">
        <v>357</v>
      </c>
      <c r="T109">
        <v>116</v>
      </c>
      <c r="U109">
        <v>8</v>
      </c>
      <c r="V109">
        <v>56</v>
      </c>
      <c r="W109">
        <v>50</v>
      </c>
      <c r="X109">
        <v>37.16</v>
      </c>
      <c r="Y109">
        <v>2.08</v>
      </c>
      <c r="Z109">
        <v>72.13</v>
      </c>
      <c r="AA109">
        <v>2314.67</v>
      </c>
      <c r="AB109">
        <v>1150.68</v>
      </c>
      <c r="AC109">
        <v>289.93</v>
      </c>
      <c r="AD109">
        <v>360</v>
      </c>
      <c r="AE109">
        <v>177.14</v>
      </c>
      <c r="AF109">
        <v>4292.42</v>
      </c>
      <c r="AG109">
        <v>-155.87</v>
      </c>
      <c r="AH109">
        <v>-2.44</v>
      </c>
    </row>
    <row r="110" spans="1:34">
      <c r="A110" t="s">
        <v>624</v>
      </c>
      <c r="B110" t="s">
        <v>260</v>
      </c>
      <c r="C110" t="b">
        <v>0</v>
      </c>
      <c r="D110" t="b">
        <v>0</v>
      </c>
      <c r="E110" t="s">
        <v>1471</v>
      </c>
      <c r="F110" t="s">
        <v>1475</v>
      </c>
      <c r="G110" t="s">
        <v>1483</v>
      </c>
      <c r="H110">
        <v>28</v>
      </c>
      <c r="I110">
        <v>23</v>
      </c>
      <c r="J110">
        <v>194</v>
      </c>
      <c r="K110">
        <v>7546.87</v>
      </c>
      <c r="L110">
        <v>238.26</v>
      </c>
      <c r="M110">
        <v>19.13</v>
      </c>
      <c r="N110">
        <v>7289.48</v>
      </c>
      <c r="O110">
        <v>2139.65</v>
      </c>
      <c r="P110">
        <v>5149.83</v>
      </c>
      <c r="Q110">
        <v>45.85</v>
      </c>
      <c r="R110">
        <v>426.43</v>
      </c>
      <c r="S110">
        <v>408</v>
      </c>
      <c r="T110">
        <v>114</v>
      </c>
      <c r="U110">
        <v>9</v>
      </c>
      <c r="V110">
        <v>80</v>
      </c>
      <c r="W110">
        <v>46</v>
      </c>
      <c r="X110">
        <v>37.57</v>
      </c>
      <c r="Y110">
        <v>2.1</v>
      </c>
      <c r="Z110">
        <v>70.65000000000001</v>
      </c>
      <c r="AA110">
        <v>2314.67</v>
      </c>
      <c r="AB110">
        <v>1150.68</v>
      </c>
      <c r="AC110">
        <v>297.56</v>
      </c>
      <c r="AD110">
        <v>360</v>
      </c>
      <c r="AE110">
        <v>180.29</v>
      </c>
      <c r="AF110">
        <v>4303.2</v>
      </c>
      <c r="AG110">
        <v>374.35</v>
      </c>
      <c r="AH110">
        <v>5.14</v>
      </c>
    </row>
    <row r="111" spans="1:34">
      <c r="A111" t="s">
        <v>625</v>
      </c>
      <c r="B111" t="s">
        <v>261</v>
      </c>
      <c r="C111" t="b">
        <v>0</v>
      </c>
      <c r="D111" t="b">
        <v>0</v>
      </c>
      <c r="E111" t="s">
        <v>1471</v>
      </c>
      <c r="F111" t="s">
        <v>1475</v>
      </c>
      <c r="G111" t="s">
        <v>1484</v>
      </c>
      <c r="H111">
        <v>26.9</v>
      </c>
      <c r="I111">
        <v>24</v>
      </c>
      <c r="J111">
        <v>336</v>
      </c>
      <c r="K111">
        <v>12537.27</v>
      </c>
      <c r="L111">
        <v>408.4</v>
      </c>
      <c r="M111">
        <v>16.52</v>
      </c>
      <c r="N111">
        <v>12112.35</v>
      </c>
      <c r="O111">
        <v>3519.45</v>
      </c>
      <c r="P111">
        <v>8592.9</v>
      </c>
      <c r="Q111">
        <v>85.25</v>
      </c>
      <c r="R111">
        <v>554.01</v>
      </c>
      <c r="S111">
        <v>668</v>
      </c>
      <c r="T111">
        <v>189</v>
      </c>
      <c r="U111">
        <v>11</v>
      </c>
      <c r="V111">
        <v>147</v>
      </c>
      <c r="W111">
        <v>50</v>
      </c>
      <c r="X111">
        <v>36.05</v>
      </c>
      <c r="Y111">
        <v>1.99</v>
      </c>
      <c r="Z111">
        <v>70.94</v>
      </c>
      <c r="AA111">
        <v>2314.67</v>
      </c>
      <c r="AB111">
        <v>1150.68</v>
      </c>
      <c r="AC111">
        <v>249.95</v>
      </c>
      <c r="AD111">
        <v>360</v>
      </c>
      <c r="AE111">
        <v>197.52</v>
      </c>
      <c r="AF111">
        <v>4272.82</v>
      </c>
      <c r="AG111">
        <v>3680.82</v>
      </c>
      <c r="AH111">
        <v>30.39</v>
      </c>
    </row>
    <row r="112" spans="1:34">
      <c r="A112" t="s">
        <v>626</v>
      </c>
      <c r="B112" t="s">
        <v>262</v>
      </c>
      <c r="C112" t="b">
        <v>1</v>
      </c>
      <c r="D112" t="b">
        <v>1</v>
      </c>
      <c r="E112" t="s">
        <v>1471</v>
      </c>
      <c r="F112" t="s">
        <v>1475</v>
      </c>
      <c r="G112" t="s">
        <v>1485</v>
      </c>
      <c r="H112">
        <v>27.8</v>
      </c>
      <c r="I112">
        <v>25</v>
      </c>
      <c r="J112">
        <v>171</v>
      </c>
      <c r="K112">
        <v>7205.13</v>
      </c>
      <c r="L112">
        <v>76.53</v>
      </c>
      <c r="M112">
        <v>99.13</v>
      </c>
      <c r="N112">
        <v>7029.47</v>
      </c>
      <c r="O112">
        <v>2087.9</v>
      </c>
      <c r="P112">
        <v>4941.57</v>
      </c>
      <c r="Q112">
        <v>43.43</v>
      </c>
      <c r="R112">
        <v>343.06</v>
      </c>
      <c r="S112">
        <v>385</v>
      </c>
      <c r="T112">
        <v>90</v>
      </c>
      <c r="U112">
        <v>5</v>
      </c>
      <c r="V112">
        <v>81</v>
      </c>
      <c r="W112">
        <v>29</v>
      </c>
      <c r="X112">
        <v>41.11</v>
      </c>
      <c r="Y112">
        <v>2.25</v>
      </c>
      <c r="Z112">
        <v>70.3</v>
      </c>
      <c r="AA112">
        <v>2066.67</v>
      </c>
      <c r="AB112">
        <v>1150.68</v>
      </c>
      <c r="AC112">
        <v>277.55</v>
      </c>
      <c r="AD112">
        <v>110</v>
      </c>
      <c r="AE112">
        <v>165.42</v>
      </c>
      <c r="AF112">
        <v>3770.32</v>
      </c>
      <c r="AG112">
        <v>784.76</v>
      </c>
      <c r="AH112">
        <v>11.16</v>
      </c>
    </row>
    <row r="113" spans="1:34">
      <c r="A113" t="s">
        <v>627</v>
      </c>
      <c r="B113" t="s">
        <v>263</v>
      </c>
      <c r="C113" t="b">
        <v>1</v>
      </c>
      <c r="D113" t="b">
        <v>1</v>
      </c>
      <c r="E113" t="s">
        <v>1471</v>
      </c>
      <c r="F113" t="s">
        <v>1475</v>
      </c>
      <c r="G113" t="s">
        <v>1485</v>
      </c>
      <c r="H113">
        <v>31</v>
      </c>
      <c r="I113">
        <v>26</v>
      </c>
      <c r="J113">
        <v>225</v>
      </c>
      <c r="K113">
        <v>9411.040000000001</v>
      </c>
      <c r="L113">
        <v>282.59</v>
      </c>
      <c r="M113">
        <v>88.69</v>
      </c>
      <c r="N113">
        <v>9039.76</v>
      </c>
      <c r="O113">
        <v>2649.85</v>
      </c>
      <c r="P113">
        <v>6389.91</v>
      </c>
      <c r="Q113">
        <v>64.67</v>
      </c>
      <c r="R113">
        <v>388.03</v>
      </c>
      <c r="S113">
        <v>519</v>
      </c>
      <c r="T113">
        <v>124</v>
      </c>
      <c r="U113">
        <v>6</v>
      </c>
      <c r="V113">
        <v>101</v>
      </c>
      <c r="W113">
        <v>35</v>
      </c>
      <c r="X113">
        <v>40.18</v>
      </c>
      <c r="Y113">
        <v>2.31</v>
      </c>
      <c r="Z113">
        <v>70.69</v>
      </c>
      <c r="AA113">
        <v>2066.67</v>
      </c>
      <c r="AB113">
        <v>1150.68</v>
      </c>
      <c r="AC113">
        <v>310.88</v>
      </c>
      <c r="AD113">
        <v>110</v>
      </c>
      <c r="AE113">
        <v>164.32</v>
      </c>
      <c r="AF113">
        <v>3802.55</v>
      </c>
      <c r="AG113">
        <v>2134.66</v>
      </c>
      <c r="AH113">
        <v>23.61</v>
      </c>
    </row>
    <row r="114" spans="1:34">
      <c r="A114" t="s">
        <v>381</v>
      </c>
      <c r="B114" t="s">
        <v>75</v>
      </c>
      <c r="C114" t="b">
        <v>0</v>
      </c>
      <c r="D114" t="b">
        <v>1</v>
      </c>
      <c r="E114" t="s">
        <v>1471</v>
      </c>
      <c r="F114" t="s">
        <v>1475</v>
      </c>
      <c r="G114" t="s">
        <v>1485</v>
      </c>
      <c r="H114">
        <v>28.9</v>
      </c>
      <c r="I114">
        <v>27</v>
      </c>
      <c r="J114">
        <v>183</v>
      </c>
      <c r="K114">
        <v>7108.51</v>
      </c>
      <c r="L114">
        <v>174.76</v>
      </c>
      <c r="M114">
        <v>0</v>
      </c>
      <c r="N114">
        <v>6933.75</v>
      </c>
      <c r="O114">
        <v>2061.35</v>
      </c>
      <c r="P114">
        <v>4872.4</v>
      </c>
      <c r="Q114">
        <v>48.95</v>
      </c>
      <c r="R114">
        <v>335.93</v>
      </c>
      <c r="S114">
        <v>400</v>
      </c>
      <c r="T114">
        <v>112</v>
      </c>
      <c r="U114">
        <v>5</v>
      </c>
      <c r="V114">
        <v>71</v>
      </c>
      <c r="W114">
        <v>35</v>
      </c>
      <c r="X114">
        <v>37.89</v>
      </c>
      <c r="Y114">
        <v>2.19</v>
      </c>
      <c r="Z114">
        <v>70.27</v>
      </c>
      <c r="AA114">
        <v>2066.67</v>
      </c>
      <c r="AB114">
        <v>1150.68</v>
      </c>
      <c r="AC114">
        <v>254.52</v>
      </c>
      <c r="AD114">
        <v>110</v>
      </c>
      <c r="AE114">
        <v>166.75</v>
      </c>
      <c r="AF114">
        <v>3748.62</v>
      </c>
      <c r="AG114">
        <v>738.9</v>
      </c>
      <c r="AH114">
        <v>10.66</v>
      </c>
    </row>
    <row r="115" spans="1:34">
      <c r="A115" t="s">
        <v>628</v>
      </c>
      <c r="B115" t="s">
        <v>258</v>
      </c>
      <c r="C115" t="b">
        <v>0</v>
      </c>
      <c r="D115" t="b">
        <v>1</v>
      </c>
      <c r="E115" t="s">
        <v>1471</v>
      </c>
      <c r="F115" t="s">
        <v>1475</v>
      </c>
      <c r="G115" t="s">
        <v>1485</v>
      </c>
      <c r="H115">
        <v>31.1</v>
      </c>
      <c r="I115">
        <v>28</v>
      </c>
      <c r="J115">
        <v>212</v>
      </c>
      <c r="K115">
        <v>8550.110000000001</v>
      </c>
      <c r="L115">
        <v>199.13</v>
      </c>
      <c r="M115">
        <v>15.65</v>
      </c>
      <c r="N115">
        <v>8335.33</v>
      </c>
      <c r="O115">
        <v>2402.45</v>
      </c>
      <c r="P115">
        <v>5932.88</v>
      </c>
      <c r="Q115">
        <v>59.15</v>
      </c>
      <c r="R115">
        <v>329.25</v>
      </c>
      <c r="S115">
        <v>463</v>
      </c>
      <c r="T115">
        <v>129</v>
      </c>
      <c r="U115">
        <v>11</v>
      </c>
      <c r="V115">
        <v>83</v>
      </c>
      <c r="W115">
        <v>37</v>
      </c>
      <c r="X115">
        <v>39.32</v>
      </c>
      <c r="Y115">
        <v>2.18</v>
      </c>
      <c r="Z115">
        <v>71.18000000000001</v>
      </c>
      <c r="AA115">
        <v>2066.67</v>
      </c>
      <c r="AB115">
        <v>1150.68</v>
      </c>
      <c r="AC115">
        <v>312.74</v>
      </c>
      <c r="AD115">
        <v>110</v>
      </c>
      <c r="AE115">
        <v>244.86</v>
      </c>
      <c r="AF115">
        <v>3884.95</v>
      </c>
      <c r="AG115">
        <v>1659.53</v>
      </c>
      <c r="AH115">
        <v>19.91</v>
      </c>
    </row>
    <row r="116" spans="1:34">
      <c r="A116" t="s">
        <v>629</v>
      </c>
      <c r="B116" t="s">
        <v>259</v>
      </c>
      <c r="C116" t="b">
        <v>0</v>
      </c>
      <c r="D116" t="b">
        <v>0</v>
      </c>
      <c r="E116" t="s">
        <v>1471</v>
      </c>
      <c r="F116" t="s">
        <v>1475</v>
      </c>
      <c r="G116" t="s">
        <v>1486</v>
      </c>
      <c r="H116">
        <v>31.5</v>
      </c>
      <c r="I116">
        <v>29</v>
      </c>
      <c r="J116">
        <v>176</v>
      </c>
      <c r="K116">
        <v>5437.16</v>
      </c>
      <c r="L116">
        <v>134.78</v>
      </c>
      <c r="M116">
        <v>0</v>
      </c>
      <c r="N116">
        <v>5302.38</v>
      </c>
      <c r="O116">
        <v>1529.25</v>
      </c>
      <c r="P116">
        <v>3773.13</v>
      </c>
      <c r="Q116">
        <v>36.27</v>
      </c>
      <c r="R116">
        <v>286.77</v>
      </c>
      <c r="S116">
        <v>319</v>
      </c>
      <c r="T116">
        <v>105</v>
      </c>
      <c r="U116">
        <v>8</v>
      </c>
      <c r="V116">
        <v>71</v>
      </c>
      <c r="W116">
        <v>39</v>
      </c>
      <c r="X116">
        <v>30.13</v>
      </c>
      <c r="Y116">
        <v>1.81</v>
      </c>
      <c r="Z116">
        <v>71.16</v>
      </c>
      <c r="AA116">
        <v>2066.67</v>
      </c>
      <c r="AB116">
        <v>1150.68</v>
      </c>
      <c r="AC116">
        <v>307</v>
      </c>
      <c r="AD116">
        <v>110</v>
      </c>
      <c r="AE116">
        <v>189.07</v>
      </c>
      <c r="AF116">
        <v>3823.42</v>
      </c>
      <c r="AG116">
        <v>-373.33</v>
      </c>
      <c r="AH116">
        <v>-7.04</v>
      </c>
    </row>
    <row r="117" spans="1:34">
      <c r="A117" t="s">
        <v>630</v>
      </c>
      <c r="B117" t="s">
        <v>260</v>
      </c>
      <c r="C117" t="b">
        <v>0</v>
      </c>
      <c r="D117" t="b">
        <v>0</v>
      </c>
      <c r="E117" t="s">
        <v>1471</v>
      </c>
      <c r="F117" t="s">
        <v>1475</v>
      </c>
      <c r="G117" t="s">
        <v>1486</v>
      </c>
      <c r="H117">
        <v>30</v>
      </c>
      <c r="I117">
        <v>30</v>
      </c>
      <c r="J117">
        <v>135</v>
      </c>
      <c r="K117">
        <v>4365.07</v>
      </c>
      <c r="L117">
        <v>116.52</v>
      </c>
      <c r="M117">
        <v>0</v>
      </c>
      <c r="N117">
        <v>4248.55</v>
      </c>
      <c r="O117">
        <v>1204.4</v>
      </c>
      <c r="P117">
        <v>3044.15</v>
      </c>
      <c r="Q117">
        <v>26.54</v>
      </c>
      <c r="R117">
        <v>250.41</v>
      </c>
      <c r="S117">
        <v>260</v>
      </c>
      <c r="T117">
        <v>80</v>
      </c>
      <c r="U117">
        <v>2</v>
      </c>
      <c r="V117">
        <v>55</v>
      </c>
      <c r="W117">
        <v>26</v>
      </c>
      <c r="X117">
        <v>31.47</v>
      </c>
      <c r="Y117">
        <v>1.93</v>
      </c>
      <c r="Z117">
        <v>71.65000000000001</v>
      </c>
      <c r="AA117">
        <v>2066.67</v>
      </c>
      <c r="AB117">
        <v>1150.68</v>
      </c>
      <c r="AC117">
        <v>295.39</v>
      </c>
      <c r="AD117">
        <v>110</v>
      </c>
      <c r="AE117">
        <v>183.99</v>
      </c>
      <c r="AF117">
        <v>3806.73</v>
      </c>
      <c r="AG117">
        <v>-1039.53</v>
      </c>
      <c r="AH117">
        <v>-24.47</v>
      </c>
    </row>
    <row r="118" spans="1:34">
      <c r="A118" t="s">
        <v>631</v>
      </c>
      <c r="B118" t="s">
        <v>261</v>
      </c>
      <c r="C118" t="b">
        <v>0</v>
      </c>
      <c r="D118" t="b">
        <v>0</v>
      </c>
      <c r="E118" t="s">
        <v>1471</v>
      </c>
      <c r="F118" t="s">
        <v>1475</v>
      </c>
      <c r="G118" t="s">
        <v>1487</v>
      </c>
      <c r="H118">
        <v>30.3</v>
      </c>
      <c r="I118">
        <v>0</v>
      </c>
      <c r="J118">
        <v>231</v>
      </c>
      <c r="K118">
        <v>8537.1</v>
      </c>
      <c r="L118">
        <v>188.68</v>
      </c>
      <c r="M118">
        <v>33.04</v>
      </c>
      <c r="N118">
        <v>8315.379999999999</v>
      </c>
      <c r="O118">
        <v>2387.9</v>
      </c>
      <c r="P118">
        <v>5927.48</v>
      </c>
      <c r="Q118">
        <v>62.17</v>
      </c>
      <c r="R118">
        <v>305.16</v>
      </c>
      <c r="S118">
        <v>504</v>
      </c>
      <c r="T118">
        <v>129</v>
      </c>
      <c r="U118">
        <v>11</v>
      </c>
      <c r="V118">
        <v>102</v>
      </c>
      <c r="W118">
        <v>33</v>
      </c>
      <c r="X118">
        <v>36</v>
      </c>
      <c r="Y118">
        <v>2.18</v>
      </c>
      <c r="Z118">
        <v>71.28</v>
      </c>
      <c r="AA118">
        <v>2066.67</v>
      </c>
      <c r="AB118">
        <v>1150.68</v>
      </c>
      <c r="AC118">
        <v>315.33</v>
      </c>
      <c r="AD118">
        <v>110</v>
      </c>
      <c r="AE118">
        <v>183.69</v>
      </c>
      <c r="AF118">
        <v>3826.37</v>
      </c>
      <c r="AG118">
        <v>1733.78</v>
      </c>
      <c r="AH118">
        <v>20.85</v>
      </c>
    </row>
    <row r="119" spans="1:34">
      <c r="A119" t="s">
        <v>632</v>
      </c>
      <c r="B119" t="s">
        <v>262</v>
      </c>
      <c r="C119" t="b">
        <v>1</v>
      </c>
      <c r="D119" t="b">
        <v>0</v>
      </c>
      <c r="E119" t="s">
        <v>1471</v>
      </c>
      <c r="F119" t="s">
        <v>1475</v>
      </c>
      <c r="G119" t="s">
        <v>1477</v>
      </c>
      <c r="H119">
        <v>28.6</v>
      </c>
      <c r="I119">
        <v>1</v>
      </c>
      <c r="J119">
        <v>198</v>
      </c>
      <c r="K119">
        <v>8223.24</v>
      </c>
      <c r="L119">
        <v>137.38</v>
      </c>
      <c r="M119">
        <v>0</v>
      </c>
      <c r="N119">
        <v>8085.86</v>
      </c>
      <c r="O119">
        <v>2253.75</v>
      </c>
      <c r="P119">
        <v>5832.11</v>
      </c>
      <c r="Q119">
        <v>64.38</v>
      </c>
      <c r="R119">
        <v>379.62</v>
      </c>
      <c r="S119">
        <v>496</v>
      </c>
      <c r="T119">
        <v>123</v>
      </c>
      <c r="U119">
        <v>16</v>
      </c>
      <c r="V119">
        <v>75</v>
      </c>
      <c r="W119">
        <v>40</v>
      </c>
      <c r="X119">
        <v>40.84</v>
      </c>
      <c r="Y119">
        <v>2.51</v>
      </c>
      <c r="Z119">
        <v>72.13</v>
      </c>
      <c r="AA119">
        <v>2066.67</v>
      </c>
      <c r="AB119">
        <v>1150.68</v>
      </c>
      <c r="AC119">
        <v>306.06</v>
      </c>
      <c r="AD119">
        <v>110</v>
      </c>
      <c r="AE119">
        <v>211.67</v>
      </c>
      <c r="AF119">
        <v>3845.08</v>
      </c>
      <c r="AG119">
        <v>1543.03</v>
      </c>
      <c r="AH119">
        <v>19.08</v>
      </c>
    </row>
    <row r="120" spans="1:34">
      <c r="A120" t="s">
        <v>633</v>
      </c>
      <c r="B120" t="s">
        <v>263</v>
      </c>
      <c r="C120" t="b">
        <v>1</v>
      </c>
      <c r="D120" t="b">
        <v>0</v>
      </c>
      <c r="E120" t="s">
        <v>1471</v>
      </c>
      <c r="F120" t="s">
        <v>1475</v>
      </c>
      <c r="G120" t="s">
        <v>1477</v>
      </c>
      <c r="H120">
        <v>26.9</v>
      </c>
      <c r="I120">
        <v>2</v>
      </c>
      <c r="J120">
        <v>209</v>
      </c>
      <c r="K120">
        <v>8429.309999999999</v>
      </c>
      <c r="L120">
        <v>207.81</v>
      </c>
      <c r="M120">
        <v>0</v>
      </c>
      <c r="N120">
        <v>8221.5</v>
      </c>
      <c r="O120">
        <v>2421.6</v>
      </c>
      <c r="P120">
        <v>5799.9</v>
      </c>
      <c r="Q120">
        <v>67.01000000000001</v>
      </c>
      <c r="R120">
        <v>223.07</v>
      </c>
      <c r="S120">
        <v>502</v>
      </c>
      <c r="T120">
        <v>126</v>
      </c>
      <c r="U120">
        <v>9</v>
      </c>
      <c r="V120">
        <v>83</v>
      </c>
      <c r="W120">
        <v>27</v>
      </c>
      <c r="X120">
        <v>39.34</v>
      </c>
      <c r="Y120">
        <v>2.4</v>
      </c>
      <c r="Z120">
        <v>70.55</v>
      </c>
      <c r="AA120">
        <v>2066.67</v>
      </c>
      <c r="AB120">
        <v>1150.68</v>
      </c>
      <c r="AC120">
        <v>254.43</v>
      </c>
      <c r="AD120">
        <v>110</v>
      </c>
      <c r="AE120">
        <v>181.42</v>
      </c>
      <c r="AF120">
        <v>3763.2</v>
      </c>
      <c r="AG120">
        <v>1746.62</v>
      </c>
      <c r="AH120">
        <v>21.24</v>
      </c>
    </row>
    <row r="121" spans="1:34">
      <c r="A121" t="s">
        <v>382</v>
      </c>
      <c r="B121" t="s">
        <v>75</v>
      </c>
      <c r="C121" t="b">
        <v>0</v>
      </c>
      <c r="D121" t="b">
        <v>0</v>
      </c>
      <c r="E121" t="s">
        <v>1471</v>
      </c>
      <c r="F121" t="s">
        <v>82</v>
      </c>
      <c r="G121" t="s">
        <v>1477</v>
      </c>
      <c r="H121">
        <v>26.9</v>
      </c>
      <c r="I121">
        <v>3</v>
      </c>
      <c r="J121">
        <v>216</v>
      </c>
      <c r="K121">
        <v>7620.52</v>
      </c>
      <c r="L121">
        <v>329.36</v>
      </c>
      <c r="M121">
        <v>19.13</v>
      </c>
      <c r="N121">
        <v>7272.03</v>
      </c>
      <c r="O121">
        <v>2075.85</v>
      </c>
      <c r="P121">
        <v>5196.18</v>
      </c>
      <c r="Q121">
        <v>47.3</v>
      </c>
      <c r="R121">
        <v>201.26</v>
      </c>
      <c r="S121">
        <v>453</v>
      </c>
      <c r="T121">
        <v>132</v>
      </c>
      <c r="U121">
        <v>8</v>
      </c>
      <c r="V121">
        <v>84</v>
      </c>
      <c r="W121">
        <v>28</v>
      </c>
      <c r="X121">
        <v>33.67</v>
      </c>
      <c r="Y121">
        <v>2.1</v>
      </c>
      <c r="Z121">
        <v>71.45</v>
      </c>
      <c r="AA121">
        <v>2066.67</v>
      </c>
      <c r="AB121">
        <v>1150.68</v>
      </c>
      <c r="AC121">
        <v>256.84</v>
      </c>
      <c r="AD121">
        <v>110</v>
      </c>
      <c r="AE121">
        <v>203</v>
      </c>
      <c r="AF121">
        <v>3787.19</v>
      </c>
      <c r="AG121">
        <v>1160.43</v>
      </c>
      <c r="AH121">
        <v>15.96</v>
      </c>
    </row>
    <row r="122" spans="1:34">
      <c r="A122" t="s">
        <v>634</v>
      </c>
      <c r="B122" t="s">
        <v>258</v>
      </c>
      <c r="C122" t="b">
        <v>0</v>
      </c>
      <c r="D122" t="b">
        <v>0</v>
      </c>
      <c r="E122" t="s">
        <v>1471</v>
      </c>
      <c r="F122" t="s">
        <v>82</v>
      </c>
      <c r="G122" t="s">
        <v>1477</v>
      </c>
      <c r="H122">
        <v>29.6</v>
      </c>
      <c r="I122">
        <v>4</v>
      </c>
      <c r="J122">
        <v>230</v>
      </c>
      <c r="K122">
        <v>7566.73</v>
      </c>
      <c r="L122">
        <v>176.51</v>
      </c>
      <c r="M122">
        <v>34.78</v>
      </c>
      <c r="N122">
        <v>7355.44</v>
      </c>
      <c r="O122">
        <v>2135.85</v>
      </c>
      <c r="P122">
        <v>5219.59</v>
      </c>
      <c r="Q122">
        <v>56.7</v>
      </c>
      <c r="R122">
        <v>289.86</v>
      </c>
      <c r="S122">
        <v>448</v>
      </c>
      <c r="T122">
        <v>125</v>
      </c>
      <c r="U122">
        <v>7</v>
      </c>
      <c r="V122">
        <v>105</v>
      </c>
      <c r="W122">
        <v>29</v>
      </c>
      <c r="X122">
        <v>31.98</v>
      </c>
      <c r="Y122">
        <v>1.95</v>
      </c>
      <c r="Z122">
        <v>70.95999999999999</v>
      </c>
      <c r="AA122">
        <v>2000</v>
      </c>
      <c r="AB122">
        <v>1150.68</v>
      </c>
      <c r="AC122">
        <v>304.88</v>
      </c>
      <c r="AD122">
        <v>110</v>
      </c>
      <c r="AE122">
        <v>198.84</v>
      </c>
      <c r="AF122">
        <v>3764.4</v>
      </c>
      <c r="AG122">
        <v>1108.63</v>
      </c>
      <c r="AH122">
        <v>15.07</v>
      </c>
    </row>
    <row r="123" spans="1:34">
      <c r="A123" t="s">
        <v>635</v>
      </c>
      <c r="B123" t="s">
        <v>259</v>
      </c>
      <c r="C123" t="b">
        <v>0</v>
      </c>
      <c r="D123" t="b">
        <v>0</v>
      </c>
      <c r="E123" t="s">
        <v>1471</v>
      </c>
      <c r="F123" t="s">
        <v>82</v>
      </c>
      <c r="G123" t="s">
        <v>81</v>
      </c>
      <c r="H123">
        <v>30.4</v>
      </c>
      <c r="I123">
        <v>5</v>
      </c>
      <c r="J123">
        <v>208</v>
      </c>
      <c r="K123">
        <v>6653.64</v>
      </c>
      <c r="L123">
        <v>117.38</v>
      </c>
      <c r="M123">
        <v>39.13</v>
      </c>
      <c r="N123">
        <v>6497.13</v>
      </c>
      <c r="O123">
        <v>1842.45</v>
      </c>
      <c r="P123">
        <v>4654.68</v>
      </c>
      <c r="Q123">
        <v>48.07</v>
      </c>
      <c r="R123">
        <v>327.32</v>
      </c>
      <c r="S123">
        <v>392</v>
      </c>
      <c r="T123">
        <v>126</v>
      </c>
      <c r="U123">
        <v>8</v>
      </c>
      <c r="V123">
        <v>82</v>
      </c>
      <c r="W123">
        <v>36</v>
      </c>
      <c r="X123">
        <v>31.24</v>
      </c>
      <c r="Y123">
        <v>1.88</v>
      </c>
      <c r="Z123">
        <v>71.64</v>
      </c>
      <c r="AA123">
        <v>2000</v>
      </c>
      <c r="AB123">
        <v>1150.68</v>
      </c>
      <c r="AC123">
        <v>322.13</v>
      </c>
      <c r="AD123">
        <v>110</v>
      </c>
      <c r="AE123">
        <v>201.33</v>
      </c>
      <c r="AF123">
        <v>3784.14</v>
      </c>
      <c r="AG123">
        <v>495.15</v>
      </c>
      <c r="AH123">
        <v>7.62</v>
      </c>
    </row>
    <row r="124" spans="1:34">
      <c r="A124" t="s">
        <v>636</v>
      </c>
      <c r="B124" t="s">
        <v>260</v>
      </c>
      <c r="C124" t="b">
        <v>0</v>
      </c>
      <c r="D124" t="b">
        <v>0</v>
      </c>
      <c r="E124" t="s">
        <v>1471</v>
      </c>
      <c r="F124" t="s">
        <v>82</v>
      </c>
      <c r="G124" t="s">
        <v>81</v>
      </c>
      <c r="H124">
        <v>30.7</v>
      </c>
      <c r="I124">
        <v>6</v>
      </c>
      <c r="J124">
        <v>209</v>
      </c>
      <c r="K124">
        <v>6012.79</v>
      </c>
      <c r="L124">
        <v>215.63</v>
      </c>
      <c r="M124">
        <v>0</v>
      </c>
      <c r="N124">
        <v>5797.16</v>
      </c>
      <c r="O124">
        <v>1655.85</v>
      </c>
      <c r="P124">
        <v>4141.31</v>
      </c>
      <c r="Q124">
        <v>40.11</v>
      </c>
      <c r="R124">
        <v>236.82</v>
      </c>
      <c r="S124">
        <v>361</v>
      </c>
      <c r="T124">
        <v>132</v>
      </c>
      <c r="U124">
        <v>7</v>
      </c>
      <c r="V124">
        <v>77</v>
      </c>
      <c r="W124">
        <v>23</v>
      </c>
      <c r="X124">
        <v>27.74</v>
      </c>
      <c r="Y124">
        <v>1.73</v>
      </c>
      <c r="Z124">
        <v>71.44</v>
      </c>
      <c r="AA124">
        <v>2000</v>
      </c>
      <c r="AB124">
        <v>1150.68</v>
      </c>
      <c r="AC124">
        <v>306.2</v>
      </c>
      <c r="AD124">
        <v>110</v>
      </c>
      <c r="AE124">
        <v>225.97</v>
      </c>
      <c r="AF124">
        <v>3792.85</v>
      </c>
      <c r="AG124">
        <v>71.53</v>
      </c>
      <c r="AH124">
        <v>1.23</v>
      </c>
    </row>
    <row r="125" spans="1:34">
      <c r="A125" t="s">
        <v>637</v>
      </c>
      <c r="B125" t="s">
        <v>261</v>
      </c>
      <c r="C125" t="b">
        <v>0</v>
      </c>
      <c r="D125" t="b">
        <v>0</v>
      </c>
      <c r="E125" t="s">
        <v>1471</v>
      </c>
      <c r="F125" t="s">
        <v>82</v>
      </c>
      <c r="G125" t="s">
        <v>81</v>
      </c>
      <c r="H125">
        <v>30.6</v>
      </c>
      <c r="I125">
        <v>7</v>
      </c>
      <c r="J125">
        <v>260</v>
      </c>
      <c r="K125">
        <v>8110.15</v>
      </c>
      <c r="L125">
        <v>105.21</v>
      </c>
      <c r="M125">
        <v>18.26</v>
      </c>
      <c r="N125">
        <v>7986.68</v>
      </c>
      <c r="O125">
        <v>2193.45</v>
      </c>
      <c r="P125">
        <v>5793.23</v>
      </c>
      <c r="Q125">
        <v>62.81</v>
      </c>
      <c r="R125">
        <v>305.52</v>
      </c>
      <c r="S125">
        <v>487</v>
      </c>
      <c r="T125">
        <v>156</v>
      </c>
      <c r="U125">
        <v>12</v>
      </c>
      <c r="V125">
        <v>104</v>
      </c>
      <c r="W125">
        <v>38</v>
      </c>
      <c r="X125">
        <v>30.72</v>
      </c>
      <c r="Y125">
        <v>1.87</v>
      </c>
      <c r="Z125">
        <v>72.54000000000001</v>
      </c>
      <c r="AA125">
        <v>2000</v>
      </c>
      <c r="AB125">
        <v>1150.68</v>
      </c>
      <c r="AC125">
        <v>284.67</v>
      </c>
      <c r="AD125">
        <v>110</v>
      </c>
      <c r="AE125">
        <v>206.8</v>
      </c>
      <c r="AF125">
        <v>3752.15</v>
      </c>
      <c r="AG125">
        <v>1672.75</v>
      </c>
      <c r="AH125">
        <v>20.94</v>
      </c>
    </row>
    <row r="126" spans="1:34">
      <c r="A126" t="s">
        <v>638</v>
      </c>
      <c r="B126" t="s">
        <v>262</v>
      </c>
      <c r="C126" t="b">
        <v>1</v>
      </c>
      <c r="D126" t="b">
        <v>0</v>
      </c>
      <c r="E126" t="s">
        <v>1471</v>
      </c>
      <c r="F126" t="s">
        <v>82</v>
      </c>
      <c r="G126" t="s">
        <v>81</v>
      </c>
      <c r="H126">
        <v>32.7</v>
      </c>
      <c r="I126">
        <v>8</v>
      </c>
      <c r="J126">
        <v>243</v>
      </c>
      <c r="K126">
        <v>9104.049999999999</v>
      </c>
      <c r="L126">
        <v>177.38</v>
      </c>
      <c r="M126">
        <v>17.39</v>
      </c>
      <c r="N126">
        <v>8909.280000000001</v>
      </c>
      <c r="O126">
        <v>2523.2</v>
      </c>
      <c r="P126">
        <v>6386.08</v>
      </c>
      <c r="Q126">
        <v>56.95</v>
      </c>
      <c r="R126">
        <v>588.35</v>
      </c>
      <c r="S126">
        <v>546</v>
      </c>
      <c r="T126">
        <v>150</v>
      </c>
      <c r="U126">
        <v>8</v>
      </c>
      <c r="V126">
        <v>93</v>
      </c>
      <c r="W126">
        <v>61</v>
      </c>
      <c r="X126">
        <v>36.66</v>
      </c>
      <c r="Y126">
        <v>2.25</v>
      </c>
      <c r="Z126">
        <v>71.68000000000001</v>
      </c>
      <c r="AA126">
        <v>2000</v>
      </c>
      <c r="AB126">
        <v>1150.68</v>
      </c>
      <c r="AC126">
        <v>328.69</v>
      </c>
      <c r="AD126">
        <v>110</v>
      </c>
      <c r="AE126">
        <v>187.78</v>
      </c>
      <c r="AF126">
        <v>3777.15</v>
      </c>
      <c r="AG126">
        <v>1963.63</v>
      </c>
      <c r="AH126">
        <v>22.04</v>
      </c>
    </row>
    <row r="127" spans="1:34">
      <c r="A127" t="s">
        <v>639</v>
      </c>
      <c r="B127" t="s">
        <v>263</v>
      </c>
      <c r="C127" t="b">
        <v>1</v>
      </c>
      <c r="D127" t="b">
        <v>0</v>
      </c>
      <c r="E127" t="s">
        <v>1471</v>
      </c>
      <c r="F127" t="s">
        <v>82</v>
      </c>
      <c r="G127" t="s">
        <v>81</v>
      </c>
      <c r="H127">
        <v>32.7</v>
      </c>
      <c r="I127">
        <v>9</v>
      </c>
      <c r="J127">
        <v>168</v>
      </c>
      <c r="K127">
        <v>6897.19</v>
      </c>
      <c r="L127">
        <v>173.02</v>
      </c>
      <c r="M127">
        <v>0</v>
      </c>
      <c r="N127">
        <v>6724.17</v>
      </c>
      <c r="O127">
        <v>1935.8</v>
      </c>
      <c r="P127">
        <v>4788.37</v>
      </c>
      <c r="Q127">
        <v>51.58</v>
      </c>
      <c r="R127">
        <v>281.25</v>
      </c>
      <c r="S127">
        <v>417</v>
      </c>
      <c r="T127">
        <v>100</v>
      </c>
      <c r="U127">
        <v>6</v>
      </c>
      <c r="V127">
        <v>68</v>
      </c>
      <c r="W127">
        <v>28</v>
      </c>
      <c r="X127">
        <v>40.02</v>
      </c>
      <c r="Y127">
        <v>2.48</v>
      </c>
      <c r="Z127">
        <v>71.20999999999999</v>
      </c>
      <c r="AA127">
        <v>2000</v>
      </c>
      <c r="AB127">
        <v>1150.68</v>
      </c>
      <c r="AC127">
        <v>325.7</v>
      </c>
      <c r="AD127">
        <v>110</v>
      </c>
      <c r="AE127">
        <v>161.57</v>
      </c>
      <c r="AF127">
        <v>3747.95</v>
      </c>
      <c r="AG127">
        <v>707.59</v>
      </c>
      <c r="AH127">
        <v>10.52</v>
      </c>
    </row>
    <row r="128" spans="1:34">
      <c r="A128" t="s">
        <v>383</v>
      </c>
      <c r="B128" t="s">
        <v>75</v>
      </c>
      <c r="C128" t="b">
        <v>0</v>
      </c>
      <c r="D128" t="b">
        <v>0</v>
      </c>
      <c r="E128" t="s">
        <v>1471</v>
      </c>
      <c r="F128" t="s">
        <v>82</v>
      </c>
      <c r="G128" t="s">
        <v>81</v>
      </c>
      <c r="H128">
        <v>34.2</v>
      </c>
      <c r="I128">
        <v>10</v>
      </c>
      <c r="J128">
        <v>197</v>
      </c>
      <c r="K128">
        <v>6002.41</v>
      </c>
      <c r="L128">
        <v>99.98999999999999</v>
      </c>
      <c r="M128">
        <v>41.74</v>
      </c>
      <c r="N128">
        <v>5860.68</v>
      </c>
      <c r="O128">
        <v>1713.2</v>
      </c>
      <c r="P128">
        <v>4147.48</v>
      </c>
      <c r="Q128">
        <v>40.01</v>
      </c>
      <c r="R128">
        <v>285.44</v>
      </c>
      <c r="S128">
        <v>369</v>
      </c>
      <c r="T128">
        <v>111</v>
      </c>
      <c r="U128">
        <v>6</v>
      </c>
      <c r="V128">
        <v>86</v>
      </c>
      <c r="W128">
        <v>33</v>
      </c>
      <c r="X128">
        <v>29.75</v>
      </c>
      <c r="Y128">
        <v>1.87</v>
      </c>
      <c r="Z128">
        <v>70.77</v>
      </c>
      <c r="AA128">
        <v>2000</v>
      </c>
      <c r="AB128">
        <v>1150.68</v>
      </c>
      <c r="AC128">
        <v>340.92</v>
      </c>
      <c r="AD128">
        <v>110</v>
      </c>
      <c r="AE128">
        <v>183.44</v>
      </c>
      <c r="AF128">
        <v>3785.04</v>
      </c>
      <c r="AG128">
        <v>36.99</v>
      </c>
      <c r="AH128">
        <v>0.63</v>
      </c>
    </row>
    <row r="129" spans="1:34">
      <c r="A129" t="s">
        <v>640</v>
      </c>
      <c r="B129" t="s">
        <v>258</v>
      </c>
      <c r="C129" t="b">
        <v>0</v>
      </c>
      <c r="D129" t="b">
        <v>0</v>
      </c>
      <c r="E129" t="s">
        <v>1471</v>
      </c>
      <c r="F129" t="s">
        <v>82</v>
      </c>
      <c r="G129" t="s">
        <v>81</v>
      </c>
      <c r="H129">
        <v>33.9</v>
      </c>
      <c r="I129">
        <v>11</v>
      </c>
      <c r="J129">
        <v>239</v>
      </c>
      <c r="K129">
        <v>7158.82</v>
      </c>
      <c r="L129">
        <v>173.04</v>
      </c>
      <c r="M129">
        <v>63.48</v>
      </c>
      <c r="N129">
        <v>6922.3</v>
      </c>
      <c r="O129">
        <v>2009.05</v>
      </c>
      <c r="P129">
        <v>4913.25</v>
      </c>
      <c r="Q129">
        <v>54.15</v>
      </c>
      <c r="R129">
        <v>272.25</v>
      </c>
      <c r="S129">
        <v>425</v>
      </c>
      <c r="T129">
        <v>149</v>
      </c>
      <c r="U129">
        <v>7</v>
      </c>
      <c r="V129">
        <v>90</v>
      </c>
      <c r="W129">
        <v>32</v>
      </c>
      <c r="X129">
        <v>28.96</v>
      </c>
      <c r="Y129">
        <v>1.78</v>
      </c>
      <c r="Z129">
        <v>70.98</v>
      </c>
      <c r="AA129">
        <v>2000</v>
      </c>
      <c r="AB129">
        <v>1150.68</v>
      </c>
      <c r="AC129">
        <v>359.29</v>
      </c>
      <c r="AD129">
        <v>110</v>
      </c>
      <c r="AE129">
        <v>183.22</v>
      </c>
      <c r="AF129">
        <v>3803.19</v>
      </c>
      <c r="AG129">
        <v>783.66</v>
      </c>
      <c r="AH129">
        <v>11.32</v>
      </c>
    </row>
    <row r="130" spans="1:34">
      <c r="A130" t="s">
        <v>641</v>
      </c>
      <c r="B130" t="s">
        <v>259</v>
      </c>
      <c r="C130" t="b">
        <v>0</v>
      </c>
      <c r="D130" t="b">
        <v>0</v>
      </c>
      <c r="E130" t="s">
        <v>1471</v>
      </c>
      <c r="F130" t="s">
        <v>82</v>
      </c>
      <c r="G130" t="s">
        <v>81</v>
      </c>
      <c r="H130">
        <v>32.7</v>
      </c>
      <c r="I130">
        <v>12</v>
      </c>
      <c r="J130">
        <v>238</v>
      </c>
      <c r="K130">
        <v>8356.370000000001</v>
      </c>
      <c r="L130">
        <v>432.16</v>
      </c>
      <c r="M130">
        <v>63.48</v>
      </c>
      <c r="N130">
        <v>7860.73</v>
      </c>
      <c r="O130">
        <v>2365.2</v>
      </c>
      <c r="P130">
        <v>5495.53</v>
      </c>
      <c r="Q130">
        <v>46.77</v>
      </c>
      <c r="R130">
        <v>303.41</v>
      </c>
      <c r="S130">
        <v>498</v>
      </c>
      <c r="T130">
        <v>144</v>
      </c>
      <c r="U130">
        <v>10</v>
      </c>
      <c r="V130">
        <v>94</v>
      </c>
      <c r="W130">
        <v>33</v>
      </c>
      <c r="X130">
        <v>33.03</v>
      </c>
      <c r="Y130">
        <v>2.09</v>
      </c>
      <c r="Z130">
        <v>69.91</v>
      </c>
      <c r="AA130">
        <v>2000</v>
      </c>
      <c r="AB130">
        <v>1150.68</v>
      </c>
      <c r="AC130">
        <v>330.22</v>
      </c>
      <c r="AD130">
        <v>110</v>
      </c>
      <c r="AE130">
        <v>208.56</v>
      </c>
      <c r="AF130">
        <v>3799.46</v>
      </c>
      <c r="AG130">
        <v>1345.89</v>
      </c>
      <c r="AH130">
        <v>17.12</v>
      </c>
    </row>
    <row r="131" spans="1:34">
      <c r="A131" t="s">
        <v>642</v>
      </c>
      <c r="B131" t="s">
        <v>260</v>
      </c>
      <c r="C131" t="b">
        <v>0</v>
      </c>
      <c r="D131" t="b">
        <v>0</v>
      </c>
      <c r="E131" t="s">
        <v>1471</v>
      </c>
      <c r="F131" t="s">
        <v>82</v>
      </c>
      <c r="G131" t="s">
        <v>81</v>
      </c>
      <c r="H131">
        <v>34.2</v>
      </c>
      <c r="I131">
        <v>13</v>
      </c>
      <c r="J131">
        <v>204</v>
      </c>
      <c r="K131">
        <v>6414.53</v>
      </c>
      <c r="L131">
        <v>243.45</v>
      </c>
      <c r="M131">
        <v>0</v>
      </c>
      <c r="N131">
        <v>6171.08</v>
      </c>
      <c r="O131">
        <v>1748.35</v>
      </c>
      <c r="P131">
        <v>4422.73</v>
      </c>
      <c r="Q131">
        <v>36.49</v>
      </c>
      <c r="R131">
        <v>400.63</v>
      </c>
      <c r="S131">
        <v>386</v>
      </c>
      <c r="T131">
        <v>126</v>
      </c>
      <c r="U131">
        <v>8</v>
      </c>
      <c r="V131">
        <v>78</v>
      </c>
      <c r="W131">
        <v>46</v>
      </c>
      <c r="X131">
        <v>30.25</v>
      </c>
      <c r="Y131">
        <v>1.89</v>
      </c>
      <c r="Z131">
        <v>71.67</v>
      </c>
      <c r="AA131">
        <v>2000</v>
      </c>
      <c r="AB131">
        <v>1150.68</v>
      </c>
      <c r="AC131">
        <v>348.88</v>
      </c>
      <c r="AD131">
        <v>110</v>
      </c>
      <c r="AE131">
        <v>173.91</v>
      </c>
      <c r="AF131">
        <v>3783.47</v>
      </c>
      <c r="AG131">
        <v>202.14</v>
      </c>
      <c r="AH131">
        <v>3.28</v>
      </c>
    </row>
    <row r="132" spans="1:34">
      <c r="A132" t="s">
        <v>643</v>
      </c>
      <c r="B132" t="s">
        <v>261</v>
      </c>
      <c r="C132" t="b">
        <v>0</v>
      </c>
      <c r="D132" t="b">
        <v>0</v>
      </c>
      <c r="E132" t="s">
        <v>1471</v>
      </c>
      <c r="F132" t="s">
        <v>82</v>
      </c>
      <c r="G132" t="s">
        <v>81</v>
      </c>
      <c r="H132">
        <v>33.2</v>
      </c>
      <c r="I132">
        <v>14</v>
      </c>
      <c r="J132">
        <v>261</v>
      </c>
      <c r="K132">
        <v>8531.889999999999</v>
      </c>
      <c r="L132">
        <v>183.48</v>
      </c>
      <c r="M132">
        <v>27.83</v>
      </c>
      <c r="N132">
        <v>8320.58</v>
      </c>
      <c r="O132">
        <v>2323.35</v>
      </c>
      <c r="P132">
        <v>5997.23</v>
      </c>
      <c r="Q132">
        <v>57.58</v>
      </c>
      <c r="R132">
        <v>455.71</v>
      </c>
      <c r="S132">
        <v>518</v>
      </c>
      <c r="T132">
        <v>143</v>
      </c>
      <c r="U132">
        <v>7</v>
      </c>
      <c r="V132">
        <v>118</v>
      </c>
      <c r="W132">
        <v>52</v>
      </c>
      <c r="X132">
        <v>31.88</v>
      </c>
      <c r="Y132">
        <v>1.98</v>
      </c>
      <c r="Z132">
        <v>72.08</v>
      </c>
      <c r="AA132">
        <v>2000</v>
      </c>
      <c r="AB132">
        <v>1150.68</v>
      </c>
      <c r="AC132">
        <v>332.5</v>
      </c>
      <c r="AD132">
        <v>110</v>
      </c>
      <c r="AE132">
        <v>200.91</v>
      </c>
      <c r="AF132">
        <v>3794.09</v>
      </c>
      <c r="AG132">
        <v>1689.85</v>
      </c>
      <c r="AH132">
        <v>20.31</v>
      </c>
    </row>
    <row r="133" spans="1:34">
      <c r="A133" t="s">
        <v>644</v>
      </c>
      <c r="B133" t="s">
        <v>262</v>
      </c>
      <c r="C133" t="b">
        <v>1</v>
      </c>
      <c r="D133" t="b">
        <v>0</v>
      </c>
      <c r="E133" t="s">
        <v>1471</v>
      </c>
      <c r="F133" t="s">
        <v>82</v>
      </c>
      <c r="G133" t="s">
        <v>81</v>
      </c>
      <c r="H133">
        <v>31.8</v>
      </c>
      <c r="I133">
        <v>15</v>
      </c>
      <c r="J133">
        <v>249</v>
      </c>
      <c r="K133">
        <v>9364.040000000001</v>
      </c>
      <c r="L133">
        <v>182.59</v>
      </c>
      <c r="M133">
        <v>0</v>
      </c>
      <c r="N133">
        <v>9181.450000000001</v>
      </c>
      <c r="O133">
        <v>2601.3</v>
      </c>
      <c r="P133">
        <v>6580.15</v>
      </c>
      <c r="Q133">
        <v>69.06</v>
      </c>
      <c r="R133">
        <v>443.29</v>
      </c>
      <c r="S133">
        <v>546</v>
      </c>
      <c r="T133">
        <v>159</v>
      </c>
      <c r="U133">
        <v>9</v>
      </c>
      <c r="V133">
        <v>90</v>
      </c>
      <c r="W133">
        <v>50</v>
      </c>
      <c r="X133">
        <v>36.87</v>
      </c>
      <c r="Y133">
        <v>2.19</v>
      </c>
      <c r="Z133">
        <v>71.67</v>
      </c>
      <c r="AA133">
        <v>2000</v>
      </c>
      <c r="AB133">
        <v>1150.68</v>
      </c>
      <c r="AC133">
        <v>347.04</v>
      </c>
      <c r="AD133">
        <v>110</v>
      </c>
      <c r="AE133">
        <v>146.75</v>
      </c>
      <c r="AF133">
        <v>3754.47</v>
      </c>
      <c r="AG133">
        <v>2313.33</v>
      </c>
      <c r="AH133">
        <v>25.2</v>
      </c>
    </row>
    <row r="134" spans="1:34">
      <c r="A134" t="s">
        <v>645</v>
      </c>
      <c r="B134" t="s">
        <v>263</v>
      </c>
      <c r="C134" t="b">
        <v>1</v>
      </c>
      <c r="D134" t="b">
        <v>0</v>
      </c>
      <c r="E134" t="s">
        <v>1471</v>
      </c>
      <c r="F134" t="s">
        <v>82</v>
      </c>
      <c r="G134" t="s">
        <v>81</v>
      </c>
      <c r="H134">
        <v>32</v>
      </c>
      <c r="I134">
        <v>16</v>
      </c>
      <c r="J134">
        <v>194</v>
      </c>
      <c r="K134">
        <v>7334.52</v>
      </c>
      <c r="L134">
        <v>224.35</v>
      </c>
      <c r="M134">
        <v>0</v>
      </c>
      <c r="N134">
        <v>7110.17</v>
      </c>
      <c r="O134">
        <v>2044.85</v>
      </c>
      <c r="P134">
        <v>5065.32</v>
      </c>
      <c r="Q134">
        <v>53.68</v>
      </c>
      <c r="R134">
        <v>287.58</v>
      </c>
      <c r="S134">
        <v>429</v>
      </c>
      <c r="T134">
        <v>110</v>
      </c>
      <c r="U134">
        <v>7</v>
      </c>
      <c r="V134">
        <v>84</v>
      </c>
      <c r="W134">
        <v>33</v>
      </c>
      <c r="X134">
        <v>36.65</v>
      </c>
      <c r="Y134">
        <v>2.21</v>
      </c>
      <c r="Z134">
        <v>71.23999999999999</v>
      </c>
      <c r="AA134">
        <v>2000</v>
      </c>
      <c r="AB134">
        <v>1150.68</v>
      </c>
      <c r="AC134">
        <v>332.5</v>
      </c>
      <c r="AD134">
        <v>110</v>
      </c>
      <c r="AE134">
        <v>218.61</v>
      </c>
      <c r="AF134">
        <v>3811.79</v>
      </c>
      <c r="AG134">
        <v>912.27</v>
      </c>
      <c r="AH134">
        <v>12.83</v>
      </c>
    </row>
    <row r="135" spans="1:34">
      <c r="A135" t="s">
        <v>384</v>
      </c>
      <c r="B135" t="s">
        <v>75</v>
      </c>
      <c r="C135" t="b">
        <v>0</v>
      </c>
      <c r="D135" t="b">
        <v>0</v>
      </c>
      <c r="E135" t="s">
        <v>1471</v>
      </c>
      <c r="F135" t="s">
        <v>82</v>
      </c>
      <c r="G135" t="s">
        <v>81</v>
      </c>
      <c r="H135">
        <v>31.7</v>
      </c>
      <c r="I135">
        <v>17</v>
      </c>
      <c r="J135">
        <v>208</v>
      </c>
      <c r="K135">
        <v>6106.74</v>
      </c>
      <c r="L135">
        <v>73.91</v>
      </c>
      <c r="M135">
        <v>8.699999999999999</v>
      </c>
      <c r="N135">
        <v>6024.13</v>
      </c>
      <c r="O135">
        <v>1665.3</v>
      </c>
      <c r="P135">
        <v>4358.83</v>
      </c>
      <c r="Q135">
        <v>42.17</v>
      </c>
      <c r="R135">
        <v>327.17</v>
      </c>
      <c r="S135">
        <v>364</v>
      </c>
      <c r="T135">
        <v>128</v>
      </c>
      <c r="U135">
        <v>7</v>
      </c>
      <c r="V135">
        <v>80</v>
      </c>
      <c r="W135">
        <v>40</v>
      </c>
      <c r="X135">
        <v>28.96</v>
      </c>
      <c r="Y135">
        <v>1.75</v>
      </c>
      <c r="Z135">
        <v>72.36</v>
      </c>
      <c r="AA135">
        <v>2000</v>
      </c>
      <c r="AB135">
        <v>1150.68</v>
      </c>
      <c r="AC135">
        <v>317.87</v>
      </c>
      <c r="AD135">
        <v>110</v>
      </c>
      <c r="AE135">
        <v>177.65</v>
      </c>
      <c r="AF135">
        <v>3756.2</v>
      </c>
      <c r="AG135">
        <v>233.29</v>
      </c>
      <c r="AH135">
        <v>3.87</v>
      </c>
    </row>
    <row r="136" spans="1:34">
      <c r="A136" t="s">
        <v>646</v>
      </c>
      <c r="B136" t="s">
        <v>258</v>
      </c>
      <c r="C136" t="b">
        <v>0</v>
      </c>
      <c r="D136" t="b">
        <v>0</v>
      </c>
      <c r="E136" t="s">
        <v>1471</v>
      </c>
      <c r="F136" t="s">
        <v>82</v>
      </c>
      <c r="G136" t="s">
        <v>81</v>
      </c>
      <c r="H136">
        <v>30.2</v>
      </c>
      <c r="I136">
        <v>18</v>
      </c>
      <c r="J136">
        <v>217</v>
      </c>
      <c r="K136">
        <v>6379.72</v>
      </c>
      <c r="L136">
        <v>162.6</v>
      </c>
      <c r="M136">
        <v>0</v>
      </c>
      <c r="N136">
        <v>6217.12</v>
      </c>
      <c r="O136">
        <v>1735.1</v>
      </c>
      <c r="P136">
        <v>4482.02</v>
      </c>
      <c r="Q136">
        <v>45.63</v>
      </c>
      <c r="R136">
        <v>259.81</v>
      </c>
      <c r="S136">
        <v>383</v>
      </c>
      <c r="T136">
        <v>134</v>
      </c>
      <c r="U136">
        <v>6</v>
      </c>
      <c r="V136">
        <v>83</v>
      </c>
      <c r="W136">
        <v>37</v>
      </c>
      <c r="X136">
        <v>28.65</v>
      </c>
      <c r="Y136">
        <v>1.76</v>
      </c>
      <c r="Z136">
        <v>72.09</v>
      </c>
      <c r="AA136">
        <v>2000</v>
      </c>
      <c r="AB136">
        <v>1150.68</v>
      </c>
      <c r="AC136">
        <v>297.81</v>
      </c>
      <c r="AD136">
        <v>110</v>
      </c>
      <c r="AE136">
        <v>185.18</v>
      </c>
      <c r="AF136">
        <v>3743.67</v>
      </c>
      <c r="AG136">
        <v>432.91</v>
      </c>
      <c r="AH136">
        <v>6.96</v>
      </c>
    </row>
    <row r="137" spans="1:34">
      <c r="A137" t="s">
        <v>647</v>
      </c>
      <c r="B137" t="s">
        <v>259</v>
      </c>
      <c r="C137" t="b">
        <v>0</v>
      </c>
      <c r="D137" t="b">
        <v>0</v>
      </c>
      <c r="E137" t="s">
        <v>1471</v>
      </c>
      <c r="F137" t="s">
        <v>82</v>
      </c>
      <c r="G137" t="s">
        <v>81</v>
      </c>
      <c r="H137">
        <v>31.2</v>
      </c>
      <c r="I137">
        <v>19</v>
      </c>
      <c r="J137">
        <v>164</v>
      </c>
      <c r="K137">
        <v>5044.17</v>
      </c>
      <c r="L137">
        <v>111.3</v>
      </c>
      <c r="M137">
        <v>0</v>
      </c>
      <c r="N137">
        <v>4932.87</v>
      </c>
      <c r="O137">
        <v>1389.25</v>
      </c>
      <c r="P137">
        <v>3543.62</v>
      </c>
      <c r="Q137">
        <v>27.21</v>
      </c>
      <c r="R137">
        <v>400.45</v>
      </c>
      <c r="S137">
        <v>289</v>
      </c>
      <c r="T137">
        <v>112</v>
      </c>
      <c r="U137">
        <v>4</v>
      </c>
      <c r="V137">
        <v>52</v>
      </c>
      <c r="W137">
        <v>48</v>
      </c>
      <c r="X137">
        <v>30.08</v>
      </c>
      <c r="Y137">
        <v>1.76</v>
      </c>
      <c r="Z137">
        <v>71.84</v>
      </c>
      <c r="AA137">
        <v>2000</v>
      </c>
      <c r="AB137">
        <v>1150.68</v>
      </c>
      <c r="AC137">
        <v>292.04</v>
      </c>
      <c r="AD137">
        <v>110</v>
      </c>
      <c r="AE137">
        <v>168.37</v>
      </c>
      <c r="AF137">
        <v>3721.09</v>
      </c>
      <c r="AG137">
        <v>-605.13</v>
      </c>
      <c r="AH137">
        <v>-12.27</v>
      </c>
    </row>
    <row r="138" spans="1:34">
      <c r="A138" t="s">
        <v>648</v>
      </c>
      <c r="B138" t="s">
        <v>260</v>
      </c>
      <c r="C138" t="b">
        <v>0</v>
      </c>
      <c r="D138" t="b">
        <v>0</v>
      </c>
      <c r="E138" t="s">
        <v>1471</v>
      </c>
      <c r="F138" t="s">
        <v>82</v>
      </c>
      <c r="G138" t="s">
        <v>81</v>
      </c>
      <c r="H138">
        <v>31.6</v>
      </c>
      <c r="I138">
        <v>20</v>
      </c>
      <c r="J138">
        <v>154</v>
      </c>
      <c r="K138">
        <v>4463.33</v>
      </c>
      <c r="L138">
        <v>120.87</v>
      </c>
      <c r="M138">
        <v>0</v>
      </c>
      <c r="N138">
        <v>4342.46</v>
      </c>
      <c r="O138">
        <v>1199.35</v>
      </c>
      <c r="P138">
        <v>3143.11</v>
      </c>
      <c r="Q138">
        <v>35.67</v>
      </c>
      <c r="R138">
        <v>165.68</v>
      </c>
      <c r="S138">
        <v>270</v>
      </c>
      <c r="T138">
        <v>87</v>
      </c>
      <c r="U138">
        <v>9</v>
      </c>
      <c r="V138">
        <v>67</v>
      </c>
      <c r="W138">
        <v>19</v>
      </c>
      <c r="X138">
        <v>28.2</v>
      </c>
      <c r="Y138">
        <v>1.75</v>
      </c>
      <c r="Z138">
        <v>72.38</v>
      </c>
      <c r="AA138">
        <v>2000</v>
      </c>
      <c r="AB138">
        <v>1150.68</v>
      </c>
      <c r="AC138">
        <v>310.15</v>
      </c>
      <c r="AD138">
        <v>110</v>
      </c>
      <c r="AE138">
        <v>177.47</v>
      </c>
      <c r="AF138">
        <v>3748.3</v>
      </c>
      <c r="AG138">
        <v>-806.54</v>
      </c>
      <c r="AH138">
        <v>-18.57</v>
      </c>
    </row>
    <row r="139" spans="1:34">
      <c r="A139" t="s">
        <v>649</v>
      </c>
      <c r="B139" t="s">
        <v>261</v>
      </c>
      <c r="C139" t="b">
        <v>0</v>
      </c>
      <c r="D139" t="b">
        <v>0</v>
      </c>
      <c r="E139" t="s">
        <v>1471</v>
      </c>
      <c r="F139" t="s">
        <v>82</v>
      </c>
      <c r="G139" t="s">
        <v>81</v>
      </c>
      <c r="H139">
        <v>32</v>
      </c>
      <c r="I139">
        <v>21</v>
      </c>
      <c r="J139">
        <v>281</v>
      </c>
      <c r="K139">
        <v>8636.219999999999</v>
      </c>
      <c r="L139">
        <v>190.42</v>
      </c>
      <c r="M139">
        <v>6.96</v>
      </c>
      <c r="N139">
        <v>8438.84</v>
      </c>
      <c r="O139">
        <v>2322.35</v>
      </c>
      <c r="P139">
        <v>6116.49</v>
      </c>
      <c r="Q139">
        <v>68.33</v>
      </c>
      <c r="R139">
        <v>303.29</v>
      </c>
      <c r="S139">
        <v>520</v>
      </c>
      <c r="T139">
        <v>160</v>
      </c>
      <c r="U139">
        <v>11</v>
      </c>
      <c r="V139">
        <v>121</v>
      </c>
      <c r="W139">
        <v>38</v>
      </c>
      <c r="X139">
        <v>30.03</v>
      </c>
      <c r="Y139">
        <v>1.85</v>
      </c>
      <c r="Z139">
        <v>72.48</v>
      </c>
      <c r="AA139">
        <v>2000</v>
      </c>
      <c r="AB139">
        <v>1150.68</v>
      </c>
      <c r="AC139">
        <v>341.16</v>
      </c>
      <c r="AD139">
        <v>110</v>
      </c>
      <c r="AE139">
        <v>190.07</v>
      </c>
      <c r="AF139">
        <v>3791.91</v>
      </c>
      <c r="AG139">
        <v>1952.96</v>
      </c>
      <c r="AH139">
        <v>23.14</v>
      </c>
    </row>
    <row r="140" spans="1:34">
      <c r="A140" t="s">
        <v>650</v>
      </c>
      <c r="B140" t="s">
        <v>262</v>
      </c>
      <c r="C140" t="b">
        <v>1</v>
      </c>
      <c r="D140" t="b">
        <v>0</v>
      </c>
      <c r="E140" t="s">
        <v>1471</v>
      </c>
      <c r="F140" t="s">
        <v>82</v>
      </c>
      <c r="G140" t="s">
        <v>81</v>
      </c>
      <c r="H140">
        <v>32.3</v>
      </c>
      <c r="I140">
        <v>22</v>
      </c>
      <c r="J140">
        <v>206</v>
      </c>
      <c r="K140">
        <v>7714.55</v>
      </c>
      <c r="L140">
        <v>91.3</v>
      </c>
      <c r="M140">
        <v>0</v>
      </c>
      <c r="N140">
        <v>7623.25</v>
      </c>
      <c r="O140">
        <v>2107.85</v>
      </c>
      <c r="P140">
        <v>5515.4</v>
      </c>
      <c r="Q140">
        <v>54.79</v>
      </c>
      <c r="R140">
        <v>445.81</v>
      </c>
      <c r="S140">
        <v>467</v>
      </c>
      <c r="T140">
        <v>120</v>
      </c>
      <c r="U140">
        <v>8</v>
      </c>
      <c r="V140">
        <v>86</v>
      </c>
      <c r="W140">
        <v>44</v>
      </c>
      <c r="X140">
        <v>37.01</v>
      </c>
      <c r="Y140">
        <v>2.27</v>
      </c>
      <c r="Z140">
        <v>72.34999999999999</v>
      </c>
      <c r="AA140">
        <v>2000</v>
      </c>
      <c r="AB140">
        <v>1150.68</v>
      </c>
      <c r="AC140">
        <v>310.25</v>
      </c>
      <c r="AD140">
        <v>110</v>
      </c>
      <c r="AE140">
        <v>174.21</v>
      </c>
      <c r="AF140">
        <v>3745.14</v>
      </c>
      <c r="AG140">
        <v>1269.66</v>
      </c>
      <c r="AH140">
        <v>16.66</v>
      </c>
    </row>
    <row r="141" spans="1:34">
      <c r="A141" t="s">
        <v>651</v>
      </c>
      <c r="B141" t="s">
        <v>263</v>
      </c>
      <c r="C141" t="b">
        <v>1</v>
      </c>
      <c r="D141" t="b">
        <v>0</v>
      </c>
      <c r="E141" t="s">
        <v>1471</v>
      </c>
      <c r="F141" t="s">
        <v>82</v>
      </c>
      <c r="G141" t="s">
        <v>81</v>
      </c>
      <c r="H141">
        <v>32.8</v>
      </c>
      <c r="I141">
        <v>23</v>
      </c>
      <c r="J141">
        <v>180</v>
      </c>
      <c r="K141">
        <v>6329.38</v>
      </c>
      <c r="L141">
        <v>164.34</v>
      </c>
      <c r="M141">
        <v>0</v>
      </c>
      <c r="N141">
        <v>6165.04</v>
      </c>
      <c r="O141">
        <v>1753.2</v>
      </c>
      <c r="P141">
        <v>4411.84</v>
      </c>
      <c r="Q141">
        <v>47.74</v>
      </c>
      <c r="R141">
        <v>222.88</v>
      </c>
      <c r="S141">
        <v>373</v>
      </c>
      <c r="T141">
        <v>106</v>
      </c>
      <c r="U141">
        <v>6</v>
      </c>
      <c r="V141">
        <v>74</v>
      </c>
      <c r="W141">
        <v>29</v>
      </c>
      <c r="X141">
        <v>34.25</v>
      </c>
      <c r="Y141">
        <v>2.07</v>
      </c>
      <c r="Z141">
        <v>71.56</v>
      </c>
      <c r="AA141">
        <v>2000</v>
      </c>
      <c r="AB141">
        <v>1150.68</v>
      </c>
      <c r="AC141">
        <v>327.66</v>
      </c>
      <c r="AD141">
        <v>110</v>
      </c>
      <c r="AE141">
        <v>219.09</v>
      </c>
      <c r="AF141">
        <v>3807.43</v>
      </c>
      <c r="AG141">
        <v>333.79</v>
      </c>
      <c r="AH141">
        <v>5.41</v>
      </c>
    </row>
    <row r="142" spans="1:34">
      <c r="A142" t="s">
        <v>385</v>
      </c>
      <c r="B142" t="s">
        <v>75</v>
      </c>
      <c r="C142" t="b">
        <v>0</v>
      </c>
      <c r="D142" t="b">
        <v>0</v>
      </c>
      <c r="E142" t="s">
        <v>1471</v>
      </c>
      <c r="F142" t="s">
        <v>82</v>
      </c>
      <c r="G142" t="s">
        <v>81</v>
      </c>
      <c r="H142">
        <v>32.4</v>
      </c>
      <c r="I142">
        <v>24</v>
      </c>
      <c r="J142">
        <v>196</v>
      </c>
      <c r="K142">
        <v>5922.37</v>
      </c>
      <c r="L142">
        <v>160.86</v>
      </c>
      <c r="M142">
        <v>40.87</v>
      </c>
      <c r="N142">
        <v>5720.64</v>
      </c>
      <c r="O142">
        <v>1629.85</v>
      </c>
      <c r="P142">
        <v>4090.79</v>
      </c>
      <c r="Q142">
        <v>43.6</v>
      </c>
      <c r="R142">
        <v>209.12</v>
      </c>
      <c r="S142">
        <v>359</v>
      </c>
      <c r="T142">
        <v>114</v>
      </c>
      <c r="U142">
        <v>5</v>
      </c>
      <c r="V142">
        <v>82</v>
      </c>
      <c r="W142">
        <v>25</v>
      </c>
      <c r="X142">
        <v>29.19</v>
      </c>
      <c r="Y142">
        <v>1.83</v>
      </c>
      <c r="Z142">
        <v>71.51000000000001</v>
      </c>
      <c r="AA142">
        <v>2000</v>
      </c>
      <c r="AB142">
        <v>1150.68</v>
      </c>
      <c r="AC142">
        <v>316.18</v>
      </c>
      <c r="AD142">
        <v>110</v>
      </c>
      <c r="AE142">
        <v>176.3</v>
      </c>
      <c r="AF142">
        <v>3753.16</v>
      </c>
      <c r="AG142">
        <v>84.91</v>
      </c>
      <c r="AH142">
        <v>1.48</v>
      </c>
    </row>
    <row r="143" spans="1:34">
      <c r="A143" t="s">
        <v>652</v>
      </c>
      <c r="B143" t="s">
        <v>258</v>
      </c>
      <c r="C143" t="b">
        <v>0</v>
      </c>
      <c r="D143" t="b">
        <v>0</v>
      </c>
      <c r="E143" t="s">
        <v>1471</v>
      </c>
      <c r="F143" t="s">
        <v>82</v>
      </c>
      <c r="G143" t="s">
        <v>81</v>
      </c>
      <c r="H143">
        <v>33.1</v>
      </c>
      <c r="I143">
        <v>25</v>
      </c>
      <c r="J143">
        <v>184</v>
      </c>
      <c r="K143">
        <v>5414.62</v>
      </c>
      <c r="L143">
        <v>179.98</v>
      </c>
      <c r="M143">
        <v>0</v>
      </c>
      <c r="N143">
        <v>5234.64</v>
      </c>
      <c r="O143">
        <v>1454.45</v>
      </c>
      <c r="P143">
        <v>3780.19</v>
      </c>
      <c r="Q143">
        <v>38.46</v>
      </c>
      <c r="R143">
        <v>215.03</v>
      </c>
      <c r="S143">
        <v>339</v>
      </c>
      <c r="T143">
        <v>111</v>
      </c>
      <c r="U143">
        <v>12</v>
      </c>
      <c r="V143">
        <v>73</v>
      </c>
      <c r="W143">
        <v>25</v>
      </c>
      <c r="X143">
        <v>28.45</v>
      </c>
      <c r="Y143">
        <v>1.84</v>
      </c>
      <c r="Z143">
        <v>72.20999999999999</v>
      </c>
      <c r="AA143">
        <v>2000</v>
      </c>
      <c r="AB143">
        <v>1150.68</v>
      </c>
      <c r="AC143">
        <v>346.69</v>
      </c>
      <c r="AD143">
        <v>110</v>
      </c>
      <c r="AE143">
        <v>194.58</v>
      </c>
      <c r="AF143">
        <v>3801.95</v>
      </c>
      <c r="AG143">
        <v>-275.25</v>
      </c>
      <c r="AH143">
        <v>-5.26</v>
      </c>
    </row>
    <row r="144" spans="1:34">
      <c r="A144" t="s">
        <v>653</v>
      </c>
      <c r="B144" t="s">
        <v>259</v>
      </c>
      <c r="C144" t="b">
        <v>0</v>
      </c>
      <c r="D144" t="b">
        <v>0</v>
      </c>
      <c r="E144" t="s">
        <v>1471</v>
      </c>
      <c r="F144" t="s">
        <v>82</v>
      </c>
      <c r="G144" t="s">
        <v>81</v>
      </c>
      <c r="H144">
        <v>31.8</v>
      </c>
      <c r="I144">
        <v>26</v>
      </c>
      <c r="J144">
        <v>229</v>
      </c>
      <c r="K144">
        <v>6303.24</v>
      </c>
      <c r="L144">
        <v>206.94</v>
      </c>
      <c r="M144">
        <v>46.96</v>
      </c>
      <c r="N144">
        <v>6049.34</v>
      </c>
      <c r="O144">
        <v>1705.1</v>
      </c>
      <c r="P144">
        <v>4344.24</v>
      </c>
      <c r="Q144">
        <v>41.09</v>
      </c>
      <c r="R144">
        <v>325.83</v>
      </c>
      <c r="S144">
        <v>377</v>
      </c>
      <c r="T144">
        <v>147</v>
      </c>
      <c r="U144">
        <v>10</v>
      </c>
      <c r="V144">
        <v>82</v>
      </c>
      <c r="W144">
        <v>42</v>
      </c>
      <c r="X144">
        <v>26.42</v>
      </c>
      <c r="Y144">
        <v>1.65</v>
      </c>
      <c r="Z144">
        <v>71.81</v>
      </c>
      <c r="AA144">
        <v>2000</v>
      </c>
      <c r="AB144">
        <v>1150.68</v>
      </c>
      <c r="AC144">
        <v>309.23</v>
      </c>
      <c r="AD144">
        <v>110</v>
      </c>
      <c r="AE144">
        <v>193.48</v>
      </c>
      <c r="AF144">
        <v>3763.39</v>
      </c>
      <c r="AG144">
        <v>213.93</v>
      </c>
      <c r="AH144">
        <v>3.54</v>
      </c>
    </row>
    <row r="145" spans="1:34">
      <c r="A145" t="s">
        <v>654</v>
      </c>
      <c r="B145" t="s">
        <v>260</v>
      </c>
      <c r="C145" t="b">
        <v>0</v>
      </c>
      <c r="D145" t="b">
        <v>0</v>
      </c>
      <c r="E145" t="s">
        <v>1471</v>
      </c>
      <c r="F145" t="s">
        <v>82</v>
      </c>
      <c r="G145" t="s">
        <v>81</v>
      </c>
      <c r="H145">
        <v>33.1</v>
      </c>
      <c r="I145">
        <v>27</v>
      </c>
      <c r="J145">
        <v>178</v>
      </c>
      <c r="K145">
        <v>5042.32</v>
      </c>
      <c r="L145">
        <v>137.38</v>
      </c>
      <c r="M145">
        <v>20</v>
      </c>
      <c r="N145">
        <v>4884.94</v>
      </c>
      <c r="O145">
        <v>1365.35</v>
      </c>
      <c r="P145">
        <v>3519.59</v>
      </c>
      <c r="Q145">
        <v>34.91</v>
      </c>
      <c r="R145">
        <v>179.82</v>
      </c>
      <c r="S145">
        <v>309</v>
      </c>
      <c r="T145">
        <v>108</v>
      </c>
      <c r="U145">
        <v>9</v>
      </c>
      <c r="V145">
        <v>70</v>
      </c>
      <c r="W145">
        <v>25</v>
      </c>
      <c r="X145">
        <v>27.44</v>
      </c>
      <c r="Y145">
        <v>1.74</v>
      </c>
      <c r="Z145">
        <v>72.05</v>
      </c>
      <c r="AA145">
        <v>2000</v>
      </c>
      <c r="AB145">
        <v>1150.68</v>
      </c>
      <c r="AC145">
        <v>342.74</v>
      </c>
      <c r="AD145">
        <v>110</v>
      </c>
      <c r="AE145">
        <v>128.29</v>
      </c>
      <c r="AF145">
        <v>3731.71</v>
      </c>
      <c r="AG145">
        <v>-426.85</v>
      </c>
      <c r="AH145">
        <v>-8.74</v>
      </c>
    </row>
    <row r="146" spans="1:34">
      <c r="A146" t="s">
        <v>655</v>
      </c>
      <c r="B146" t="s">
        <v>261</v>
      </c>
      <c r="C146" t="b">
        <v>0</v>
      </c>
      <c r="D146" t="b">
        <v>0</v>
      </c>
      <c r="E146" t="s">
        <v>1471</v>
      </c>
      <c r="F146" t="s">
        <v>82</v>
      </c>
      <c r="G146" t="s">
        <v>1477</v>
      </c>
      <c r="H146">
        <v>35.7</v>
      </c>
      <c r="I146">
        <v>0</v>
      </c>
      <c r="J146">
        <v>296</v>
      </c>
      <c r="K146">
        <v>9705.799999999999</v>
      </c>
      <c r="L146">
        <v>163.45</v>
      </c>
      <c r="M146">
        <v>17.39</v>
      </c>
      <c r="N146">
        <v>9524.959999999999</v>
      </c>
      <c r="O146">
        <v>2649.75</v>
      </c>
      <c r="P146">
        <v>6875.21</v>
      </c>
      <c r="Q146">
        <v>60.64</v>
      </c>
      <c r="R146">
        <v>490.68</v>
      </c>
      <c r="S146">
        <v>588</v>
      </c>
      <c r="T146">
        <v>186</v>
      </c>
      <c r="U146">
        <v>4</v>
      </c>
      <c r="V146">
        <v>110</v>
      </c>
      <c r="W146">
        <v>52</v>
      </c>
      <c r="X146">
        <v>32.18</v>
      </c>
      <c r="Y146">
        <v>1.99</v>
      </c>
      <c r="Z146">
        <v>72.18000000000001</v>
      </c>
      <c r="AA146">
        <v>2000</v>
      </c>
      <c r="AB146">
        <v>1150.68</v>
      </c>
      <c r="AC146">
        <v>357.06</v>
      </c>
      <c r="AD146">
        <v>110</v>
      </c>
      <c r="AE146">
        <v>183.07</v>
      </c>
      <c r="AF146">
        <v>3800.81</v>
      </c>
      <c r="AG146">
        <v>2523.08</v>
      </c>
      <c r="AH146">
        <v>26.49</v>
      </c>
    </row>
    <row r="147" spans="1:34">
      <c r="A147" t="s">
        <v>656</v>
      </c>
      <c r="B147" t="s">
        <v>262</v>
      </c>
      <c r="C147" t="b">
        <v>1</v>
      </c>
      <c r="D147" t="b">
        <v>0</v>
      </c>
      <c r="E147" t="s">
        <v>1471</v>
      </c>
      <c r="F147" t="s">
        <v>82</v>
      </c>
      <c r="G147" t="s">
        <v>1477</v>
      </c>
      <c r="H147">
        <v>34.9</v>
      </c>
      <c r="I147">
        <v>1</v>
      </c>
      <c r="J147">
        <v>203</v>
      </c>
      <c r="K147">
        <v>8526.66</v>
      </c>
      <c r="L147">
        <v>192.15</v>
      </c>
      <c r="M147">
        <v>45.22</v>
      </c>
      <c r="N147">
        <v>8289.290000000001</v>
      </c>
      <c r="O147">
        <v>2400.5</v>
      </c>
      <c r="P147">
        <v>5888.79</v>
      </c>
      <c r="Q147">
        <v>62.5</v>
      </c>
      <c r="R147">
        <v>337.88</v>
      </c>
      <c r="S147">
        <v>492</v>
      </c>
      <c r="T147">
        <v>122</v>
      </c>
      <c r="U147">
        <v>5</v>
      </c>
      <c r="V147">
        <v>81</v>
      </c>
      <c r="W147">
        <v>37</v>
      </c>
      <c r="X147">
        <v>40.83</v>
      </c>
      <c r="Y147">
        <v>2.42</v>
      </c>
      <c r="Z147">
        <v>71.04000000000001</v>
      </c>
      <c r="AA147">
        <v>2000</v>
      </c>
      <c r="AB147">
        <v>1150.68</v>
      </c>
      <c r="AC147">
        <v>360.2</v>
      </c>
      <c r="AD147">
        <v>110</v>
      </c>
      <c r="AE147">
        <v>188.12</v>
      </c>
      <c r="AF147">
        <v>3809</v>
      </c>
      <c r="AG147">
        <v>1679.41</v>
      </c>
      <c r="AH147">
        <v>20.26</v>
      </c>
    </row>
    <row r="148" spans="1:34">
      <c r="A148" t="s">
        <v>657</v>
      </c>
      <c r="B148" t="s">
        <v>263</v>
      </c>
      <c r="C148" t="b">
        <v>1</v>
      </c>
      <c r="D148" t="b">
        <v>0</v>
      </c>
      <c r="E148" t="s">
        <v>1471</v>
      </c>
      <c r="F148" t="s">
        <v>82</v>
      </c>
      <c r="G148" t="s">
        <v>1477</v>
      </c>
      <c r="H148">
        <v>35.7</v>
      </c>
      <c r="I148">
        <v>2</v>
      </c>
      <c r="J148">
        <v>195</v>
      </c>
      <c r="K148">
        <v>8391.049999999999</v>
      </c>
      <c r="L148">
        <v>133.9</v>
      </c>
      <c r="M148">
        <v>0</v>
      </c>
      <c r="N148">
        <v>8257.15</v>
      </c>
      <c r="O148">
        <v>2328.4</v>
      </c>
      <c r="P148">
        <v>5928.75</v>
      </c>
      <c r="Q148">
        <v>54.21</v>
      </c>
      <c r="R148">
        <v>458.25</v>
      </c>
      <c r="S148">
        <v>496</v>
      </c>
      <c r="T148">
        <v>117</v>
      </c>
      <c r="U148">
        <v>11</v>
      </c>
      <c r="V148">
        <v>78</v>
      </c>
      <c r="W148">
        <v>43</v>
      </c>
      <c r="X148">
        <v>42.34</v>
      </c>
      <c r="Y148">
        <v>2.54</v>
      </c>
      <c r="Z148">
        <v>71.8</v>
      </c>
      <c r="AA148">
        <v>2000</v>
      </c>
      <c r="AB148">
        <v>1150.68</v>
      </c>
      <c r="AC148">
        <v>354.95</v>
      </c>
      <c r="AD148">
        <v>110</v>
      </c>
      <c r="AE148">
        <v>146.86</v>
      </c>
      <c r="AF148">
        <v>3762.49</v>
      </c>
      <c r="AG148">
        <v>1653.8</v>
      </c>
      <c r="AH148">
        <v>20.03</v>
      </c>
    </row>
    <row r="149" spans="1:34">
      <c r="A149" t="s">
        <v>386</v>
      </c>
      <c r="B149" t="s">
        <v>75</v>
      </c>
      <c r="C149" t="b">
        <v>0</v>
      </c>
      <c r="D149" t="b">
        <v>0</v>
      </c>
      <c r="E149" t="s">
        <v>1471</v>
      </c>
      <c r="F149" t="s">
        <v>82</v>
      </c>
      <c r="G149" t="s">
        <v>1477</v>
      </c>
      <c r="H149">
        <v>35.2</v>
      </c>
      <c r="I149">
        <v>3</v>
      </c>
      <c r="J149">
        <v>201</v>
      </c>
      <c r="K149">
        <v>6630.2</v>
      </c>
      <c r="L149">
        <v>172.17</v>
      </c>
      <c r="M149">
        <v>11.3</v>
      </c>
      <c r="N149">
        <v>6446.73</v>
      </c>
      <c r="O149">
        <v>1883.5</v>
      </c>
      <c r="P149">
        <v>4563.23</v>
      </c>
      <c r="Q149">
        <v>45.67</v>
      </c>
      <c r="R149">
        <v>359.86</v>
      </c>
      <c r="S149">
        <v>398</v>
      </c>
      <c r="T149">
        <v>123</v>
      </c>
      <c r="U149">
        <v>9</v>
      </c>
      <c r="V149">
        <v>78</v>
      </c>
      <c r="W149">
        <v>39</v>
      </c>
      <c r="X149">
        <v>32.07</v>
      </c>
      <c r="Y149">
        <v>1.98</v>
      </c>
      <c r="Z149">
        <v>70.78</v>
      </c>
      <c r="AA149">
        <v>2000</v>
      </c>
      <c r="AB149">
        <v>1150.68</v>
      </c>
      <c r="AC149">
        <v>346.28</v>
      </c>
      <c r="AD149">
        <v>110</v>
      </c>
      <c r="AE149">
        <v>185.62</v>
      </c>
      <c r="AF149">
        <v>3792.58</v>
      </c>
      <c r="AG149">
        <v>365.12</v>
      </c>
      <c r="AH149">
        <v>5.66</v>
      </c>
    </row>
    <row r="150" spans="1:34">
      <c r="A150" t="s">
        <v>658</v>
      </c>
      <c r="B150" t="s">
        <v>258</v>
      </c>
      <c r="C150" t="b">
        <v>0</v>
      </c>
      <c r="D150" t="b">
        <v>0</v>
      </c>
      <c r="E150" t="s">
        <v>1471</v>
      </c>
      <c r="F150" t="s">
        <v>82</v>
      </c>
      <c r="G150" t="s">
        <v>1477</v>
      </c>
      <c r="H150">
        <v>35.3</v>
      </c>
      <c r="I150">
        <v>4</v>
      </c>
      <c r="J150">
        <v>187</v>
      </c>
      <c r="K150">
        <v>6518.88</v>
      </c>
      <c r="L150">
        <v>217.13</v>
      </c>
      <c r="M150">
        <v>19.13</v>
      </c>
      <c r="N150">
        <v>6282.62</v>
      </c>
      <c r="O150">
        <v>1738.6</v>
      </c>
      <c r="P150">
        <v>4544.02</v>
      </c>
      <c r="Q150">
        <v>45.2</v>
      </c>
      <c r="R150">
        <v>278.38</v>
      </c>
      <c r="S150">
        <v>403</v>
      </c>
      <c r="T150">
        <v>114</v>
      </c>
      <c r="U150">
        <v>4</v>
      </c>
      <c r="V150">
        <v>73</v>
      </c>
      <c r="W150">
        <v>27</v>
      </c>
      <c r="X150">
        <v>33.6</v>
      </c>
      <c r="Y150">
        <v>2.16</v>
      </c>
      <c r="Z150">
        <v>72.33</v>
      </c>
      <c r="AA150">
        <v>2000</v>
      </c>
      <c r="AB150">
        <v>1150.68</v>
      </c>
      <c r="AC150">
        <v>352.48</v>
      </c>
      <c r="AD150">
        <v>110</v>
      </c>
      <c r="AE150">
        <v>165.28</v>
      </c>
      <c r="AF150">
        <v>3778.44</v>
      </c>
      <c r="AG150">
        <v>442</v>
      </c>
      <c r="AH150">
        <v>7.04</v>
      </c>
    </row>
    <row r="151" spans="1:34">
      <c r="A151" t="s">
        <v>659</v>
      </c>
      <c r="B151" t="s">
        <v>259</v>
      </c>
      <c r="C151" t="b">
        <v>0</v>
      </c>
      <c r="D151" t="b">
        <v>0</v>
      </c>
      <c r="E151" t="s">
        <v>1471</v>
      </c>
      <c r="F151" t="s">
        <v>82</v>
      </c>
      <c r="G151" t="s">
        <v>81</v>
      </c>
      <c r="H151">
        <v>35.7</v>
      </c>
      <c r="I151">
        <v>5</v>
      </c>
      <c r="J151">
        <v>209</v>
      </c>
      <c r="K151">
        <v>6071.98</v>
      </c>
      <c r="L151">
        <v>161.74</v>
      </c>
      <c r="M151">
        <v>26.09</v>
      </c>
      <c r="N151">
        <v>5884.15</v>
      </c>
      <c r="O151">
        <v>1673.45</v>
      </c>
      <c r="P151">
        <v>4210.7</v>
      </c>
      <c r="Q151">
        <v>38.84</v>
      </c>
      <c r="R151">
        <v>359.65</v>
      </c>
      <c r="S151">
        <v>368</v>
      </c>
      <c r="T151">
        <v>127</v>
      </c>
      <c r="U151">
        <v>7</v>
      </c>
      <c r="V151">
        <v>82</v>
      </c>
      <c r="W151">
        <v>39</v>
      </c>
      <c r="X151">
        <v>28.15</v>
      </c>
      <c r="Y151">
        <v>1.76</v>
      </c>
      <c r="Z151">
        <v>71.56</v>
      </c>
      <c r="AA151">
        <v>2000</v>
      </c>
      <c r="AB151">
        <v>1150.68</v>
      </c>
      <c r="AC151">
        <v>368.78</v>
      </c>
      <c r="AD151">
        <v>110</v>
      </c>
      <c r="AE151">
        <v>181.53</v>
      </c>
      <c r="AF151">
        <v>3810.99</v>
      </c>
      <c r="AG151">
        <v>1.22</v>
      </c>
      <c r="AH151">
        <v>0.02</v>
      </c>
    </row>
    <row r="152" spans="1:34">
      <c r="A152" t="s">
        <v>660</v>
      </c>
      <c r="B152" t="s">
        <v>260</v>
      </c>
      <c r="C152" t="b">
        <v>0</v>
      </c>
      <c r="D152" t="b">
        <v>0</v>
      </c>
      <c r="E152" t="s">
        <v>1471</v>
      </c>
      <c r="F152" t="s">
        <v>82</v>
      </c>
      <c r="G152" t="s">
        <v>81</v>
      </c>
      <c r="H152">
        <v>35.9</v>
      </c>
      <c r="I152">
        <v>6</v>
      </c>
      <c r="J152">
        <v>193</v>
      </c>
      <c r="K152">
        <v>5906.75</v>
      </c>
      <c r="L152">
        <v>152.16</v>
      </c>
      <c r="M152">
        <v>16.52</v>
      </c>
      <c r="N152">
        <v>5738.07</v>
      </c>
      <c r="O152">
        <v>1666.85</v>
      </c>
      <c r="P152">
        <v>4071.22</v>
      </c>
      <c r="Q152">
        <v>44.82</v>
      </c>
      <c r="R152">
        <v>193.23</v>
      </c>
      <c r="S152">
        <v>355</v>
      </c>
      <c r="T152">
        <v>112</v>
      </c>
      <c r="U152">
        <v>7</v>
      </c>
      <c r="V152">
        <v>81</v>
      </c>
      <c r="W152">
        <v>25</v>
      </c>
      <c r="X152">
        <v>29.73</v>
      </c>
      <c r="Y152">
        <v>1.84</v>
      </c>
      <c r="Z152">
        <v>70.95</v>
      </c>
      <c r="AA152">
        <v>2000</v>
      </c>
      <c r="AB152">
        <v>1150.68</v>
      </c>
      <c r="AC152">
        <v>354.66</v>
      </c>
      <c r="AD152">
        <v>110</v>
      </c>
      <c r="AE152">
        <v>194.19</v>
      </c>
      <c r="AF152">
        <v>3809.53</v>
      </c>
      <c r="AG152">
        <v>23.64</v>
      </c>
      <c r="AH152">
        <v>0.41</v>
      </c>
    </row>
    <row r="153" spans="1:34">
      <c r="A153" t="s">
        <v>661</v>
      </c>
      <c r="B153" t="s">
        <v>261</v>
      </c>
      <c r="C153" t="b">
        <v>0</v>
      </c>
      <c r="D153" t="b">
        <v>0</v>
      </c>
      <c r="E153" t="s">
        <v>1472</v>
      </c>
      <c r="F153" t="s">
        <v>82</v>
      </c>
      <c r="G153" t="s">
        <v>81</v>
      </c>
      <c r="H153">
        <v>36.2</v>
      </c>
      <c r="I153">
        <v>7</v>
      </c>
      <c r="J153">
        <v>246</v>
      </c>
      <c r="K153">
        <v>8572.860000000001</v>
      </c>
      <c r="L153">
        <v>104.34</v>
      </c>
      <c r="M153">
        <v>0</v>
      </c>
      <c r="N153">
        <v>8468.52</v>
      </c>
      <c r="O153">
        <v>2444.95</v>
      </c>
      <c r="P153">
        <v>6023.57</v>
      </c>
      <c r="Q153">
        <v>53.12</v>
      </c>
      <c r="R153">
        <v>489.41</v>
      </c>
      <c r="S153">
        <v>505</v>
      </c>
      <c r="T153">
        <v>148</v>
      </c>
      <c r="U153">
        <v>5</v>
      </c>
      <c r="V153">
        <v>98</v>
      </c>
      <c r="W153">
        <v>53</v>
      </c>
      <c r="X153">
        <v>34.42</v>
      </c>
      <c r="Y153">
        <v>2.05</v>
      </c>
      <c r="Z153">
        <v>71.13</v>
      </c>
      <c r="AA153">
        <v>2066.67</v>
      </c>
      <c r="AB153">
        <v>1150.68</v>
      </c>
      <c r="AC153">
        <v>358.38</v>
      </c>
      <c r="AD153">
        <v>110</v>
      </c>
      <c r="AE153">
        <v>174.75</v>
      </c>
      <c r="AF153">
        <v>3860.48</v>
      </c>
      <c r="AG153">
        <v>1620.56</v>
      </c>
      <c r="AH153">
        <v>19.14</v>
      </c>
    </row>
    <row r="154" spans="1:34">
      <c r="A154" t="s">
        <v>662</v>
      </c>
      <c r="B154" t="s">
        <v>262</v>
      </c>
      <c r="C154" t="b">
        <v>1</v>
      </c>
      <c r="D154" t="b">
        <v>0</v>
      </c>
      <c r="E154" t="s">
        <v>1472</v>
      </c>
      <c r="F154" t="s">
        <v>82</v>
      </c>
      <c r="G154" t="s">
        <v>81</v>
      </c>
      <c r="H154">
        <v>34.6</v>
      </c>
      <c r="I154">
        <v>8</v>
      </c>
      <c r="J154">
        <v>171</v>
      </c>
      <c r="K154">
        <v>6966.77</v>
      </c>
      <c r="L154">
        <v>146.08</v>
      </c>
      <c r="M154">
        <v>16.52</v>
      </c>
      <c r="N154">
        <v>6804.17</v>
      </c>
      <c r="O154">
        <v>1968.9</v>
      </c>
      <c r="P154">
        <v>4835.27</v>
      </c>
      <c r="Q154">
        <v>41.9</v>
      </c>
      <c r="R154">
        <v>384.35</v>
      </c>
      <c r="S154">
        <v>401</v>
      </c>
      <c r="T154">
        <v>98</v>
      </c>
      <c r="U154">
        <v>7</v>
      </c>
      <c r="V154">
        <v>73</v>
      </c>
      <c r="W154">
        <v>43</v>
      </c>
      <c r="X154">
        <v>39.79</v>
      </c>
      <c r="Y154">
        <v>2.35</v>
      </c>
      <c r="Z154">
        <v>71.06</v>
      </c>
      <c r="AA154">
        <v>2066.67</v>
      </c>
      <c r="AB154">
        <v>1150.68</v>
      </c>
      <c r="AC154">
        <v>338.74</v>
      </c>
      <c r="AD154">
        <v>110</v>
      </c>
      <c r="AE154">
        <v>184.59</v>
      </c>
      <c r="AF154">
        <v>3850.68</v>
      </c>
      <c r="AG154">
        <v>558.34</v>
      </c>
      <c r="AH154">
        <v>8.210000000000001</v>
      </c>
    </row>
    <row r="155" spans="1:34">
      <c r="A155" t="s">
        <v>663</v>
      </c>
      <c r="B155" t="s">
        <v>263</v>
      </c>
      <c r="C155" t="b">
        <v>1</v>
      </c>
      <c r="D155" t="b">
        <v>0</v>
      </c>
      <c r="E155" t="s">
        <v>1472</v>
      </c>
      <c r="F155" t="s">
        <v>82</v>
      </c>
      <c r="G155" t="s">
        <v>81</v>
      </c>
      <c r="H155">
        <v>35.6</v>
      </c>
      <c r="I155">
        <v>9</v>
      </c>
      <c r="J155">
        <v>173</v>
      </c>
      <c r="K155">
        <v>7238.97</v>
      </c>
      <c r="L155">
        <v>119.12</v>
      </c>
      <c r="M155">
        <v>57.39</v>
      </c>
      <c r="N155">
        <v>7062.46</v>
      </c>
      <c r="O155">
        <v>2064.25</v>
      </c>
      <c r="P155">
        <v>4998.21</v>
      </c>
      <c r="Q155">
        <v>53.78</v>
      </c>
      <c r="R155">
        <v>434.85</v>
      </c>
      <c r="S155">
        <v>420</v>
      </c>
      <c r="T155">
        <v>102</v>
      </c>
      <c r="U155">
        <v>2</v>
      </c>
      <c r="V155">
        <v>71</v>
      </c>
      <c r="W155">
        <v>36</v>
      </c>
      <c r="X155">
        <v>40.82</v>
      </c>
      <c r="Y155">
        <v>2.43</v>
      </c>
      <c r="Z155">
        <v>70.77</v>
      </c>
      <c r="AA155">
        <v>2066.67</v>
      </c>
      <c r="AB155">
        <v>1150.68</v>
      </c>
      <c r="AC155">
        <v>363.54</v>
      </c>
      <c r="AD155">
        <v>110</v>
      </c>
      <c r="AE155">
        <v>182.37</v>
      </c>
      <c r="AF155">
        <v>3873.26</v>
      </c>
      <c r="AG155">
        <v>636.3200000000001</v>
      </c>
      <c r="AH155">
        <v>9.01</v>
      </c>
    </row>
    <row r="156" spans="1:34">
      <c r="A156" t="s">
        <v>387</v>
      </c>
      <c r="B156" t="s">
        <v>75</v>
      </c>
      <c r="C156" t="b">
        <v>0</v>
      </c>
      <c r="D156" t="b">
        <v>0</v>
      </c>
      <c r="E156" t="s">
        <v>1472</v>
      </c>
      <c r="F156" t="s">
        <v>82</v>
      </c>
      <c r="G156" t="s">
        <v>81</v>
      </c>
      <c r="H156">
        <v>35.8</v>
      </c>
      <c r="I156">
        <v>10</v>
      </c>
      <c r="J156">
        <v>186</v>
      </c>
      <c r="K156">
        <v>6973.75</v>
      </c>
      <c r="L156">
        <v>318.52</v>
      </c>
      <c r="M156">
        <v>0</v>
      </c>
      <c r="N156">
        <v>6655.23</v>
      </c>
      <c r="O156">
        <v>2117</v>
      </c>
      <c r="P156">
        <v>4538.23</v>
      </c>
      <c r="Q156">
        <v>39.76</v>
      </c>
      <c r="R156">
        <v>308.57</v>
      </c>
      <c r="S156">
        <v>393</v>
      </c>
      <c r="T156">
        <v>118</v>
      </c>
      <c r="U156">
        <v>3</v>
      </c>
      <c r="V156">
        <v>68</v>
      </c>
      <c r="W156">
        <v>33</v>
      </c>
      <c r="X156">
        <v>35.78</v>
      </c>
      <c r="Y156">
        <v>2.11</v>
      </c>
      <c r="Z156">
        <v>68.19</v>
      </c>
      <c r="AA156">
        <v>2066.67</v>
      </c>
      <c r="AB156">
        <v>1150.68</v>
      </c>
      <c r="AC156">
        <v>371.42</v>
      </c>
      <c r="AD156">
        <v>110</v>
      </c>
      <c r="AE156">
        <v>179.93</v>
      </c>
      <c r="AF156">
        <v>3878.7</v>
      </c>
      <c r="AG156">
        <v>311.2</v>
      </c>
      <c r="AH156">
        <v>4.68</v>
      </c>
    </row>
    <row r="157" spans="1:34">
      <c r="A157" t="s">
        <v>664</v>
      </c>
      <c r="B157" t="s">
        <v>258</v>
      </c>
      <c r="C157" t="b">
        <v>0</v>
      </c>
      <c r="D157" t="b">
        <v>0</v>
      </c>
      <c r="E157" t="s">
        <v>1472</v>
      </c>
      <c r="F157" t="s">
        <v>82</v>
      </c>
      <c r="G157" t="s">
        <v>81</v>
      </c>
      <c r="H157">
        <v>35.9</v>
      </c>
      <c r="I157">
        <v>11</v>
      </c>
      <c r="J157">
        <v>137</v>
      </c>
      <c r="K157">
        <v>4026.82</v>
      </c>
      <c r="L157">
        <v>155.64</v>
      </c>
      <c r="M157">
        <v>19.13</v>
      </c>
      <c r="N157">
        <v>3852.05</v>
      </c>
      <c r="O157">
        <v>1105.6</v>
      </c>
      <c r="P157">
        <v>2746.45</v>
      </c>
      <c r="Q157">
        <v>24.59</v>
      </c>
      <c r="R157">
        <v>197.8</v>
      </c>
      <c r="S157">
        <v>247</v>
      </c>
      <c r="T157">
        <v>90</v>
      </c>
      <c r="U157">
        <v>4</v>
      </c>
      <c r="V157">
        <v>47</v>
      </c>
      <c r="W157">
        <v>25</v>
      </c>
      <c r="X157">
        <v>28.12</v>
      </c>
      <c r="Y157">
        <v>1.8</v>
      </c>
      <c r="Z157">
        <v>71.3</v>
      </c>
      <c r="AA157">
        <v>2066.67</v>
      </c>
      <c r="AB157">
        <v>1150.68</v>
      </c>
      <c r="AC157">
        <v>361.56</v>
      </c>
      <c r="AD157">
        <v>110</v>
      </c>
      <c r="AE157">
        <v>218.85</v>
      </c>
      <c r="AF157">
        <v>3907.76</v>
      </c>
      <c r="AG157">
        <v>-1383.7</v>
      </c>
      <c r="AH157">
        <v>-35.92</v>
      </c>
    </row>
    <row r="158" spans="1:34">
      <c r="A158" t="s">
        <v>665</v>
      </c>
      <c r="B158" t="s">
        <v>259</v>
      </c>
      <c r="C158" t="b">
        <v>0</v>
      </c>
      <c r="D158" t="b">
        <v>0</v>
      </c>
      <c r="E158" t="s">
        <v>1472</v>
      </c>
      <c r="F158" t="s">
        <v>82</v>
      </c>
      <c r="G158" t="s">
        <v>81</v>
      </c>
      <c r="H158">
        <v>34.6</v>
      </c>
      <c r="I158">
        <v>12</v>
      </c>
      <c r="J158">
        <v>183</v>
      </c>
      <c r="K158">
        <v>5563.32</v>
      </c>
      <c r="L158">
        <v>143.47</v>
      </c>
      <c r="M158">
        <v>0</v>
      </c>
      <c r="N158">
        <v>5419.85</v>
      </c>
      <c r="O158">
        <v>1582.65</v>
      </c>
      <c r="P158">
        <v>3837.2</v>
      </c>
      <c r="Q158">
        <v>34.75</v>
      </c>
      <c r="R158">
        <v>359.68</v>
      </c>
      <c r="S158">
        <v>337</v>
      </c>
      <c r="T158">
        <v>108</v>
      </c>
      <c r="U158">
        <v>7</v>
      </c>
      <c r="V158">
        <v>75</v>
      </c>
      <c r="W158">
        <v>42</v>
      </c>
      <c r="X158">
        <v>29.62</v>
      </c>
      <c r="Y158">
        <v>1.84</v>
      </c>
      <c r="Z158">
        <v>70.8</v>
      </c>
      <c r="AA158">
        <v>2066.67</v>
      </c>
      <c r="AB158">
        <v>1150.68</v>
      </c>
      <c r="AC158">
        <v>350.83</v>
      </c>
      <c r="AD158">
        <v>110</v>
      </c>
      <c r="AE158">
        <v>188.51</v>
      </c>
      <c r="AF158">
        <v>3866.69</v>
      </c>
      <c r="AG158">
        <v>-423.92</v>
      </c>
      <c r="AH158">
        <v>-7.82</v>
      </c>
    </row>
    <row r="159" spans="1:34">
      <c r="A159" t="s">
        <v>666</v>
      </c>
      <c r="B159" t="s">
        <v>260</v>
      </c>
      <c r="C159" t="b">
        <v>0</v>
      </c>
      <c r="D159" t="b">
        <v>0</v>
      </c>
      <c r="E159" t="s">
        <v>1472</v>
      </c>
      <c r="F159" t="s">
        <v>82</v>
      </c>
      <c r="G159" t="s">
        <v>81</v>
      </c>
      <c r="H159">
        <v>35</v>
      </c>
      <c r="I159">
        <v>13</v>
      </c>
      <c r="J159">
        <v>184</v>
      </c>
      <c r="K159">
        <v>5548.56</v>
      </c>
      <c r="L159">
        <v>80.87</v>
      </c>
      <c r="M159">
        <v>6.96</v>
      </c>
      <c r="N159">
        <v>5460.73</v>
      </c>
      <c r="O159">
        <v>1536.7</v>
      </c>
      <c r="P159">
        <v>3924.03</v>
      </c>
      <c r="Q159">
        <v>38.41</v>
      </c>
      <c r="R159">
        <v>198.42</v>
      </c>
      <c r="S159">
        <v>333</v>
      </c>
      <c r="T159">
        <v>98</v>
      </c>
      <c r="U159">
        <v>7</v>
      </c>
      <c r="V159">
        <v>86</v>
      </c>
      <c r="W159">
        <v>25</v>
      </c>
      <c r="X159">
        <v>29.68</v>
      </c>
      <c r="Y159">
        <v>1.81</v>
      </c>
      <c r="Z159">
        <v>71.86</v>
      </c>
      <c r="AA159">
        <v>2066.67</v>
      </c>
      <c r="AB159">
        <v>1150.68</v>
      </c>
      <c r="AC159">
        <v>349.05</v>
      </c>
      <c r="AD159">
        <v>110</v>
      </c>
      <c r="AE159">
        <v>175.99</v>
      </c>
      <c r="AF159">
        <v>3852.39</v>
      </c>
      <c r="AG159">
        <v>-165.19</v>
      </c>
      <c r="AH159">
        <v>-3.03</v>
      </c>
    </row>
    <row r="160" spans="1:34">
      <c r="A160" t="s">
        <v>667</v>
      </c>
      <c r="B160" t="s">
        <v>261</v>
      </c>
      <c r="C160" t="b">
        <v>0</v>
      </c>
      <c r="D160" t="b">
        <v>0</v>
      </c>
      <c r="E160" t="s">
        <v>1472</v>
      </c>
      <c r="F160" t="s">
        <v>82</v>
      </c>
      <c r="G160" t="s">
        <v>81</v>
      </c>
      <c r="H160">
        <v>35.9</v>
      </c>
      <c r="I160">
        <v>14</v>
      </c>
      <c r="J160">
        <v>240</v>
      </c>
      <c r="K160">
        <v>8124.16</v>
      </c>
      <c r="L160">
        <v>153.03</v>
      </c>
      <c r="M160">
        <v>0</v>
      </c>
      <c r="N160">
        <v>7971.13</v>
      </c>
      <c r="O160">
        <v>2281.2</v>
      </c>
      <c r="P160">
        <v>5689.93</v>
      </c>
      <c r="Q160">
        <v>57.61</v>
      </c>
      <c r="R160">
        <v>426.24</v>
      </c>
      <c r="S160">
        <v>483</v>
      </c>
      <c r="T160">
        <v>150</v>
      </c>
      <c r="U160">
        <v>13</v>
      </c>
      <c r="V160">
        <v>90</v>
      </c>
      <c r="W160">
        <v>46</v>
      </c>
      <c r="X160">
        <v>33.21</v>
      </c>
      <c r="Y160">
        <v>2.01</v>
      </c>
      <c r="Z160">
        <v>71.38</v>
      </c>
      <c r="AA160">
        <v>2066.67</v>
      </c>
      <c r="AB160">
        <v>1150.68</v>
      </c>
      <c r="AC160">
        <v>379.12</v>
      </c>
      <c r="AD160">
        <v>110</v>
      </c>
      <c r="AE160">
        <v>148.56</v>
      </c>
      <c r="AF160">
        <v>3855.03</v>
      </c>
      <c r="AG160">
        <v>1351.05</v>
      </c>
      <c r="AH160">
        <v>16.95</v>
      </c>
    </row>
    <row r="161" spans="1:34">
      <c r="A161" t="s">
        <v>668</v>
      </c>
      <c r="B161" t="s">
        <v>262</v>
      </c>
      <c r="C161" t="b">
        <v>1</v>
      </c>
      <c r="D161" t="b">
        <v>0</v>
      </c>
      <c r="E161" t="s">
        <v>1472</v>
      </c>
      <c r="F161" t="s">
        <v>82</v>
      </c>
      <c r="G161" t="s">
        <v>81</v>
      </c>
      <c r="H161">
        <v>38</v>
      </c>
      <c r="I161">
        <v>15</v>
      </c>
      <c r="J161">
        <v>184</v>
      </c>
      <c r="K161">
        <v>7849.43</v>
      </c>
      <c r="L161">
        <v>191.29</v>
      </c>
      <c r="M161">
        <v>0</v>
      </c>
      <c r="N161">
        <v>7658.14</v>
      </c>
      <c r="O161">
        <v>2277</v>
      </c>
      <c r="P161">
        <v>5381.14</v>
      </c>
      <c r="Q161">
        <v>49.02</v>
      </c>
      <c r="R161">
        <v>435.44</v>
      </c>
      <c r="S161">
        <v>463</v>
      </c>
      <c r="T161">
        <v>111</v>
      </c>
      <c r="U161">
        <v>2</v>
      </c>
      <c r="V161">
        <v>73</v>
      </c>
      <c r="W161">
        <v>45</v>
      </c>
      <c r="X161">
        <v>41.62</v>
      </c>
      <c r="Y161">
        <v>2.52</v>
      </c>
      <c r="Z161">
        <v>70.27</v>
      </c>
      <c r="AA161">
        <v>2066.67</v>
      </c>
      <c r="AB161">
        <v>1150.68</v>
      </c>
      <c r="AC161">
        <v>380.54</v>
      </c>
      <c r="AD161">
        <v>110</v>
      </c>
      <c r="AE161">
        <v>175.36</v>
      </c>
      <c r="AF161">
        <v>3883.25</v>
      </c>
      <c r="AG161">
        <v>1013.43</v>
      </c>
      <c r="AH161">
        <v>13.23</v>
      </c>
    </row>
    <row r="162" spans="1:34">
      <c r="A162" t="s">
        <v>669</v>
      </c>
      <c r="B162" t="s">
        <v>263</v>
      </c>
      <c r="C162" t="b">
        <v>1</v>
      </c>
      <c r="D162" t="b">
        <v>0</v>
      </c>
      <c r="E162" t="s">
        <v>1472</v>
      </c>
      <c r="F162" t="s">
        <v>82</v>
      </c>
      <c r="G162" t="s">
        <v>81</v>
      </c>
      <c r="H162">
        <v>39.7</v>
      </c>
      <c r="I162">
        <v>16</v>
      </c>
      <c r="J162">
        <v>180</v>
      </c>
      <c r="K162">
        <v>7053.72</v>
      </c>
      <c r="L162">
        <v>277.37</v>
      </c>
      <c r="M162">
        <v>0</v>
      </c>
      <c r="N162">
        <v>6776.35</v>
      </c>
      <c r="O162">
        <v>1985.1</v>
      </c>
      <c r="P162">
        <v>4791.25</v>
      </c>
      <c r="Q162">
        <v>40</v>
      </c>
      <c r="R162">
        <v>383.02</v>
      </c>
      <c r="S162">
        <v>416</v>
      </c>
      <c r="T162">
        <v>117</v>
      </c>
      <c r="U162">
        <v>8</v>
      </c>
      <c r="V162">
        <v>63</v>
      </c>
      <c r="W162">
        <v>39</v>
      </c>
      <c r="X162">
        <v>37.65</v>
      </c>
      <c r="Y162">
        <v>2.31</v>
      </c>
      <c r="Z162">
        <v>70.70999999999999</v>
      </c>
      <c r="AA162">
        <v>2066.67</v>
      </c>
      <c r="AB162">
        <v>1150.68</v>
      </c>
      <c r="AC162">
        <v>390.93</v>
      </c>
      <c r="AD162">
        <v>110</v>
      </c>
      <c r="AE162">
        <v>200.2</v>
      </c>
      <c r="AF162">
        <v>3918.48</v>
      </c>
      <c r="AG162">
        <v>449.75</v>
      </c>
      <c r="AH162">
        <v>6.64</v>
      </c>
    </row>
    <row r="163" spans="1:34">
      <c r="A163" t="s">
        <v>388</v>
      </c>
      <c r="B163" t="s">
        <v>75</v>
      </c>
      <c r="C163" t="b">
        <v>0</v>
      </c>
      <c r="D163" t="b">
        <v>0</v>
      </c>
      <c r="E163" t="s">
        <v>1472</v>
      </c>
      <c r="F163" t="s">
        <v>1474</v>
      </c>
      <c r="G163" t="s">
        <v>81</v>
      </c>
      <c r="H163">
        <v>37.6</v>
      </c>
      <c r="I163">
        <v>17</v>
      </c>
      <c r="J163">
        <v>207</v>
      </c>
      <c r="K163">
        <v>6272.03</v>
      </c>
      <c r="L163">
        <v>125.21</v>
      </c>
      <c r="M163">
        <v>0</v>
      </c>
      <c r="N163">
        <v>6146.82</v>
      </c>
      <c r="O163">
        <v>1747.1</v>
      </c>
      <c r="P163">
        <v>4399.72</v>
      </c>
      <c r="Q163">
        <v>42.47</v>
      </c>
      <c r="R163">
        <v>394.53</v>
      </c>
      <c r="S163">
        <v>360</v>
      </c>
      <c r="T163">
        <v>123</v>
      </c>
      <c r="U163">
        <v>4</v>
      </c>
      <c r="V163">
        <v>84</v>
      </c>
      <c r="W163">
        <v>43</v>
      </c>
      <c r="X163">
        <v>29.69</v>
      </c>
      <c r="Y163">
        <v>1.74</v>
      </c>
      <c r="Z163">
        <v>71.58</v>
      </c>
      <c r="AA163">
        <v>2066.67</v>
      </c>
      <c r="AB163">
        <v>1150.68</v>
      </c>
      <c r="AC163">
        <v>382.84</v>
      </c>
      <c r="AD163">
        <v>110</v>
      </c>
      <c r="AE163">
        <v>188.07</v>
      </c>
      <c r="AF163">
        <v>3898.26</v>
      </c>
      <c r="AG163">
        <v>64.45999999999999</v>
      </c>
      <c r="AH163">
        <v>1.05</v>
      </c>
    </row>
    <row r="164" spans="1:34">
      <c r="A164" t="s">
        <v>670</v>
      </c>
      <c r="B164" t="s">
        <v>258</v>
      </c>
      <c r="C164" t="b">
        <v>0</v>
      </c>
      <c r="D164" t="b">
        <v>0</v>
      </c>
      <c r="E164" t="s">
        <v>1472</v>
      </c>
      <c r="F164" t="s">
        <v>1474</v>
      </c>
      <c r="G164" t="s">
        <v>81</v>
      </c>
      <c r="H164">
        <v>36.6</v>
      </c>
      <c r="I164">
        <v>18</v>
      </c>
      <c r="J164">
        <v>180</v>
      </c>
      <c r="K164">
        <v>5385.95</v>
      </c>
      <c r="L164">
        <v>99.13</v>
      </c>
      <c r="M164">
        <v>0</v>
      </c>
      <c r="N164">
        <v>5286.82</v>
      </c>
      <c r="O164">
        <v>1546.1</v>
      </c>
      <c r="P164">
        <v>3740.72</v>
      </c>
      <c r="Q164">
        <v>37.09</v>
      </c>
      <c r="R164">
        <v>257.1</v>
      </c>
      <c r="S164">
        <v>309</v>
      </c>
      <c r="T164">
        <v>102</v>
      </c>
      <c r="U164">
        <v>7</v>
      </c>
      <c r="V164">
        <v>78</v>
      </c>
      <c r="W164">
        <v>29</v>
      </c>
      <c r="X164">
        <v>29.37</v>
      </c>
      <c r="Y164">
        <v>1.72</v>
      </c>
      <c r="Z164">
        <v>70.76000000000001</v>
      </c>
      <c r="AA164">
        <v>2066.67</v>
      </c>
      <c r="AB164">
        <v>1150.68</v>
      </c>
      <c r="AC164">
        <v>348.21</v>
      </c>
      <c r="AD164">
        <v>110</v>
      </c>
      <c r="AE164">
        <v>164.61</v>
      </c>
      <c r="AF164">
        <v>3840.17</v>
      </c>
      <c r="AG164">
        <v>-393.64</v>
      </c>
      <c r="AH164">
        <v>-7.45</v>
      </c>
    </row>
    <row r="165" spans="1:34">
      <c r="A165" t="s">
        <v>671</v>
      </c>
      <c r="B165" t="s">
        <v>259</v>
      </c>
      <c r="C165" t="b">
        <v>0</v>
      </c>
      <c r="D165" t="b">
        <v>0</v>
      </c>
      <c r="E165" t="s">
        <v>1472</v>
      </c>
      <c r="F165" t="s">
        <v>1474</v>
      </c>
      <c r="G165" t="s">
        <v>81</v>
      </c>
      <c r="H165">
        <v>37.5</v>
      </c>
      <c r="I165">
        <v>19</v>
      </c>
      <c r="J165">
        <v>178</v>
      </c>
      <c r="K165">
        <v>5504.18</v>
      </c>
      <c r="L165">
        <v>86.08</v>
      </c>
      <c r="M165">
        <v>19.13</v>
      </c>
      <c r="N165">
        <v>5398.97</v>
      </c>
      <c r="O165">
        <v>1575.25</v>
      </c>
      <c r="P165">
        <v>3823.72</v>
      </c>
      <c r="Q165">
        <v>38.82</v>
      </c>
      <c r="R165">
        <v>257.73</v>
      </c>
      <c r="S165">
        <v>325</v>
      </c>
      <c r="T165">
        <v>106</v>
      </c>
      <c r="U165">
        <v>7</v>
      </c>
      <c r="V165">
        <v>72</v>
      </c>
      <c r="W165">
        <v>29</v>
      </c>
      <c r="X165">
        <v>30.33</v>
      </c>
      <c r="Y165">
        <v>1.83</v>
      </c>
      <c r="Z165">
        <v>70.81999999999999</v>
      </c>
      <c r="AA165">
        <v>2066.67</v>
      </c>
      <c r="AB165">
        <v>1150.68</v>
      </c>
      <c r="AC165">
        <v>369.54</v>
      </c>
      <c r="AD165">
        <v>110</v>
      </c>
      <c r="AE165">
        <v>184.73</v>
      </c>
      <c r="AF165">
        <v>3881.62</v>
      </c>
      <c r="AG165">
        <v>-354.45</v>
      </c>
      <c r="AH165">
        <v>-6.57</v>
      </c>
    </row>
    <row r="166" spans="1:34">
      <c r="A166" t="s">
        <v>672</v>
      </c>
      <c r="B166" t="s">
        <v>260</v>
      </c>
      <c r="C166" t="b">
        <v>0</v>
      </c>
      <c r="D166" t="b">
        <v>0</v>
      </c>
      <c r="E166" t="s">
        <v>1472</v>
      </c>
      <c r="F166" t="s">
        <v>1474</v>
      </c>
      <c r="G166" t="s">
        <v>81</v>
      </c>
      <c r="H166">
        <v>37.1</v>
      </c>
      <c r="I166">
        <v>20</v>
      </c>
      <c r="J166">
        <v>151</v>
      </c>
      <c r="K166">
        <v>4450.3</v>
      </c>
      <c r="L166">
        <v>102.6</v>
      </c>
      <c r="M166">
        <v>40</v>
      </c>
      <c r="N166">
        <v>4307.7</v>
      </c>
      <c r="O166">
        <v>1239.7</v>
      </c>
      <c r="P166">
        <v>3068</v>
      </c>
      <c r="Q166">
        <v>27.78</v>
      </c>
      <c r="R166">
        <v>259.42</v>
      </c>
      <c r="S166">
        <v>266</v>
      </c>
      <c r="T166">
        <v>94</v>
      </c>
      <c r="U166">
        <v>7</v>
      </c>
      <c r="V166">
        <v>57</v>
      </c>
      <c r="W166">
        <v>31</v>
      </c>
      <c r="X166">
        <v>28.53</v>
      </c>
      <c r="Y166">
        <v>1.76</v>
      </c>
      <c r="Z166">
        <v>71.22</v>
      </c>
      <c r="AA166">
        <v>2066.67</v>
      </c>
      <c r="AB166">
        <v>1150.68</v>
      </c>
      <c r="AC166">
        <v>351.95</v>
      </c>
      <c r="AD166">
        <v>110</v>
      </c>
      <c r="AE166">
        <v>206.87</v>
      </c>
      <c r="AF166">
        <v>3886.17</v>
      </c>
      <c r="AG166">
        <v>-1105.37</v>
      </c>
      <c r="AH166">
        <v>-25.66</v>
      </c>
    </row>
    <row r="167" spans="1:34">
      <c r="A167" t="s">
        <v>673</v>
      </c>
      <c r="B167" t="s">
        <v>261</v>
      </c>
      <c r="C167" t="b">
        <v>0</v>
      </c>
      <c r="D167" t="b">
        <v>0</v>
      </c>
      <c r="E167" t="s">
        <v>1472</v>
      </c>
      <c r="F167" t="s">
        <v>1474</v>
      </c>
      <c r="G167" t="s">
        <v>81</v>
      </c>
      <c r="H167">
        <v>39.1</v>
      </c>
      <c r="I167">
        <v>21</v>
      </c>
      <c r="J167">
        <v>217</v>
      </c>
      <c r="K167">
        <v>7104.21</v>
      </c>
      <c r="L167">
        <v>167.82</v>
      </c>
      <c r="M167">
        <v>55.65</v>
      </c>
      <c r="N167">
        <v>6880.74</v>
      </c>
      <c r="O167">
        <v>2055.05</v>
      </c>
      <c r="P167">
        <v>4825.69</v>
      </c>
      <c r="Q167">
        <v>42.84</v>
      </c>
      <c r="R167">
        <v>360.25</v>
      </c>
      <c r="S167">
        <v>406</v>
      </c>
      <c r="T167">
        <v>138</v>
      </c>
      <c r="U167">
        <v>5</v>
      </c>
      <c r="V167">
        <v>79</v>
      </c>
      <c r="W167">
        <v>48</v>
      </c>
      <c r="X167">
        <v>31.71</v>
      </c>
      <c r="Y167">
        <v>1.87</v>
      </c>
      <c r="Z167">
        <v>70.13</v>
      </c>
      <c r="AA167">
        <v>2066.67</v>
      </c>
      <c r="AB167">
        <v>1150.68</v>
      </c>
      <c r="AC167">
        <v>389.6</v>
      </c>
      <c r="AD167">
        <v>110</v>
      </c>
      <c r="AE167">
        <v>229.27</v>
      </c>
      <c r="AF167">
        <v>3946.22</v>
      </c>
      <c r="AG167">
        <v>476.38</v>
      </c>
      <c r="AH167">
        <v>6.92</v>
      </c>
    </row>
    <row r="168" spans="1:34">
      <c r="A168" t="s">
        <v>674</v>
      </c>
      <c r="B168" t="s">
        <v>262</v>
      </c>
      <c r="C168" t="b">
        <v>1</v>
      </c>
      <c r="D168" t="b">
        <v>0</v>
      </c>
      <c r="E168" t="s">
        <v>1472</v>
      </c>
      <c r="F168" t="s">
        <v>1474</v>
      </c>
      <c r="G168" t="s">
        <v>81</v>
      </c>
      <c r="H168">
        <v>36.3</v>
      </c>
      <c r="I168">
        <v>22</v>
      </c>
      <c r="J168">
        <v>230</v>
      </c>
      <c r="K168">
        <v>8321.58</v>
      </c>
      <c r="L168">
        <v>191.29</v>
      </c>
      <c r="M168">
        <v>18.26</v>
      </c>
      <c r="N168">
        <v>8112.03</v>
      </c>
      <c r="O168">
        <v>2351.55</v>
      </c>
      <c r="P168">
        <v>5760.48</v>
      </c>
      <c r="Q168">
        <v>51.93</v>
      </c>
      <c r="R168">
        <v>540.87</v>
      </c>
      <c r="S168">
        <v>481</v>
      </c>
      <c r="T168">
        <v>146</v>
      </c>
      <c r="U168">
        <v>14</v>
      </c>
      <c r="V168">
        <v>84</v>
      </c>
      <c r="W168">
        <v>60</v>
      </c>
      <c r="X168">
        <v>35.27</v>
      </c>
      <c r="Y168">
        <v>2.09</v>
      </c>
      <c r="Z168">
        <v>71.01000000000001</v>
      </c>
      <c r="AA168">
        <v>2066.67</v>
      </c>
      <c r="AB168">
        <v>1150.68</v>
      </c>
      <c r="AC168">
        <v>357.14</v>
      </c>
      <c r="AD168">
        <v>110</v>
      </c>
      <c r="AE168">
        <v>214.44</v>
      </c>
      <c r="AF168">
        <v>3898.93</v>
      </c>
      <c r="AG168">
        <v>1268.75</v>
      </c>
      <c r="AH168">
        <v>15.64</v>
      </c>
    </row>
    <row r="169" spans="1:34">
      <c r="A169" t="s">
        <v>675</v>
      </c>
      <c r="B169" t="s">
        <v>263</v>
      </c>
      <c r="C169" t="b">
        <v>1</v>
      </c>
      <c r="D169" t="b">
        <v>0</v>
      </c>
      <c r="E169" t="s">
        <v>1472</v>
      </c>
      <c r="F169" t="s">
        <v>1474</v>
      </c>
      <c r="G169" t="s">
        <v>81</v>
      </c>
      <c r="H169">
        <v>37.9</v>
      </c>
      <c r="I169">
        <v>23</v>
      </c>
      <c r="J169">
        <v>170</v>
      </c>
      <c r="K169">
        <v>6959.83</v>
      </c>
      <c r="L169">
        <v>139.12</v>
      </c>
      <c r="M169">
        <v>23.48</v>
      </c>
      <c r="N169">
        <v>6797.23</v>
      </c>
      <c r="O169">
        <v>2030.15</v>
      </c>
      <c r="P169">
        <v>4767.08</v>
      </c>
      <c r="Q169">
        <v>54.51</v>
      </c>
      <c r="R169">
        <v>259.83</v>
      </c>
      <c r="S169">
        <v>398</v>
      </c>
      <c r="T169">
        <v>102</v>
      </c>
      <c r="U169">
        <v>8</v>
      </c>
      <c r="V169">
        <v>68</v>
      </c>
      <c r="W169">
        <v>28</v>
      </c>
      <c r="X169">
        <v>39.98</v>
      </c>
      <c r="Y169">
        <v>2.34</v>
      </c>
      <c r="Z169">
        <v>70.13</v>
      </c>
      <c r="AA169">
        <v>2066.67</v>
      </c>
      <c r="AB169">
        <v>1150.68</v>
      </c>
      <c r="AC169">
        <v>384.18</v>
      </c>
      <c r="AD169">
        <v>110</v>
      </c>
      <c r="AE169">
        <v>208.22</v>
      </c>
      <c r="AF169">
        <v>3919.75</v>
      </c>
      <c r="AG169">
        <v>532.99</v>
      </c>
      <c r="AH169">
        <v>7.84</v>
      </c>
    </row>
    <row r="170" spans="1:34">
      <c r="A170" t="s">
        <v>389</v>
      </c>
      <c r="B170" t="s">
        <v>75</v>
      </c>
      <c r="C170" t="b">
        <v>0</v>
      </c>
      <c r="D170" t="b">
        <v>0</v>
      </c>
      <c r="E170" t="s">
        <v>1472</v>
      </c>
      <c r="F170" t="s">
        <v>1474</v>
      </c>
      <c r="G170" t="s">
        <v>81</v>
      </c>
      <c r="H170">
        <v>37.7</v>
      </c>
      <c r="I170">
        <v>24</v>
      </c>
      <c r="J170">
        <v>210</v>
      </c>
      <c r="K170">
        <v>5965.11</v>
      </c>
      <c r="L170">
        <v>59.13</v>
      </c>
      <c r="M170">
        <v>44.35</v>
      </c>
      <c r="N170">
        <v>5861.63</v>
      </c>
      <c r="O170">
        <v>1685.55</v>
      </c>
      <c r="P170">
        <v>4176.08</v>
      </c>
      <c r="Q170">
        <v>46.04</v>
      </c>
      <c r="R170">
        <v>315.51</v>
      </c>
      <c r="S170">
        <v>355</v>
      </c>
      <c r="T170">
        <v>129</v>
      </c>
      <c r="U170">
        <v>6</v>
      </c>
      <c r="V170">
        <v>81</v>
      </c>
      <c r="W170">
        <v>39</v>
      </c>
      <c r="X170">
        <v>27.91</v>
      </c>
      <c r="Y170">
        <v>1.69</v>
      </c>
      <c r="Z170">
        <v>71.23999999999999</v>
      </c>
      <c r="AA170">
        <v>2066.67</v>
      </c>
      <c r="AB170">
        <v>1150.68</v>
      </c>
      <c r="AC170">
        <v>379.64</v>
      </c>
      <c r="AD170">
        <v>110</v>
      </c>
      <c r="AE170">
        <v>213.63</v>
      </c>
      <c r="AF170">
        <v>3920.62</v>
      </c>
      <c r="AG170">
        <v>-106.09</v>
      </c>
      <c r="AH170">
        <v>-1.81</v>
      </c>
    </row>
    <row r="171" spans="1:34">
      <c r="A171" t="s">
        <v>676</v>
      </c>
      <c r="B171" t="s">
        <v>258</v>
      </c>
      <c r="C171" t="b">
        <v>0</v>
      </c>
      <c r="D171" t="b">
        <v>0</v>
      </c>
      <c r="E171" t="s">
        <v>1472</v>
      </c>
      <c r="F171" t="s">
        <v>1474</v>
      </c>
      <c r="G171" t="s">
        <v>81</v>
      </c>
      <c r="H171">
        <v>34</v>
      </c>
      <c r="I171">
        <v>25</v>
      </c>
      <c r="J171">
        <v>188</v>
      </c>
      <c r="K171">
        <v>5206.79</v>
      </c>
      <c r="L171">
        <v>275.63</v>
      </c>
      <c r="M171">
        <v>0</v>
      </c>
      <c r="N171">
        <v>4931.16</v>
      </c>
      <c r="O171">
        <v>1481.45</v>
      </c>
      <c r="P171">
        <v>3449.71</v>
      </c>
      <c r="Q171">
        <v>32.01</v>
      </c>
      <c r="R171">
        <v>281.76</v>
      </c>
      <c r="S171">
        <v>314</v>
      </c>
      <c r="T171">
        <v>119</v>
      </c>
      <c r="U171">
        <v>7</v>
      </c>
      <c r="V171">
        <v>69</v>
      </c>
      <c r="W171">
        <v>30</v>
      </c>
      <c r="X171">
        <v>26.23</v>
      </c>
      <c r="Y171">
        <v>1.67</v>
      </c>
      <c r="Z171">
        <v>69.95999999999999</v>
      </c>
      <c r="AA171">
        <v>2066.67</v>
      </c>
      <c r="AB171">
        <v>1150.68</v>
      </c>
      <c r="AC171">
        <v>315.01</v>
      </c>
      <c r="AD171">
        <v>110</v>
      </c>
      <c r="AE171">
        <v>198.91</v>
      </c>
      <c r="AF171">
        <v>3841.27</v>
      </c>
      <c r="AG171">
        <v>-705.33</v>
      </c>
      <c r="AH171">
        <v>-14.3</v>
      </c>
    </row>
    <row r="172" spans="1:34">
      <c r="A172" t="s">
        <v>677</v>
      </c>
      <c r="B172" t="s">
        <v>259</v>
      </c>
      <c r="C172" t="b">
        <v>0</v>
      </c>
      <c r="D172" t="b">
        <v>0</v>
      </c>
      <c r="E172" t="s">
        <v>1472</v>
      </c>
      <c r="F172" t="s">
        <v>1474</v>
      </c>
      <c r="G172" t="s">
        <v>81</v>
      </c>
      <c r="H172">
        <v>34.1</v>
      </c>
      <c r="I172">
        <v>26</v>
      </c>
      <c r="J172">
        <v>185</v>
      </c>
      <c r="K172">
        <v>5285.88</v>
      </c>
      <c r="L172">
        <v>209.55</v>
      </c>
      <c r="M172">
        <v>19.13</v>
      </c>
      <c r="N172">
        <v>5057.2</v>
      </c>
      <c r="O172">
        <v>1498.15</v>
      </c>
      <c r="P172">
        <v>3559.05</v>
      </c>
      <c r="Q172">
        <v>32.38</v>
      </c>
      <c r="R172">
        <v>272.06</v>
      </c>
      <c r="S172">
        <v>314</v>
      </c>
      <c r="T172">
        <v>120</v>
      </c>
      <c r="U172">
        <v>4</v>
      </c>
      <c r="V172">
        <v>65</v>
      </c>
      <c r="W172">
        <v>30</v>
      </c>
      <c r="X172">
        <v>27.34</v>
      </c>
      <c r="Y172">
        <v>1.7</v>
      </c>
      <c r="Z172">
        <v>70.38</v>
      </c>
      <c r="AA172">
        <v>2066.67</v>
      </c>
      <c r="AB172">
        <v>1150.68</v>
      </c>
      <c r="AC172">
        <v>345.85</v>
      </c>
      <c r="AD172">
        <v>110</v>
      </c>
      <c r="AE172">
        <v>194.67</v>
      </c>
      <c r="AF172">
        <v>3867.87</v>
      </c>
      <c r="AG172">
        <v>-613.26</v>
      </c>
      <c r="AH172">
        <v>-12.13</v>
      </c>
    </row>
    <row r="173" spans="1:34">
      <c r="A173" t="s">
        <v>678</v>
      </c>
      <c r="B173" t="s">
        <v>260</v>
      </c>
      <c r="C173" t="b">
        <v>0</v>
      </c>
      <c r="D173" t="b">
        <v>0</v>
      </c>
      <c r="E173" t="s">
        <v>1472</v>
      </c>
      <c r="F173" t="s">
        <v>1474</v>
      </c>
      <c r="G173" t="s">
        <v>81</v>
      </c>
      <c r="H173">
        <v>35.5</v>
      </c>
      <c r="I173">
        <v>27</v>
      </c>
      <c r="J173">
        <v>210</v>
      </c>
      <c r="K173">
        <v>6365.85</v>
      </c>
      <c r="L173">
        <v>107.81</v>
      </c>
      <c r="M173">
        <v>0</v>
      </c>
      <c r="N173">
        <v>6258.04</v>
      </c>
      <c r="O173">
        <v>1812.45</v>
      </c>
      <c r="P173">
        <v>4445.59</v>
      </c>
      <c r="Q173">
        <v>42.74</v>
      </c>
      <c r="R173">
        <v>367.7</v>
      </c>
      <c r="S173">
        <v>375</v>
      </c>
      <c r="T173">
        <v>128</v>
      </c>
      <c r="U173">
        <v>10</v>
      </c>
      <c r="V173">
        <v>82</v>
      </c>
      <c r="W173">
        <v>40</v>
      </c>
      <c r="X173">
        <v>29.8</v>
      </c>
      <c r="Y173">
        <v>1.79</v>
      </c>
      <c r="Z173">
        <v>71.04000000000001</v>
      </c>
      <c r="AA173">
        <v>2066.67</v>
      </c>
      <c r="AB173">
        <v>1150.68</v>
      </c>
      <c r="AC173">
        <v>362.21</v>
      </c>
      <c r="AD173">
        <v>110</v>
      </c>
      <c r="AE173">
        <v>223.21</v>
      </c>
      <c r="AF173">
        <v>3912.77</v>
      </c>
      <c r="AG173">
        <v>122.38</v>
      </c>
      <c r="AH173">
        <v>1.96</v>
      </c>
    </row>
    <row r="174" spans="1:34">
      <c r="A174" t="s">
        <v>679</v>
      </c>
      <c r="B174" t="s">
        <v>261</v>
      </c>
      <c r="C174" t="b">
        <v>0</v>
      </c>
      <c r="D174" t="b">
        <v>0</v>
      </c>
      <c r="E174" t="s">
        <v>1472</v>
      </c>
      <c r="F174" t="s">
        <v>1474</v>
      </c>
      <c r="G174" t="s">
        <v>81</v>
      </c>
      <c r="H174">
        <v>35.9</v>
      </c>
      <c r="I174">
        <v>28</v>
      </c>
      <c r="J174">
        <v>210</v>
      </c>
      <c r="K174">
        <v>6505.84</v>
      </c>
      <c r="L174">
        <v>223.45</v>
      </c>
      <c r="M174">
        <v>21.74</v>
      </c>
      <c r="N174">
        <v>6260.65</v>
      </c>
      <c r="O174">
        <v>1772.75</v>
      </c>
      <c r="P174">
        <v>4487.9</v>
      </c>
      <c r="Q174">
        <v>49.12</v>
      </c>
      <c r="R174">
        <v>295.8</v>
      </c>
      <c r="S174">
        <v>390</v>
      </c>
      <c r="T174">
        <v>123</v>
      </c>
      <c r="U174">
        <v>7</v>
      </c>
      <c r="V174">
        <v>87</v>
      </c>
      <c r="W174">
        <v>36</v>
      </c>
      <c r="X174">
        <v>29.81</v>
      </c>
      <c r="Y174">
        <v>1.86</v>
      </c>
      <c r="Z174">
        <v>71.68000000000001</v>
      </c>
      <c r="AA174">
        <v>2066.67</v>
      </c>
      <c r="AB174">
        <v>1150.68</v>
      </c>
      <c r="AC174">
        <v>355.77</v>
      </c>
      <c r="AD174">
        <v>110</v>
      </c>
      <c r="AE174">
        <v>210.89</v>
      </c>
      <c r="AF174">
        <v>3894.01</v>
      </c>
      <c r="AG174">
        <v>248.97</v>
      </c>
      <c r="AH174">
        <v>3.98</v>
      </c>
    </row>
    <row r="175" spans="1:34">
      <c r="A175" t="s">
        <v>680</v>
      </c>
      <c r="B175" t="s">
        <v>262</v>
      </c>
      <c r="C175" t="b">
        <v>1</v>
      </c>
      <c r="D175" t="b">
        <v>0</v>
      </c>
      <c r="E175" t="s">
        <v>1472</v>
      </c>
      <c r="F175" t="s">
        <v>1476</v>
      </c>
      <c r="G175" t="s">
        <v>81</v>
      </c>
      <c r="H175">
        <v>36.4</v>
      </c>
      <c r="I175">
        <v>29</v>
      </c>
      <c r="J175">
        <v>181</v>
      </c>
      <c r="K175">
        <v>6463.34</v>
      </c>
      <c r="L175">
        <v>219.99</v>
      </c>
      <c r="M175">
        <v>19.13</v>
      </c>
      <c r="N175">
        <v>6224.22</v>
      </c>
      <c r="O175">
        <v>1838.7</v>
      </c>
      <c r="P175">
        <v>4385.52</v>
      </c>
      <c r="Q175">
        <v>38.59</v>
      </c>
      <c r="R175">
        <v>361.38</v>
      </c>
      <c r="S175">
        <v>379</v>
      </c>
      <c r="T175">
        <v>117</v>
      </c>
      <c r="U175">
        <v>6</v>
      </c>
      <c r="V175">
        <v>64</v>
      </c>
      <c r="W175">
        <v>41</v>
      </c>
      <c r="X175">
        <v>34.39</v>
      </c>
      <c r="Y175">
        <v>2.09</v>
      </c>
      <c r="Z175">
        <v>70.45999999999999</v>
      </c>
      <c r="AA175">
        <v>2066.67</v>
      </c>
      <c r="AB175">
        <v>1150.68</v>
      </c>
      <c r="AC175">
        <v>347.12</v>
      </c>
      <c r="AD175">
        <v>110</v>
      </c>
      <c r="AE175">
        <v>189.86</v>
      </c>
      <c r="AF175">
        <v>3864.33</v>
      </c>
      <c r="AG175">
        <v>121.22</v>
      </c>
      <c r="AH175">
        <v>1.95</v>
      </c>
    </row>
    <row r="176" spans="1:34">
      <c r="A176" t="s">
        <v>681</v>
      </c>
      <c r="B176" t="s">
        <v>263</v>
      </c>
      <c r="C176" t="b">
        <v>1</v>
      </c>
      <c r="D176" t="b">
        <v>0</v>
      </c>
      <c r="E176" t="s">
        <v>1472</v>
      </c>
      <c r="F176" t="s">
        <v>1476</v>
      </c>
      <c r="G176" t="s">
        <v>81</v>
      </c>
      <c r="H176">
        <v>33.8</v>
      </c>
      <c r="I176">
        <v>30</v>
      </c>
      <c r="J176">
        <v>149</v>
      </c>
      <c r="K176">
        <v>5530.29</v>
      </c>
      <c r="L176">
        <v>124.34</v>
      </c>
      <c r="M176">
        <v>55.65</v>
      </c>
      <c r="N176">
        <v>5350.3</v>
      </c>
      <c r="O176">
        <v>1537.25</v>
      </c>
      <c r="P176">
        <v>3813.05</v>
      </c>
      <c r="Q176">
        <v>33.46</v>
      </c>
      <c r="R176">
        <v>312.58</v>
      </c>
      <c r="S176">
        <v>329</v>
      </c>
      <c r="T176">
        <v>91</v>
      </c>
      <c r="U176">
        <v>8</v>
      </c>
      <c r="V176">
        <v>58</v>
      </c>
      <c r="W176">
        <v>34</v>
      </c>
      <c r="X176">
        <v>35.91</v>
      </c>
      <c r="Y176">
        <v>2.21</v>
      </c>
      <c r="Z176">
        <v>71.27</v>
      </c>
      <c r="AA176">
        <v>2066.67</v>
      </c>
      <c r="AB176">
        <v>1150.68</v>
      </c>
      <c r="AC176">
        <v>330.23</v>
      </c>
      <c r="AD176">
        <v>110</v>
      </c>
      <c r="AE176">
        <v>203.87</v>
      </c>
      <c r="AF176">
        <v>3861.45</v>
      </c>
      <c r="AG176">
        <v>-394.44</v>
      </c>
      <c r="AH176">
        <v>-7.37</v>
      </c>
    </row>
    <row r="177" spans="1:34">
      <c r="A177" t="s">
        <v>390</v>
      </c>
      <c r="B177" t="s">
        <v>75</v>
      </c>
      <c r="C177" t="b">
        <v>0</v>
      </c>
      <c r="D177" t="b">
        <v>0</v>
      </c>
      <c r="E177" t="s">
        <v>1472</v>
      </c>
      <c r="F177" t="s">
        <v>1476</v>
      </c>
      <c r="G177" t="s">
        <v>81</v>
      </c>
      <c r="H177">
        <v>33.8</v>
      </c>
      <c r="I177">
        <v>31</v>
      </c>
      <c r="J177">
        <v>169</v>
      </c>
      <c r="K177">
        <v>5101.66</v>
      </c>
      <c r="L177">
        <v>150.42</v>
      </c>
      <c r="M177">
        <v>13.91</v>
      </c>
      <c r="N177">
        <v>4937.33</v>
      </c>
      <c r="O177">
        <v>1488.15</v>
      </c>
      <c r="P177">
        <v>3449.18</v>
      </c>
      <c r="Q177">
        <v>37.05</v>
      </c>
      <c r="R177">
        <v>206.23</v>
      </c>
      <c r="S177">
        <v>299</v>
      </c>
      <c r="T177">
        <v>108</v>
      </c>
      <c r="U177">
        <v>8</v>
      </c>
      <c r="V177">
        <v>61</v>
      </c>
      <c r="W177">
        <v>24</v>
      </c>
      <c r="X177">
        <v>29.21</v>
      </c>
      <c r="Y177">
        <v>1.77</v>
      </c>
      <c r="Z177">
        <v>69.86</v>
      </c>
      <c r="AA177">
        <v>2066.67</v>
      </c>
      <c r="AB177">
        <v>1150.68</v>
      </c>
      <c r="AC177">
        <v>329.64</v>
      </c>
      <c r="AD177">
        <v>110</v>
      </c>
      <c r="AE177">
        <v>190.33</v>
      </c>
      <c r="AF177">
        <v>3847.32</v>
      </c>
      <c r="AG177">
        <v>-641.42</v>
      </c>
      <c r="AH177">
        <v>-12.99</v>
      </c>
    </row>
    <row r="178" spans="1:34">
      <c r="A178" t="s">
        <v>682</v>
      </c>
      <c r="B178" t="s">
        <v>258</v>
      </c>
      <c r="C178" t="b">
        <v>0</v>
      </c>
      <c r="D178" t="b">
        <v>0</v>
      </c>
      <c r="E178" t="s">
        <v>1472</v>
      </c>
      <c r="F178" t="s">
        <v>1476</v>
      </c>
      <c r="G178" t="s">
        <v>81</v>
      </c>
      <c r="H178">
        <v>31.6</v>
      </c>
      <c r="I178">
        <v>32</v>
      </c>
      <c r="J178">
        <v>129</v>
      </c>
      <c r="K178">
        <v>3523.35</v>
      </c>
      <c r="L178">
        <v>85.20999999999999</v>
      </c>
      <c r="M178">
        <v>0</v>
      </c>
      <c r="N178">
        <v>3438.14</v>
      </c>
      <c r="O178">
        <v>992.95</v>
      </c>
      <c r="P178">
        <v>2445.19</v>
      </c>
      <c r="Q178">
        <v>23.03</v>
      </c>
      <c r="R178">
        <v>175.4</v>
      </c>
      <c r="S178">
        <v>194</v>
      </c>
      <c r="T178">
        <v>82</v>
      </c>
      <c r="U178">
        <v>3</v>
      </c>
      <c r="V178">
        <v>47</v>
      </c>
      <c r="W178">
        <v>25</v>
      </c>
      <c r="X178">
        <v>26.65</v>
      </c>
      <c r="Y178">
        <v>1.5</v>
      </c>
      <c r="Z178">
        <v>71.12</v>
      </c>
      <c r="AA178">
        <v>2066.67</v>
      </c>
      <c r="AB178">
        <v>1150.68</v>
      </c>
      <c r="AC178">
        <v>336.86</v>
      </c>
      <c r="AD178">
        <v>110</v>
      </c>
      <c r="AE178">
        <v>188.54</v>
      </c>
      <c r="AF178">
        <v>3852.75</v>
      </c>
      <c r="AG178">
        <v>-1605.99</v>
      </c>
      <c r="AH178">
        <v>-46.71</v>
      </c>
    </row>
    <row r="179" spans="1:34">
      <c r="A179" t="s">
        <v>683</v>
      </c>
      <c r="B179" t="s">
        <v>259</v>
      </c>
      <c r="C179" t="b">
        <v>0</v>
      </c>
      <c r="D179" t="b">
        <v>1</v>
      </c>
      <c r="E179" t="s">
        <v>1472</v>
      </c>
      <c r="F179" t="s">
        <v>1476</v>
      </c>
      <c r="G179" t="s">
        <v>1488</v>
      </c>
      <c r="H179">
        <v>34</v>
      </c>
      <c r="I179">
        <v>0</v>
      </c>
      <c r="J179">
        <v>155</v>
      </c>
      <c r="K179">
        <v>6368.52</v>
      </c>
      <c r="L179">
        <v>53.91</v>
      </c>
      <c r="M179">
        <v>2.61</v>
      </c>
      <c r="N179">
        <v>6312</v>
      </c>
      <c r="O179">
        <v>1836.8</v>
      </c>
      <c r="P179">
        <v>4475.2</v>
      </c>
      <c r="Q179">
        <v>40.17</v>
      </c>
      <c r="R179">
        <v>456.07</v>
      </c>
      <c r="S179">
        <v>368</v>
      </c>
      <c r="T179">
        <v>103</v>
      </c>
      <c r="U179">
        <v>9</v>
      </c>
      <c r="V179">
        <v>52</v>
      </c>
      <c r="W179">
        <v>47</v>
      </c>
      <c r="X179">
        <v>40.72</v>
      </c>
      <c r="Y179">
        <v>2.37</v>
      </c>
      <c r="Z179">
        <v>70.90000000000001</v>
      </c>
      <c r="AA179">
        <v>2066.67</v>
      </c>
      <c r="AB179">
        <v>1150.68</v>
      </c>
      <c r="AC179">
        <v>336.23</v>
      </c>
      <c r="AD179">
        <v>110</v>
      </c>
      <c r="AE179">
        <v>159.07</v>
      </c>
      <c r="AF179">
        <v>3822.65</v>
      </c>
      <c r="AG179">
        <v>156.31</v>
      </c>
      <c r="AH179">
        <v>2.48</v>
      </c>
    </row>
    <row r="180" spans="1:34">
      <c r="A180" t="s">
        <v>684</v>
      </c>
      <c r="B180" t="s">
        <v>260</v>
      </c>
      <c r="C180" t="b">
        <v>0</v>
      </c>
      <c r="D180" t="b">
        <v>1</v>
      </c>
      <c r="E180" t="s">
        <v>1472</v>
      </c>
      <c r="F180" t="s">
        <v>1476</v>
      </c>
      <c r="G180" t="s">
        <v>1489</v>
      </c>
      <c r="H180">
        <v>35.6</v>
      </c>
      <c r="I180">
        <v>1</v>
      </c>
      <c r="J180">
        <v>124</v>
      </c>
      <c r="K180">
        <v>6062.5</v>
      </c>
      <c r="L180">
        <v>189.55</v>
      </c>
      <c r="M180">
        <v>0</v>
      </c>
      <c r="N180">
        <v>5872.95</v>
      </c>
      <c r="O180">
        <v>1775.35</v>
      </c>
      <c r="P180">
        <v>4097.6</v>
      </c>
      <c r="Q180">
        <v>39.09</v>
      </c>
      <c r="R180">
        <v>282.01</v>
      </c>
      <c r="S180">
        <v>335</v>
      </c>
      <c r="T180">
        <v>75</v>
      </c>
      <c r="U180">
        <v>2</v>
      </c>
      <c r="V180">
        <v>49</v>
      </c>
      <c r="W180">
        <v>27</v>
      </c>
      <c r="X180">
        <v>47.36</v>
      </c>
      <c r="Y180">
        <v>2.7</v>
      </c>
      <c r="Z180">
        <v>69.77</v>
      </c>
      <c r="AA180">
        <v>2066.67</v>
      </c>
      <c r="AB180">
        <v>1150.68</v>
      </c>
      <c r="AC180">
        <v>350.85</v>
      </c>
      <c r="AD180">
        <v>110</v>
      </c>
      <c r="AE180">
        <v>194.3</v>
      </c>
      <c r="AF180">
        <v>3872.5</v>
      </c>
      <c r="AG180">
        <v>-96</v>
      </c>
      <c r="AH180">
        <v>-1.63</v>
      </c>
    </row>
    <row r="181" spans="1:34">
      <c r="A181" t="s">
        <v>685</v>
      </c>
      <c r="B181" t="s">
        <v>261</v>
      </c>
      <c r="C181" t="b">
        <v>0</v>
      </c>
      <c r="D181" t="b">
        <v>1</v>
      </c>
      <c r="E181" t="s">
        <v>1472</v>
      </c>
      <c r="F181" t="s">
        <v>1476</v>
      </c>
      <c r="G181" t="s">
        <v>1489</v>
      </c>
      <c r="H181">
        <v>36.3</v>
      </c>
      <c r="I181">
        <v>2</v>
      </c>
      <c r="J181">
        <v>177</v>
      </c>
      <c r="K181">
        <v>7767.67</v>
      </c>
      <c r="L181">
        <v>111.29</v>
      </c>
      <c r="M181">
        <v>19.13</v>
      </c>
      <c r="N181">
        <v>7637.25</v>
      </c>
      <c r="O181">
        <v>2251.95</v>
      </c>
      <c r="P181">
        <v>5385.3</v>
      </c>
      <c r="Q181">
        <v>46.88</v>
      </c>
      <c r="R181">
        <v>407.52</v>
      </c>
      <c r="S181">
        <v>434</v>
      </c>
      <c r="T181">
        <v>103</v>
      </c>
      <c r="U181">
        <v>4</v>
      </c>
      <c r="V181">
        <v>74</v>
      </c>
      <c r="W181">
        <v>47</v>
      </c>
      <c r="X181">
        <v>43.15</v>
      </c>
      <c r="Y181">
        <v>2.45</v>
      </c>
      <c r="Z181">
        <v>70.51000000000001</v>
      </c>
      <c r="AA181">
        <v>2066.67</v>
      </c>
      <c r="AB181">
        <v>1150.68</v>
      </c>
      <c r="AC181">
        <v>338.27</v>
      </c>
      <c r="AD181">
        <v>110</v>
      </c>
      <c r="AE181">
        <v>183.37</v>
      </c>
      <c r="AF181">
        <v>3848.99</v>
      </c>
      <c r="AG181">
        <v>1081.91</v>
      </c>
      <c r="AH181">
        <v>14.17</v>
      </c>
    </row>
    <row r="182" spans="1:34">
      <c r="A182" t="s">
        <v>686</v>
      </c>
      <c r="B182" t="s">
        <v>262</v>
      </c>
      <c r="C182" t="b">
        <v>1</v>
      </c>
      <c r="D182" t="b">
        <v>1</v>
      </c>
      <c r="E182" t="s">
        <v>1472</v>
      </c>
      <c r="F182" t="s">
        <v>1476</v>
      </c>
      <c r="G182" t="s">
        <v>1489</v>
      </c>
      <c r="H182">
        <v>37.7</v>
      </c>
      <c r="I182">
        <v>3</v>
      </c>
      <c r="J182">
        <v>200</v>
      </c>
      <c r="K182">
        <v>7841.54</v>
      </c>
      <c r="L182">
        <v>194.77</v>
      </c>
      <c r="M182">
        <v>54.78</v>
      </c>
      <c r="N182">
        <v>7591.99</v>
      </c>
      <c r="O182">
        <v>2229.5</v>
      </c>
      <c r="P182">
        <v>5362.49</v>
      </c>
      <c r="Q182">
        <v>48.74</v>
      </c>
      <c r="R182">
        <v>449.41</v>
      </c>
      <c r="S182">
        <v>457</v>
      </c>
      <c r="T182">
        <v>131</v>
      </c>
      <c r="U182">
        <v>8</v>
      </c>
      <c r="V182">
        <v>69</v>
      </c>
      <c r="W182">
        <v>41</v>
      </c>
      <c r="X182">
        <v>37.96</v>
      </c>
      <c r="Y182">
        <v>2.28</v>
      </c>
      <c r="Z182">
        <v>70.63</v>
      </c>
      <c r="AA182">
        <v>2066.67</v>
      </c>
      <c r="AB182">
        <v>1150.68</v>
      </c>
      <c r="AC182">
        <v>372.79</v>
      </c>
      <c r="AD182">
        <v>110</v>
      </c>
      <c r="AE182">
        <v>224.34</v>
      </c>
      <c r="AF182">
        <v>3924.48</v>
      </c>
      <c r="AG182">
        <v>939.86</v>
      </c>
      <c r="AH182">
        <v>12.38</v>
      </c>
    </row>
    <row r="183" spans="1:34">
      <c r="A183" t="s">
        <v>687</v>
      </c>
      <c r="B183" t="s">
        <v>263</v>
      </c>
      <c r="C183" t="b">
        <v>1</v>
      </c>
      <c r="D183" t="b">
        <v>1</v>
      </c>
      <c r="E183" t="s">
        <v>1472</v>
      </c>
      <c r="F183" t="s">
        <v>1476</v>
      </c>
      <c r="G183" t="s">
        <v>1489</v>
      </c>
      <c r="H183">
        <v>37.4</v>
      </c>
      <c r="I183">
        <v>4</v>
      </c>
      <c r="J183">
        <v>165</v>
      </c>
      <c r="K183">
        <v>6704.23</v>
      </c>
      <c r="L183">
        <v>211.29</v>
      </c>
      <c r="M183">
        <v>14.78</v>
      </c>
      <c r="N183">
        <v>6478.16</v>
      </c>
      <c r="O183">
        <v>1914.35</v>
      </c>
      <c r="P183">
        <v>4563.81</v>
      </c>
      <c r="Q183">
        <v>50.3</v>
      </c>
      <c r="R183">
        <v>329.63</v>
      </c>
      <c r="S183">
        <v>377</v>
      </c>
      <c r="T183">
        <v>103</v>
      </c>
      <c r="U183">
        <v>5</v>
      </c>
      <c r="V183">
        <v>62</v>
      </c>
      <c r="W183">
        <v>37</v>
      </c>
      <c r="X183">
        <v>39.26</v>
      </c>
      <c r="Y183">
        <v>2.28</v>
      </c>
      <c r="Z183">
        <v>70.45</v>
      </c>
      <c r="AA183">
        <v>2000</v>
      </c>
      <c r="AB183">
        <v>1150.68</v>
      </c>
      <c r="AC183">
        <v>394.04</v>
      </c>
      <c r="AD183">
        <v>110</v>
      </c>
      <c r="AE183">
        <v>192.43</v>
      </c>
      <c r="AF183">
        <v>3847.15</v>
      </c>
      <c r="AG183">
        <v>336.73</v>
      </c>
      <c r="AH183">
        <v>5.2</v>
      </c>
    </row>
    <row r="184" spans="1:34">
      <c r="A184" t="s">
        <v>391</v>
      </c>
      <c r="B184" t="s">
        <v>75</v>
      </c>
      <c r="C184" t="b">
        <v>0</v>
      </c>
      <c r="D184" t="b">
        <v>0</v>
      </c>
      <c r="E184" t="s">
        <v>1472</v>
      </c>
      <c r="F184" t="s">
        <v>1476</v>
      </c>
      <c r="G184" t="s">
        <v>1490</v>
      </c>
      <c r="H184">
        <v>37.8</v>
      </c>
      <c r="I184">
        <v>5</v>
      </c>
      <c r="J184">
        <v>104</v>
      </c>
      <c r="K184">
        <v>3001.64</v>
      </c>
      <c r="L184">
        <v>127.82</v>
      </c>
      <c r="M184">
        <v>36.52</v>
      </c>
      <c r="N184">
        <v>2837.3</v>
      </c>
      <c r="O184">
        <v>823.95</v>
      </c>
      <c r="P184">
        <v>2013.35</v>
      </c>
      <c r="Q184">
        <v>19.44</v>
      </c>
      <c r="R184">
        <v>146.54</v>
      </c>
      <c r="S184">
        <v>180</v>
      </c>
      <c r="T184">
        <v>62</v>
      </c>
      <c r="U184">
        <v>3</v>
      </c>
      <c r="V184">
        <v>42</v>
      </c>
      <c r="W184">
        <v>21</v>
      </c>
      <c r="X184">
        <v>27.28</v>
      </c>
      <c r="Y184">
        <v>1.73</v>
      </c>
      <c r="Z184">
        <v>70.95999999999999</v>
      </c>
      <c r="AA184">
        <v>2000</v>
      </c>
      <c r="AB184">
        <v>1150.68</v>
      </c>
      <c r="AC184">
        <v>389.71</v>
      </c>
      <c r="AD184">
        <v>110</v>
      </c>
      <c r="AE184">
        <v>198.64</v>
      </c>
      <c r="AF184">
        <v>3849.03</v>
      </c>
      <c r="AG184">
        <v>-2001.66</v>
      </c>
      <c r="AH184">
        <v>-70.55</v>
      </c>
    </row>
    <row r="185" spans="1:34">
      <c r="A185" t="s">
        <v>688</v>
      </c>
      <c r="B185" t="s">
        <v>258</v>
      </c>
      <c r="C185" t="b">
        <v>0</v>
      </c>
      <c r="D185" t="b">
        <v>0</v>
      </c>
      <c r="E185" t="s">
        <v>1472</v>
      </c>
      <c r="F185" t="s">
        <v>1476</v>
      </c>
      <c r="G185" t="s">
        <v>1490</v>
      </c>
      <c r="H185">
        <v>36.6</v>
      </c>
      <c r="I185">
        <v>6</v>
      </c>
      <c r="J185">
        <v>122</v>
      </c>
      <c r="K185">
        <v>3926.81</v>
      </c>
      <c r="L185">
        <v>124.34</v>
      </c>
      <c r="M185">
        <v>0</v>
      </c>
      <c r="N185">
        <v>3802.47</v>
      </c>
      <c r="O185">
        <v>1127.75</v>
      </c>
      <c r="P185">
        <v>2674.72</v>
      </c>
      <c r="Q185">
        <v>21.99</v>
      </c>
      <c r="R185">
        <v>293.66</v>
      </c>
      <c r="S185">
        <v>241</v>
      </c>
      <c r="T185">
        <v>79</v>
      </c>
      <c r="U185">
        <v>1</v>
      </c>
      <c r="V185">
        <v>43</v>
      </c>
      <c r="W185">
        <v>31</v>
      </c>
      <c r="X185">
        <v>31.17</v>
      </c>
      <c r="Y185">
        <v>1.98</v>
      </c>
      <c r="Z185">
        <v>70.34</v>
      </c>
      <c r="AA185">
        <v>2000</v>
      </c>
      <c r="AB185">
        <v>1150.68</v>
      </c>
      <c r="AC185">
        <v>355.46</v>
      </c>
      <c r="AD185">
        <v>110</v>
      </c>
      <c r="AE185">
        <v>179.46</v>
      </c>
      <c r="AF185">
        <v>3795.6</v>
      </c>
      <c r="AG185">
        <v>-1436.53</v>
      </c>
      <c r="AH185">
        <v>-37.78</v>
      </c>
    </row>
    <row r="186" spans="1:34">
      <c r="A186" t="s">
        <v>689</v>
      </c>
      <c r="B186" t="s">
        <v>259</v>
      </c>
      <c r="C186" t="b">
        <v>0</v>
      </c>
      <c r="D186" t="b">
        <v>0</v>
      </c>
      <c r="E186" t="s">
        <v>1472</v>
      </c>
      <c r="F186" t="s">
        <v>1476</v>
      </c>
      <c r="G186" t="s">
        <v>1490</v>
      </c>
      <c r="H186">
        <v>36.9</v>
      </c>
      <c r="I186">
        <v>7</v>
      </c>
      <c r="J186">
        <v>153</v>
      </c>
      <c r="K186">
        <v>4852.87</v>
      </c>
      <c r="L186">
        <v>98.26000000000001</v>
      </c>
      <c r="M186">
        <v>33.91</v>
      </c>
      <c r="N186">
        <v>4720.7</v>
      </c>
      <c r="O186">
        <v>1359.05</v>
      </c>
      <c r="P186">
        <v>3361.65</v>
      </c>
      <c r="Q186">
        <v>31.08</v>
      </c>
      <c r="R186">
        <v>276.06</v>
      </c>
      <c r="S186">
        <v>284</v>
      </c>
      <c r="T186">
        <v>99</v>
      </c>
      <c r="U186">
        <v>4</v>
      </c>
      <c r="V186">
        <v>54</v>
      </c>
      <c r="W186">
        <v>32</v>
      </c>
      <c r="X186">
        <v>30.85</v>
      </c>
      <c r="Y186">
        <v>1.86</v>
      </c>
      <c r="Z186">
        <v>71.20999999999999</v>
      </c>
      <c r="AA186">
        <v>2000</v>
      </c>
      <c r="AB186">
        <v>1150.68</v>
      </c>
      <c r="AC186">
        <v>374.21</v>
      </c>
      <c r="AD186">
        <v>110</v>
      </c>
      <c r="AE186">
        <v>158.51</v>
      </c>
      <c r="AF186">
        <v>3793.4</v>
      </c>
      <c r="AG186">
        <v>-738.89</v>
      </c>
      <c r="AH186">
        <v>-15.65</v>
      </c>
    </row>
    <row r="187" spans="1:34">
      <c r="A187" t="s">
        <v>690</v>
      </c>
      <c r="B187" t="s">
        <v>260</v>
      </c>
      <c r="C187" t="b">
        <v>0</v>
      </c>
      <c r="D187" t="b">
        <v>0</v>
      </c>
      <c r="E187" t="s">
        <v>1472</v>
      </c>
      <c r="F187" t="s">
        <v>1476</v>
      </c>
      <c r="G187" t="s">
        <v>81</v>
      </c>
      <c r="H187">
        <v>36.5</v>
      </c>
      <c r="I187">
        <v>8</v>
      </c>
      <c r="J187">
        <v>163</v>
      </c>
      <c r="K187">
        <v>5376.34</v>
      </c>
      <c r="L187">
        <v>107.82</v>
      </c>
      <c r="M187">
        <v>19.13</v>
      </c>
      <c r="N187">
        <v>5249.39</v>
      </c>
      <c r="O187">
        <v>1503.9</v>
      </c>
      <c r="P187">
        <v>3745.49</v>
      </c>
      <c r="Q187">
        <v>29.15</v>
      </c>
      <c r="R187">
        <v>436.06</v>
      </c>
      <c r="S187">
        <v>308</v>
      </c>
      <c r="T187">
        <v>106</v>
      </c>
      <c r="U187">
        <v>9</v>
      </c>
      <c r="V187">
        <v>57</v>
      </c>
      <c r="W187">
        <v>41</v>
      </c>
      <c r="X187">
        <v>32.2</v>
      </c>
      <c r="Y187">
        <v>1.89</v>
      </c>
      <c r="Z187">
        <v>71.34999999999999</v>
      </c>
      <c r="AA187">
        <v>2000</v>
      </c>
      <c r="AB187">
        <v>1150.68</v>
      </c>
      <c r="AC187">
        <v>352.71</v>
      </c>
      <c r="AD187">
        <v>110</v>
      </c>
      <c r="AE187">
        <v>164.22</v>
      </c>
      <c r="AF187">
        <v>3777.61</v>
      </c>
      <c r="AG187">
        <v>-497.33</v>
      </c>
      <c r="AH187">
        <v>-9.470000000000001</v>
      </c>
    </row>
    <row r="188" spans="1:34">
      <c r="A188" t="s">
        <v>691</v>
      </c>
      <c r="B188" t="s">
        <v>261</v>
      </c>
      <c r="C188" t="b">
        <v>0</v>
      </c>
      <c r="D188" t="b">
        <v>0</v>
      </c>
      <c r="E188" t="s">
        <v>1472</v>
      </c>
      <c r="F188" t="s">
        <v>1476</v>
      </c>
      <c r="G188" t="s">
        <v>81</v>
      </c>
      <c r="H188">
        <v>36.4</v>
      </c>
      <c r="I188">
        <v>9</v>
      </c>
      <c r="J188">
        <v>212</v>
      </c>
      <c r="K188">
        <v>7401.56</v>
      </c>
      <c r="L188">
        <v>195.64</v>
      </c>
      <c r="M188">
        <v>0</v>
      </c>
      <c r="N188">
        <v>7205.92</v>
      </c>
      <c r="O188">
        <v>2080.6</v>
      </c>
      <c r="P188">
        <v>5125.32</v>
      </c>
      <c r="Q188">
        <v>52.73</v>
      </c>
      <c r="R188">
        <v>331.74</v>
      </c>
      <c r="S188">
        <v>436</v>
      </c>
      <c r="T188">
        <v>130</v>
      </c>
      <c r="U188">
        <v>12</v>
      </c>
      <c r="V188">
        <v>82</v>
      </c>
      <c r="W188">
        <v>37</v>
      </c>
      <c r="X188">
        <v>33.99</v>
      </c>
      <c r="Y188">
        <v>2.06</v>
      </c>
      <c r="Z188">
        <v>71.13</v>
      </c>
      <c r="AA188">
        <v>2000</v>
      </c>
      <c r="AB188">
        <v>1150.68</v>
      </c>
      <c r="AC188">
        <v>390.78</v>
      </c>
      <c r="AD188">
        <v>110</v>
      </c>
      <c r="AE188">
        <v>174.58</v>
      </c>
      <c r="AF188">
        <v>3826.04</v>
      </c>
      <c r="AG188">
        <v>914.8099999999999</v>
      </c>
      <c r="AH188">
        <v>12.7</v>
      </c>
    </row>
    <row r="189" spans="1:34">
      <c r="A189" t="s">
        <v>692</v>
      </c>
      <c r="B189" t="s">
        <v>262</v>
      </c>
      <c r="C189" t="b">
        <v>1</v>
      </c>
      <c r="D189" t="b">
        <v>0</v>
      </c>
      <c r="E189" t="s">
        <v>1472</v>
      </c>
      <c r="F189" t="s">
        <v>1476</v>
      </c>
      <c r="G189" t="s">
        <v>81</v>
      </c>
      <c r="H189">
        <v>35.5</v>
      </c>
      <c r="I189">
        <v>10</v>
      </c>
      <c r="J189">
        <v>170</v>
      </c>
      <c r="K189">
        <v>6790.31</v>
      </c>
      <c r="L189">
        <v>98.25</v>
      </c>
      <c r="M189">
        <v>18.26</v>
      </c>
      <c r="N189">
        <v>6673.8</v>
      </c>
      <c r="O189">
        <v>1949.7</v>
      </c>
      <c r="P189">
        <v>4724.1</v>
      </c>
      <c r="Q189">
        <v>44.61</v>
      </c>
      <c r="R189">
        <v>460.9</v>
      </c>
      <c r="S189">
        <v>401</v>
      </c>
      <c r="T189">
        <v>112</v>
      </c>
      <c r="U189">
        <v>11</v>
      </c>
      <c r="V189">
        <v>58</v>
      </c>
      <c r="W189">
        <v>50</v>
      </c>
      <c r="X189">
        <v>39.26</v>
      </c>
      <c r="Y189">
        <v>2.36</v>
      </c>
      <c r="Z189">
        <v>70.79000000000001</v>
      </c>
      <c r="AA189">
        <v>2000</v>
      </c>
      <c r="AB189">
        <v>1150.68</v>
      </c>
      <c r="AC189">
        <v>364.53</v>
      </c>
      <c r="AD189">
        <v>110</v>
      </c>
      <c r="AE189">
        <v>194.38</v>
      </c>
      <c r="AF189">
        <v>3819.59</v>
      </c>
      <c r="AG189">
        <v>399</v>
      </c>
      <c r="AH189">
        <v>5.98</v>
      </c>
    </row>
    <row r="190" spans="1:34">
      <c r="A190" t="s">
        <v>693</v>
      </c>
      <c r="B190" t="s">
        <v>263</v>
      </c>
      <c r="C190" t="b">
        <v>1</v>
      </c>
      <c r="D190" t="b">
        <v>0</v>
      </c>
      <c r="E190" t="s">
        <v>1472</v>
      </c>
      <c r="F190" t="s">
        <v>1476</v>
      </c>
      <c r="G190" t="s">
        <v>81</v>
      </c>
      <c r="H190">
        <v>37.3</v>
      </c>
      <c r="I190">
        <v>11</v>
      </c>
      <c r="J190">
        <v>175</v>
      </c>
      <c r="K190">
        <v>6908.52</v>
      </c>
      <c r="L190">
        <v>99.13</v>
      </c>
      <c r="M190">
        <v>49.57</v>
      </c>
      <c r="N190">
        <v>6759.82</v>
      </c>
      <c r="O190">
        <v>1909.8</v>
      </c>
      <c r="P190">
        <v>4850.02</v>
      </c>
      <c r="Q190">
        <v>40.65</v>
      </c>
      <c r="R190">
        <v>444.25</v>
      </c>
      <c r="S190">
        <v>409</v>
      </c>
      <c r="T190">
        <v>98</v>
      </c>
      <c r="U190">
        <v>12</v>
      </c>
      <c r="V190">
        <v>77</v>
      </c>
      <c r="W190">
        <v>44</v>
      </c>
      <c r="X190">
        <v>38.63</v>
      </c>
      <c r="Y190">
        <v>2.34</v>
      </c>
      <c r="Z190">
        <v>71.75</v>
      </c>
      <c r="AA190">
        <v>2000</v>
      </c>
      <c r="AB190">
        <v>1150.68</v>
      </c>
      <c r="AC190">
        <v>377.08</v>
      </c>
      <c r="AD190">
        <v>110</v>
      </c>
      <c r="AE190">
        <v>177.07</v>
      </c>
      <c r="AF190">
        <v>3814.83</v>
      </c>
      <c r="AG190">
        <v>550.29</v>
      </c>
      <c r="AH190">
        <v>8.140000000000001</v>
      </c>
    </row>
    <row r="191" spans="1:34">
      <c r="A191" t="s">
        <v>392</v>
      </c>
      <c r="B191" t="s">
        <v>75</v>
      </c>
      <c r="C191" t="b">
        <v>0</v>
      </c>
      <c r="D191" t="b">
        <v>0</v>
      </c>
      <c r="E191" t="s">
        <v>1472</v>
      </c>
      <c r="F191" t="s">
        <v>1476</v>
      </c>
      <c r="G191" t="s">
        <v>81</v>
      </c>
      <c r="H191">
        <v>37.5</v>
      </c>
      <c r="I191">
        <v>12</v>
      </c>
      <c r="J191">
        <v>156</v>
      </c>
      <c r="K191">
        <v>5033.78</v>
      </c>
      <c r="L191">
        <v>148.68</v>
      </c>
      <c r="M191">
        <v>22.61</v>
      </c>
      <c r="N191">
        <v>4862.49</v>
      </c>
      <c r="O191">
        <v>1404.35</v>
      </c>
      <c r="P191">
        <v>3458.14</v>
      </c>
      <c r="Q191">
        <v>29.86</v>
      </c>
      <c r="R191">
        <v>378.25</v>
      </c>
      <c r="S191">
        <v>294</v>
      </c>
      <c r="T191">
        <v>102</v>
      </c>
      <c r="U191">
        <v>2</v>
      </c>
      <c r="V191">
        <v>54</v>
      </c>
      <c r="W191">
        <v>43</v>
      </c>
      <c r="X191">
        <v>31.17</v>
      </c>
      <c r="Y191">
        <v>1.88</v>
      </c>
      <c r="Z191">
        <v>71.12</v>
      </c>
      <c r="AA191">
        <v>2000</v>
      </c>
      <c r="AB191">
        <v>1150.68</v>
      </c>
      <c r="AC191">
        <v>350.46</v>
      </c>
      <c r="AD191">
        <v>110</v>
      </c>
      <c r="AE191">
        <v>173.21</v>
      </c>
      <c r="AF191">
        <v>3784.35</v>
      </c>
      <c r="AG191">
        <v>-734.3200000000001</v>
      </c>
      <c r="AH191">
        <v>-15.1</v>
      </c>
    </row>
    <row r="192" spans="1:34">
      <c r="A192" t="s">
        <v>694</v>
      </c>
      <c r="B192" t="s">
        <v>258</v>
      </c>
      <c r="C192" t="b">
        <v>0</v>
      </c>
      <c r="D192" t="b">
        <v>0</v>
      </c>
      <c r="E192" t="s">
        <v>1472</v>
      </c>
      <c r="F192" t="s">
        <v>1476</v>
      </c>
      <c r="G192" t="s">
        <v>81</v>
      </c>
      <c r="H192">
        <v>35.8</v>
      </c>
      <c r="I192">
        <v>13</v>
      </c>
      <c r="J192">
        <v>153</v>
      </c>
      <c r="K192">
        <v>4950.3</v>
      </c>
      <c r="L192">
        <v>91.3</v>
      </c>
      <c r="M192">
        <v>0</v>
      </c>
      <c r="N192">
        <v>4859</v>
      </c>
      <c r="O192">
        <v>1385.8</v>
      </c>
      <c r="P192">
        <v>3473.2</v>
      </c>
      <c r="Q192">
        <v>33.05</v>
      </c>
      <c r="R192">
        <v>220.94</v>
      </c>
      <c r="S192">
        <v>294</v>
      </c>
      <c r="T192">
        <v>78</v>
      </c>
      <c r="U192">
        <v>2</v>
      </c>
      <c r="V192">
        <v>75</v>
      </c>
      <c r="W192">
        <v>27</v>
      </c>
      <c r="X192">
        <v>31.76</v>
      </c>
      <c r="Y192">
        <v>1.92</v>
      </c>
      <c r="Z192">
        <v>71.48</v>
      </c>
      <c r="AA192">
        <v>2000</v>
      </c>
      <c r="AB192">
        <v>1150.68</v>
      </c>
      <c r="AC192">
        <v>335.11</v>
      </c>
      <c r="AD192">
        <v>110</v>
      </c>
      <c r="AE192">
        <v>192.31</v>
      </c>
      <c r="AF192">
        <v>3788.1</v>
      </c>
      <c r="AG192">
        <v>-568.89</v>
      </c>
      <c r="AH192">
        <v>-11.71</v>
      </c>
    </row>
    <row r="193" spans="1:34">
      <c r="A193" t="s">
        <v>695</v>
      </c>
      <c r="B193" t="s">
        <v>259</v>
      </c>
      <c r="C193" t="b">
        <v>0</v>
      </c>
      <c r="D193" t="b">
        <v>0</v>
      </c>
      <c r="E193" t="s">
        <v>1472</v>
      </c>
      <c r="F193" t="s">
        <v>1476</v>
      </c>
      <c r="G193" t="s">
        <v>81</v>
      </c>
      <c r="H193">
        <v>36.5</v>
      </c>
      <c r="I193">
        <v>14</v>
      </c>
      <c r="J193">
        <v>148</v>
      </c>
      <c r="K193">
        <v>4785.99</v>
      </c>
      <c r="L193">
        <v>42.6</v>
      </c>
      <c r="M193">
        <v>59.13</v>
      </c>
      <c r="N193">
        <v>4684.26</v>
      </c>
      <c r="O193">
        <v>1342.8</v>
      </c>
      <c r="P193">
        <v>3341.46</v>
      </c>
      <c r="Q193">
        <v>32.98</v>
      </c>
      <c r="R193">
        <v>302.04</v>
      </c>
      <c r="S193">
        <v>286</v>
      </c>
      <c r="T193">
        <v>93</v>
      </c>
      <c r="U193">
        <v>4</v>
      </c>
      <c r="V193">
        <v>55</v>
      </c>
      <c r="W193">
        <v>34</v>
      </c>
      <c r="X193">
        <v>31.65</v>
      </c>
      <c r="Y193">
        <v>1.93</v>
      </c>
      <c r="Z193">
        <v>71.33</v>
      </c>
      <c r="AA193">
        <v>2000</v>
      </c>
      <c r="AB193">
        <v>1150.68</v>
      </c>
      <c r="AC193">
        <v>359.7</v>
      </c>
      <c r="AD193">
        <v>110</v>
      </c>
      <c r="AE193">
        <v>7005.64</v>
      </c>
      <c r="AF193">
        <v>10626.02</v>
      </c>
      <c r="AG193">
        <v>-7619.58</v>
      </c>
      <c r="AH193">
        <v>-162.66</v>
      </c>
    </row>
    <row r="194" spans="1:34">
      <c r="A194" t="s">
        <v>696</v>
      </c>
      <c r="B194" t="s">
        <v>260</v>
      </c>
      <c r="C194" t="b">
        <v>0</v>
      </c>
      <c r="D194" t="b">
        <v>0</v>
      </c>
      <c r="E194" t="s">
        <v>1472</v>
      </c>
      <c r="F194" t="s">
        <v>1476</v>
      </c>
      <c r="G194" t="s">
        <v>81</v>
      </c>
      <c r="H194">
        <v>36.8</v>
      </c>
      <c r="I194">
        <v>15</v>
      </c>
      <c r="J194">
        <v>159</v>
      </c>
      <c r="K194">
        <v>5347.68</v>
      </c>
      <c r="L194">
        <v>199.12</v>
      </c>
      <c r="M194">
        <v>22.61</v>
      </c>
      <c r="N194">
        <v>5125.95</v>
      </c>
      <c r="O194">
        <v>1536</v>
      </c>
      <c r="P194">
        <v>3589.95</v>
      </c>
      <c r="Q194">
        <v>33.14</v>
      </c>
      <c r="R194">
        <v>318.15</v>
      </c>
      <c r="S194">
        <v>307</v>
      </c>
      <c r="T194">
        <v>101</v>
      </c>
      <c r="U194">
        <v>5</v>
      </c>
      <c r="V194">
        <v>58</v>
      </c>
      <c r="W194">
        <v>39</v>
      </c>
      <c r="X194">
        <v>32.24</v>
      </c>
      <c r="Y194">
        <v>1.93</v>
      </c>
      <c r="Z194">
        <v>70.03</v>
      </c>
      <c r="AA194">
        <v>2000</v>
      </c>
      <c r="AB194">
        <v>1150.68</v>
      </c>
      <c r="AC194">
        <v>393.22</v>
      </c>
      <c r="AD194">
        <v>110</v>
      </c>
      <c r="AE194">
        <v>168.1</v>
      </c>
      <c r="AF194">
        <v>3822</v>
      </c>
      <c r="AG194">
        <v>-583.34</v>
      </c>
      <c r="AH194">
        <v>-11.38</v>
      </c>
    </row>
    <row r="195" spans="1:34">
      <c r="A195" t="s">
        <v>697</v>
      </c>
      <c r="B195" t="s">
        <v>261</v>
      </c>
      <c r="C195" t="b">
        <v>0</v>
      </c>
      <c r="D195" t="b">
        <v>0</v>
      </c>
      <c r="E195" t="s">
        <v>1472</v>
      </c>
      <c r="F195" t="s">
        <v>1476</v>
      </c>
      <c r="G195" t="s">
        <v>81</v>
      </c>
      <c r="H195">
        <v>37</v>
      </c>
      <c r="I195">
        <v>16</v>
      </c>
      <c r="J195">
        <v>234</v>
      </c>
      <c r="K195">
        <v>7808.47</v>
      </c>
      <c r="L195">
        <v>135.64</v>
      </c>
      <c r="M195">
        <v>0</v>
      </c>
      <c r="N195">
        <v>7672.83</v>
      </c>
      <c r="O195">
        <v>2165.1</v>
      </c>
      <c r="P195">
        <v>5507.73</v>
      </c>
      <c r="Q195">
        <v>47.45</v>
      </c>
      <c r="R195">
        <v>560.98</v>
      </c>
      <c r="S195">
        <v>470</v>
      </c>
      <c r="T195">
        <v>158</v>
      </c>
      <c r="U195">
        <v>6</v>
      </c>
      <c r="V195">
        <v>76</v>
      </c>
      <c r="W195">
        <v>64</v>
      </c>
      <c r="X195">
        <v>32.79</v>
      </c>
      <c r="Y195">
        <v>2.01</v>
      </c>
      <c r="Z195">
        <v>71.78</v>
      </c>
      <c r="AA195">
        <v>2000</v>
      </c>
      <c r="AB195">
        <v>1150.68</v>
      </c>
      <c r="AC195">
        <v>397.02</v>
      </c>
      <c r="AD195">
        <v>110</v>
      </c>
      <c r="AE195">
        <v>221.61</v>
      </c>
      <c r="AF195">
        <v>3879.31</v>
      </c>
      <c r="AG195">
        <v>1019.99</v>
      </c>
      <c r="AH195">
        <v>13.29</v>
      </c>
    </row>
    <row r="196" spans="1:34">
      <c r="A196" t="s">
        <v>698</v>
      </c>
      <c r="B196" t="s">
        <v>262</v>
      </c>
      <c r="C196" t="b">
        <v>1</v>
      </c>
      <c r="D196" t="b">
        <v>0</v>
      </c>
      <c r="E196" t="s">
        <v>1472</v>
      </c>
      <c r="F196" t="s">
        <v>1476</v>
      </c>
      <c r="G196" t="s">
        <v>81</v>
      </c>
      <c r="H196">
        <v>37.5</v>
      </c>
      <c r="I196">
        <v>17</v>
      </c>
      <c r="J196">
        <v>153</v>
      </c>
      <c r="K196">
        <v>5756.37</v>
      </c>
      <c r="L196">
        <v>90.43000000000001</v>
      </c>
      <c r="M196">
        <v>10.43</v>
      </c>
      <c r="N196">
        <v>5655.51</v>
      </c>
      <c r="O196">
        <v>1617.65</v>
      </c>
      <c r="P196">
        <v>4037.86</v>
      </c>
      <c r="Q196">
        <v>38</v>
      </c>
      <c r="R196">
        <v>363.5</v>
      </c>
      <c r="S196">
        <v>332</v>
      </c>
      <c r="T196">
        <v>99</v>
      </c>
      <c r="U196">
        <v>3</v>
      </c>
      <c r="V196">
        <v>54</v>
      </c>
      <c r="W196">
        <v>43</v>
      </c>
      <c r="X196">
        <v>36.96</v>
      </c>
      <c r="Y196">
        <v>2.17</v>
      </c>
      <c r="Z196">
        <v>71.40000000000001</v>
      </c>
      <c r="AA196">
        <v>2000</v>
      </c>
      <c r="AB196">
        <v>1150.68</v>
      </c>
      <c r="AC196">
        <v>366.52</v>
      </c>
      <c r="AD196">
        <v>110</v>
      </c>
      <c r="AE196">
        <v>159.2</v>
      </c>
      <c r="AF196">
        <v>3786.4</v>
      </c>
      <c r="AG196">
        <v>-150.04</v>
      </c>
      <c r="AH196">
        <v>-2.65</v>
      </c>
    </row>
    <row r="197" spans="1:34">
      <c r="A197" t="s">
        <v>699</v>
      </c>
      <c r="B197" t="s">
        <v>263</v>
      </c>
      <c r="C197" t="b">
        <v>1</v>
      </c>
      <c r="D197" t="b">
        <v>0</v>
      </c>
      <c r="E197" t="s">
        <v>1472</v>
      </c>
      <c r="F197" t="s">
        <v>1476</v>
      </c>
      <c r="G197" t="s">
        <v>81</v>
      </c>
      <c r="H197">
        <v>35.9</v>
      </c>
      <c r="I197">
        <v>18</v>
      </c>
      <c r="J197">
        <v>139</v>
      </c>
      <c r="K197">
        <v>5034.72</v>
      </c>
      <c r="L197">
        <v>137.39</v>
      </c>
      <c r="M197">
        <v>0</v>
      </c>
      <c r="N197">
        <v>4897.33</v>
      </c>
      <c r="O197">
        <v>1421.35</v>
      </c>
      <c r="P197">
        <v>3475.98</v>
      </c>
      <c r="Q197">
        <v>31.48</v>
      </c>
      <c r="R197">
        <v>336.71</v>
      </c>
      <c r="S197">
        <v>300</v>
      </c>
      <c r="T197">
        <v>99</v>
      </c>
      <c r="U197">
        <v>8</v>
      </c>
      <c r="V197">
        <v>40</v>
      </c>
      <c r="W197">
        <v>35</v>
      </c>
      <c r="X197">
        <v>35.23</v>
      </c>
      <c r="Y197">
        <v>2.16</v>
      </c>
      <c r="Z197">
        <v>70.98</v>
      </c>
      <c r="AA197">
        <v>2000</v>
      </c>
      <c r="AB197">
        <v>1150.68</v>
      </c>
      <c r="AC197">
        <v>357.28</v>
      </c>
      <c r="AD197">
        <v>110</v>
      </c>
      <c r="AE197">
        <v>183.4</v>
      </c>
      <c r="AF197">
        <v>3801.36</v>
      </c>
      <c r="AG197">
        <v>-693.5700000000001</v>
      </c>
      <c r="AH197">
        <v>-14.16</v>
      </c>
    </row>
    <row r="198" spans="1:34">
      <c r="A198" t="s">
        <v>393</v>
      </c>
      <c r="B198" t="s">
        <v>75</v>
      </c>
      <c r="C198" t="b">
        <v>0</v>
      </c>
      <c r="D198" t="b">
        <v>0</v>
      </c>
      <c r="E198" t="s">
        <v>1472</v>
      </c>
      <c r="F198" t="s">
        <v>1476</v>
      </c>
      <c r="G198" t="s">
        <v>81</v>
      </c>
      <c r="H198">
        <v>33.3</v>
      </c>
      <c r="I198">
        <v>19</v>
      </c>
      <c r="J198">
        <v>151</v>
      </c>
      <c r="K198">
        <v>4318.14</v>
      </c>
      <c r="L198">
        <v>70.43000000000001</v>
      </c>
      <c r="M198">
        <v>19.13</v>
      </c>
      <c r="N198">
        <v>4228.58</v>
      </c>
      <c r="O198">
        <v>1233.2</v>
      </c>
      <c r="P198">
        <v>2995.38</v>
      </c>
      <c r="Q198">
        <v>29.27</v>
      </c>
      <c r="R198">
        <v>244.32</v>
      </c>
      <c r="S198">
        <v>253</v>
      </c>
      <c r="T198">
        <v>100</v>
      </c>
      <c r="U198">
        <v>10</v>
      </c>
      <c r="V198">
        <v>51</v>
      </c>
      <c r="W198">
        <v>28</v>
      </c>
      <c r="X198">
        <v>28</v>
      </c>
      <c r="Y198">
        <v>1.68</v>
      </c>
      <c r="Z198">
        <v>70.84</v>
      </c>
      <c r="AA198">
        <v>2000</v>
      </c>
      <c r="AB198">
        <v>1150.68</v>
      </c>
      <c r="AC198">
        <v>338.72</v>
      </c>
      <c r="AD198">
        <v>110</v>
      </c>
      <c r="AE198">
        <v>216.15</v>
      </c>
      <c r="AF198">
        <v>3815.55</v>
      </c>
      <c r="AG198">
        <v>-1093.76</v>
      </c>
      <c r="AH198">
        <v>-25.87</v>
      </c>
    </row>
    <row r="199" spans="1:34">
      <c r="A199" t="s">
        <v>700</v>
      </c>
      <c r="B199" t="s">
        <v>258</v>
      </c>
      <c r="C199" t="b">
        <v>0</v>
      </c>
      <c r="D199" t="b">
        <v>0</v>
      </c>
      <c r="E199" t="s">
        <v>1472</v>
      </c>
      <c r="F199" t="s">
        <v>1476</v>
      </c>
      <c r="G199" t="s">
        <v>81</v>
      </c>
      <c r="H199">
        <v>33.8</v>
      </c>
      <c r="I199">
        <v>20</v>
      </c>
      <c r="J199">
        <v>162</v>
      </c>
      <c r="K199">
        <v>5115.54</v>
      </c>
      <c r="L199">
        <v>133.04</v>
      </c>
      <c r="M199">
        <v>0</v>
      </c>
      <c r="N199">
        <v>4982.5</v>
      </c>
      <c r="O199">
        <v>1463.75</v>
      </c>
      <c r="P199">
        <v>3518.75</v>
      </c>
      <c r="Q199">
        <v>36.81</v>
      </c>
      <c r="R199">
        <v>251.57</v>
      </c>
      <c r="S199">
        <v>308</v>
      </c>
      <c r="T199">
        <v>95</v>
      </c>
      <c r="U199">
        <v>6</v>
      </c>
      <c r="V199">
        <v>67</v>
      </c>
      <c r="W199">
        <v>30</v>
      </c>
      <c r="X199">
        <v>30.76</v>
      </c>
      <c r="Y199">
        <v>1.9</v>
      </c>
      <c r="Z199">
        <v>70.62</v>
      </c>
      <c r="AA199">
        <v>2000</v>
      </c>
      <c r="AB199">
        <v>1150.68</v>
      </c>
      <c r="AC199">
        <v>341.12</v>
      </c>
      <c r="AD199">
        <v>110</v>
      </c>
      <c r="AE199">
        <v>171.78</v>
      </c>
      <c r="AF199">
        <v>3773.58</v>
      </c>
      <c r="AG199">
        <v>-543.21</v>
      </c>
      <c r="AH199">
        <v>-10.9</v>
      </c>
    </row>
    <row r="200" spans="1:34">
      <c r="A200" t="s">
        <v>701</v>
      </c>
      <c r="B200" t="s">
        <v>259</v>
      </c>
      <c r="C200" t="b">
        <v>0</v>
      </c>
      <c r="D200" t="b">
        <v>0</v>
      </c>
      <c r="E200" t="s">
        <v>1472</v>
      </c>
      <c r="F200" t="s">
        <v>1476</v>
      </c>
      <c r="G200" t="s">
        <v>81</v>
      </c>
      <c r="H200">
        <v>36.4</v>
      </c>
      <c r="I200">
        <v>21</v>
      </c>
      <c r="J200">
        <v>153</v>
      </c>
      <c r="K200">
        <v>4444.19</v>
      </c>
      <c r="L200">
        <v>0</v>
      </c>
      <c r="M200">
        <v>25.22</v>
      </c>
      <c r="N200">
        <v>4418.97</v>
      </c>
      <c r="O200">
        <v>1245.3</v>
      </c>
      <c r="P200">
        <v>3173.67</v>
      </c>
      <c r="Q200">
        <v>28.93</v>
      </c>
      <c r="R200">
        <v>252.91</v>
      </c>
      <c r="S200">
        <v>275</v>
      </c>
      <c r="T200">
        <v>88</v>
      </c>
      <c r="U200">
        <v>4</v>
      </c>
      <c r="V200">
        <v>65</v>
      </c>
      <c r="W200">
        <v>29</v>
      </c>
      <c r="X200">
        <v>28.88</v>
      </c>
      <c r="Y200">
        <v>1.8</v>
      </c>
      <c r="Z200">
        <v>71.81999999999999</v>
      </c>
      <c r="AA200">
        <v>2000</v>
      </c>
      <c r="AB200">
        <v>1150.68</v>
      </c>
      <c r="AC200">
        <v>363.06</v>
      </c>
      <c r="AD200">
        <v>110</v>
      </c>
      <c r="AE200">
        <v>155.92</v>
      </c>
      <c r="AF200">
        <v>3779.66</v>
      </c>
      <c r="AG200">
        <v>-887.83</v>
      </c>
      <c r="AH200">
        <v>-20.09</v>
      </c>
    </row>
    <row r="201" spans="1:34">
      <c r="A201" t="s">
        <v>702</v>
      </c>
      <c r="B201" t="s">
        <v>260</v>
      </c>
      <c r="C201" t="b">
        <v>0</v>
      </c>
      <c r="D201" t="b">
        <v>0</v>
      </c>
      <c r="E201" t="s">
        <v>1472</v>
      </c>
      <c r="F201" t="s">
        <v>1476</v>
      </c>
      <c r="G201" t="s">
        <v>81</v>
      </c>
      <c r="H201">
        <v>35.9</v>
      </c>
      <c r="I201">
        <v>22</v>
      </c>
      <c r="J201">
        <v>142</v>
      </c>
      <c r="K201">
        <v>4199.85</v>
      </c>
      <c r="L201">
        <v>82.59999999999999</v>
      </c>
      <c r="M201">
        <v>0</v>
      </c>
      <c r="N201">
        <v>4117.25</v>
      </c>
      <c r="O201">
        <v>1168</v>
      </c>
      <c r="P201">
        <v>2949.25</v>
      </c>
      <c r="Q201">
        <v>34.02</v>
      </c>
      <c r="R201">
        <v>200.3</v>
      </c>
      <c r="S201">
        <v>249</v>
      </c>
      <c r="T201">
        <v>92</v>
      </c>
      <c r="U201">
        <v>6</v>
      </c>
      <c r="V201">
        <v>50</v>
      </c>
      <c r="W201">
        <v>26</v>
      </c>
      <c r="X201">
        <v>28.99</v>
      </c>
      <c r="Y201">
        <v>1.75</v>
      </c>
      <c r="Z201">
        <v>71.63</v>
      </c>
      <c r="AA201">
        <v>2000</v>
      </c>
      <c r="AB201">
        <v>1150.68</v>
      </c>
      <c r="AC201">
        <v>349.54</v>
      </c>
      <c r="AD201">
        <v>110</v>
      </c>
      <c r="AE201">
        <v>193.16</v>
      </c>
      <c r="AF201">
        <v>3803.38</v>
      </c>
      <c r="AG201">
        <v>-1088.45</v>
      </c>
      <c r="AH201">
        <v>-26.44</v>
      </c>
    </row>
    <row r="202" spans="1:34">
      <c r="A202" t="s">
        <v>703</v>
      </c>
      <c r="B202" t="s">
        <v>261</v>
      </c>
      <c r="C202" t="b">
        <v>0</v>
      </c>
      <c r="D202" t="b">
        <v>0</v>
      </c>
      <c r="E202" t="s">
        <v>1472</v>
      </c>
      <c r="F202" t="s">
        <v>1476</v>
      </c>
      <c r="G202" t="s">
        <v>81</v>
      </c>
      <c r="H202">
        <v>37.2</v>
      </c>
      <c r="I202">
        <v>23</v>
      </c>
      <c r="J202">
        <v>181</v>
      </c>
      <c r="K202">
        <v>6061.56</v>
      </c>
      <c r="L202">
        <v>202.59</v>
      </c>
      <c r="M202">
        <v>19.13</v>
      </c>
      <c r="N202">
        <v>5839.84</v>
      </c>
      <c r="O202">
        <v>1676.6</v>
      </c>
      <c r="P202">
        <v>4163.24</v>
      </c>
      <c r="Q202">
        <v>35.37</v>
      </c>
      <c r="R202">
        <v>333.47</v>
      </c>
      <c r="S202">
        <v>358</v>
      </c>
      <c r="T202">
        <v>124</v>
      </c>
      <c r="U202">
        <v>7</v>
      </c>
      <c r="V202">
        <v>57</v>
      </c>
      <c r="W202">
        <v>38</v>
      </c>
      <c r="X202">
        <v>32.26</v>
      </c>
      <c r="Y202">
        <v>1.98</v>
      </c>
      <c r="Z202">
        <v>71.29000000000001</v>
      </c>
      <c r="AA202">
        <v>2000</v>
      </c>
      <c r="AB202">
        <v>1150.68</v>
      </c>
      <c r="AC202">
        <v>363.66</v>
      </c>
      <c r="AD202">
        <v>110</v>
      </c>
      <c r="AE202">
        <v>201.74</v>
      </c>
      <c r="AF202">
        <v>3826.08</v>
      </c>
      <c r="AG202">
        <v>-31.68</v>
      </c>
      <c r="AH202">
        <v>-0.54</v>
      </c>
    </row>
    <row r="203" spans="1:34">
      <c r="A203" t="s">
        <v>704</v>
      </c>
      <c r="B203" t="s">
        <v>262</v>
      </c>
      <c r="C203" t="b">
        <v>1</v>
      </c>
      <c r="D203" t="b">
        <v>0</v>
      </c>
      <c r="E203" t="s">
        <v>1472</v>
      </c>
      <c r="F203" t="s">
        <v>1476</v>
      </c>
      <c r="G203" t="s">
        <v>81</v>
      </c>
      <c r="H203">
        <v>37.1</v>
      </c>
      <c r="I203">
        <v>24</v>
      </c>
      <c r="J203">
        <v>157</v>
      </c>
      <c r="K203">
        <v>5806.84</v>
      </c>
      <c r="L203">
        <v>70.44</v>
      </c>
      <c r="M203">
        <v>0</v>
      </c>
      <c r="N203">
        <v>5736.4</v>
      </c>
      <c r="O203">
        <v>1626.4</v>
      </c>
      <c r="P203">
        <v>4110</v>
      </c>
      <c r="Q203">
        <v>34.53</v>
      </c>
      <c r="R203">
        <v>383.58</v>
      </c>
      <c r="S203">
        <v>349</v>
      </c>
      <c r="T203">
        <v>93</v>
      </c>
      <c r="U203">
        <v>3</v>
      </c>
      <c r="V203">
        <v>64</v>
      </c>
      <c r="W203">
        <v>40</v>
      </c>
      <c r="X203">
        <v>36.54</v>
      </c>
      <c r="Y203">
        <v>2.22</v>
      </c>
      <c r="Z203">
        <v>71.65000000000001</v>
      </c>
      <c r="AA203">
        <v>2000</v>
      </c>
      <c r="AB203">
        <v>1150.68</v>
      </c>
      <c r="AC203">
        <v>357.05</v>
      </c>
      <c r="AD203">
        <v>110</v>
      </c>
      <c r="AE203">
        <v>188.34</v>
      </c>
      <c r="AF203">
        <v>3806.07</v>
      </c>
      <c r="AG203">
        <v>-114.18</v>
      </c>
      <c r="AH203">
        <v>-1.99</v>
      </c>
    </row>
    <row r="204" spans="1:34">
      <c r="A204" t="s">
        <v>705</v>
      </c>
      <c r="B204" t="s">
        <v>263</v>
      </c>
      <c r="C204" t="b">
        <v>1</v>
      </c>
      <c r="D204" t="b">
        <v>0</v>
      </c>
      <c r="E204" t="s">
        <v>1472</v>
      </c>
      <c r="F204" t="s">
        <v>1476</v>
      </c>
      <c r="G204" t="s">
        <v>81</v>
      </c>
      <c r="H204">
        <v>35.5</v>
      </c>
      <c r="I204">
        <v>25</v>
      </c>
      <c r="J204">
        <v>127</v>
      </c>
      <c r="K204">
        <v>4336.37</v>
      </c>
      <c r="L204">
        <v>83.48</v>
      </c>
      <c r="M204">
        <v>0</v>
      </c>
      <c r="N204">
        <v>4252.89</v>
      </c>
      <c r="O204">
        <v>1175.95</v>
      </c>
      <c r="P204">
        <v>3076.94</v>
      </c>
      <c r="Q204">
        <v>27.5</v>
      </c>
      <c r="R204">
        <v>240.49</v>
      </c>
      <c r="S204">
        <v>264</v>
      </c>
      <c r="T204">
        <v>82</v>
      </c>
      <c r="U204">
        <v>9</v>
      </c>
      <c r="V204">
        <v>45</v>
      </c>
      <c r="W204">
        <v>28</v>
      </c>
      <c r="X204">
        <v>33.49</v>
      </c>
      <c r="Y204">
        <v>2.08</v>
      </c>
      <c r="Z204">
        <v>72.34999999999999</v>
      </c>
      <c r="AA204">
        <v>2000</v>
      </c>
      <c r="AB204">
        <v>1150.68</v>
      </c>
      <c r="AC204">
        <v>349.29</v>
      </c>
      <c r="AD204">
        <v>110</v>
      </c>
      <c r="AE204">
        <v>163.32</v>
      </c>
      <c r="AF204">
        <v>3773.29</v>
      </c>
      <c r="AG204">
        <v>-964.34</v>
      </c>
      <c r="AH204">
        <v>-22.67</v>
      </c>
    </row>
    <row r="205" spans="1:34">
      <c r="A205" t="s">
        <v>394</v>
      </c>
      <c r="B205" t="s">
        <v>75</v>
      </c>
      <c r="C205" t="b">
        <v>0</v>
      </c>
      <c r="D205" t="b">
        <v>0</v>
      </c>
      <c r="E205" t="s">
        <v>1472</v>
      </c>
      <c r="F205" t="s">
        <v>1476</v>
      </c>
      <c r="G205" t="s">
        <v>81</v>
      </c>
      <c r="H205">
        <v>35.3</v>
      </c>
      <c r="I205">
        <v>26</v>
      </c>
      <c r="J205">
        <v>137</v>
      </c>
      <c r="K205">
        <v>4390.22</v>
      </c>
      <c r="L205">
        <v>72.17</v>
      </c>
      <c r="M205">
        <v>37.39</v>
      </c>
      <c r="N205">
        <v>4280.66</v>
      </c>
      <c r="O205">
        <v>1247.1</v>
      </c>
      <c r="P205">
        <v>3033.56</v>
      </c>
      <c r="Q205">
        <v>33.78</v>
      </c>
      <c r="R205">
        <v>236.25</v>
      </c>
      <c r="S205">
        <v>265</v>
      </c>
      <c r="T205">
        <v>90</v>
      </c>
      <c r="U205">
        <v>2</v>
      </c>
      <c r="V205">
        <v>47</v>
      </c>
      <c r="W205">
        <v>25</v>
      </c>
      <c r="X205">
        <v>31.25</v>
      </c>
      <c r="Y205">
        <v>1.93</v>
      </c>
      <c r="Z205">
        <v>70.87</v>
      </c>
      <c r="AA205">
        <v>2000</v>
      </c>
      <c r="AB205">
        <v>1150.68</v>
      </c>
      <c r="AC205">
        <v>324.78</v>
      </c>
      <c r="AD205">
        <v>110</v>
      </c>
      <c r="AE205">
        <v>162.59</v>
      </c>
      <c r="AF205">
        <v>3748.05</v>
      </c>
      <c r="AG205">
        <v>-984.52</v>
      </c>
      <c r="AH205">
        <v>-23</v>
      </c>
    </row>
    <row r="206" spans="1:34">
      <c r="A206" t="s">
        <v>706</v>
      </c>
      <c r="B206" t="s">
        <v>258</v>
      </c>
      <c r="C206" t="b">
        <v>0</v>
      </c>
      <c r="D206" t="b">
        <v>0</v>
      </c>
      <c r="E206" t="s">
        <v>1472</v>
      </c>
      <c r="F206" t="s">
        <v>1476</v>
      </c>
      <c r="G206" t="s">
        <v>81</v>
      </c>
      <c r="H206">
        <v>35.2</v>
      </c>
      <c r="I206">
        <v>27</v>
      </c>
      <c r="J206">
        <v>109</v>
      </c>
      <c r="K206">
        <v>3521.67</v>
      </c>
      <c r="L206">
        <v>86.95</v>
      </c>
      <c r="M206">
        <v>22.61</v>
      </c>
      <c r="N206">
        <v>3412.11</v>
      </c>
      <c r="O206">
        <v>1029.45</v>
      </c>
      <c r="P206">
        <v>2382.66</v>
      </c>
      <c r="Q206">
        <v>22.21</v>
      </c>
      <c r="R206">
        <v>220.37</v>
      </c>
      <c r="S206">
        <v>202</v>
      </c>
      <c r="T206">
        <v>66</v>
      </c>
      <c r="U206">
        <v>2</v>
      </c>
      <c r="V206">
        <v>43</v>
      </c>
      <c r="W206">
        <v>26</v>
      </c>
      <c r="X206">
        <v>31.3</v>
      </c>
      <c r="Y206">
        <v>1.85</v>
      </c>
      <c r="Z206">
        <v>69.83</v>
      </c>
      <c r="AA206">
        <v>2000</v>
      </c>
      <c r="AB206">
        <v>1150.68</v>
      </c>
      <c r="AC206">
        <v>354.28</v>
      </c>
      <c r="AD206">
        <v>110</v>
      </c>
      <c r="AE206">
        <v>201.67</v>
      </c>
      <c r="AF206">
        <v>3816.63</v>
      </c>
      <c r="AG206">
        <v>-1676.55</v>
      </c>
      <c r="AH206">
        <v>-49.14</v>
      </c>
    </row>
    <row r="207" spans="1:34">
      <c r="A207" t="s">
        <v>707</v>
      </c>
      <c r="B207" t="s">
        <v>259</v>
      </c>
      <c r="C207" t="b">
        <v>0</v>
      </c>
      <c r="D207" t="b">
        <v>0</v>
      </c>
      <c r="E207" t="s">
        <v>1472</v>
      </c>
      <c r="F207" t="s">
        <v>1476</v>
      </c>
      <c r="G207" t="s">
        <v>81</v>
      </c>
      <c r="H207">
        <v>36</v>
      </c>
      <c r="I207">
        <v>28</v>
      </c>
      <c r="J207">
        <v>150</v>
      </c>
      <c r="K207">
        <v>3969.46</v>
      </c>
      <c r="L207">
        <v>73.91</v>
      </c>
      <c r="M207">
        <v>0</v>
      </c>
      <c r="N207">
        <v>3895.55</v>
      </c>
      <c r="O207">
        <v>1118.3</v>
      </c>
      <c r="P207">
        <v>2777.25</v>
      </c>
      <c r="Q207">
        <v>27.09</v>
      </c>
      <c r="R207">
        <v>164.53</v>
      </c>
      <c r="S207">
        <v>246</v>
      </c>
      <c r="T207">
        <v>92</v>
      </c>
      <c r="U207">
        <v>4</v>
      </c>
      <c r="V207">
        <v>58</v>
      </c>
      <c r="W207">
        <v>22</v>
      </c>
      <c r="X207">
        <v>25.97</v>
      </c>
      <c r="Y207">
        <v>1.64</v>
      </c>
      <c r="Z207">
        <v>71.29000000000001</v>
      </c>
      <c r="AA207">
        <v>2000</v>
      </c>
      <c r="AB207">
        <v>1150.68</v>
      </c>
      <c r="AC207">
        <v>314.19</v>
      </c>
      <c r="AD207">
        <v>110</v>
      </c>
      <c r="AE207">
        <v>142.7</v>
      </c>
      <c r="AF207">
        <v>3717.57</v>
      </c>
      <c r="AG207">
        <v>-1131.94</v>
      </c>
      <c r="AH207">
        <v>-29.06</v>
      </c>
    </row>
    <row r="208" spans="1:34">
      <c r="A208" t="s">
        <v>708</v>
      </c>
      <c r="B208" t="s">
        <v>260</v>
      </c>
      <c r="C208" t="b">
        <v>0</v>
      </c>
      <c r="D208" t="b">
        <v>0</v>
      </c>
      <c r="E208" t="s">
        <v>1472</v>
      </c>
      <c r="F208" t="s">
        <v>1476</v>
      </c>
      <c r="G208" t="s">
        <v>81</v>
      </c>
      <c r="H208">
        <v>34.3</v>
      </c>
      <c r="I208">
        <v>29</v>
      </c>
      <c r="J208">
        <v>171</v>
      </c>
      <c r="K208">
        <v>4837.22</v>
      </c>
      <c r="L208">
        <v>128.69</v>
      </c>
      <c r="M208">
        <v>6.96</v>
      </c>
      <c r="N208">
        <v>4701.57</v>
      </c>
      <c r="O208">
        <v>1351</v>
      </c>
      <c r="P208">
        <v>3350.57</v>
      </c>
      <c r="Q208">
        <v>33.84</v>
      </c>
      <c r="R208">
        <v>276.26</v>
      </c>
      <c r="S208">
        <v>288</v>
      </c>
      <c r="T208">
        <v>104</v>
      </c>
      <c r="U208">
        <v>3</v>
      </c>
      <c r="V208">
        <v>67</v>
      </c>
      <c r="W208">
        <v>33</v>
      </c>
      <c r="X208">
        <v>27.49</v>
      </c>
      <c r="Y208">
        <v>1.68</v>
      </c>
      <c r="Z208">
        <v>71.26000000000001</v>
      </c>
      <c r="AA208">
        <v>2000</v>
      </c>
      <c r="AB208">
        <v>1150.68</v>
      </c>
      <c r="AC208">
        <v>360.7</v>
      </c>
      <c r="AD208">
        <v>110</v>
      </c>
      <c r="AE208">
        <v>181.36</v>
      </c>
      <c r="AF208">
        <v>3802.74</v>
      </c>
      <c r="AG208">
        <v>-762.27</v>
      </c>
      <c r="AH208">
        <v>-16.21</v>
      </c>
    </row>
    <row r="209" spans="1:34">
      <c r="A209" t="s">
        <v>709</v>
      </c>
      <c r="B209" t="s">
        <v>261</v>
      </c>
      <c r="C209" t="b">
        <v>0</v>
      </c>
      <c r="D209" t="b">
        <v>0</v>
      </c>
      <c r="E209" t="s">
        <v>1472</v>
      </c>
      <c r="F209" t="s">
        <v>1476</v>
      </c>
      <c r="G209" t="s">
        <v>1477</v>
      </c>
      <c r="H209">
        <v>33.2</v>
      </c>
      <c r="I209">
        <v>0</v>
      </c>
      <c r="J209">
        <v>208</v>
      </c>
      <c r="K209">
        <v>7382.43</v>
      </c>
      <c r="L209">
        <v>113.9</v>
      </c>
      <c r="M209">
        <v>0</v>
      </c>
      <c r="N209">
        <v>7268.53</v>
      </c>
      <c r="O209">
        <v>2106.3</v>
      </c>
      <c r="P209">
        <v>5162.23</v>
      </c>
      <c r="Q209">
        <v>49.38</v>
      </c>
      <c r="R209">
        <v>415.18</v>
      </c>
      <c r="S209">
        <v>430</v>
      </c>
      <c r="T209">
        <v>117</v>
      </c>
      <c r="U209">
        <v>3</v>
      </c>
      <c r="V209">
        <v>91</v>
      </c>
      <c r="W209">
        <v>38</v>
      </c>
      <c r="X209">
        <v>34.94</v>
      </c>
      <c r="Y209">
        <v>2.07</v>
      </c>
      <c r="Z209">
        <v>71.02</v>
      </c>
      <c r="AA209">
        <v>2000</v>
      </c>
      <c r="AB209">
        <v>1150.68</v>
      </c>
      <c r="AC209">
        <v>313.73</v>
      </c>
      <c r="AD209">
        <v>110</v>
      </c>
      <c r="AE209">
        <v>183.89</v>
      </c>
      <c r="AF209">
        <v>3758.3</v>
      </c>
      <c r="AG209">
        <v>939.37</v>
      </c>
      <c r="AH209">
        <v>12.92</v>
      </c>
    </row>
    <row r="210" spans="1:34">
      <c r="A210" t="s">
        <v>710</v>
      </c>
      <c r="B210" t="s">
        <v>262</v>
      </c>
      <c r="C210" t="b">
        <v>1</v>
      </c>
      <c r="D210" t="b">
        <v>0</v>
      </c>
      <c r="E210" t="s">
        <v>1472</v>
      </c>
      <c r="F210" t="s">
        <v>1476</v>
      </c>
      <c r="G210" t="s">
        <v>1477</v>
      </c>
      <c r="H210">
        <v>34.2</v>
      </c>
      <c r="I210">
        <v>1</v>
      </c>
      <c r="J210">
        <v>165</v>
      </c>
      <c r="K210">
        <v>6381.53</v>
      </c>
      <c r="L210">
        <v>163.48</v>
      </c>
      <c r="M210">
        <v>0</v>
      </c>
      <c r="N210">
        <v>6218.05</v>
      </c>
      <c r="O210">
        <v>1769.9</v>
      </c>
      <c r="P210">
        <v>4448.15</v>
      </c>
      <c r="Q210">
        <v>40.49</v>
      </c>
      <c r="R210">
        <v>383.99</v>
      </c>
      <c r="S210">
        <v>379</v>
      </c>
      <c r="T210">
        <v>105</v>
      </c>
      <c r="U210">
        <v>9</v>
      </c>
      <c r="V210">
        <v>60</v>
      </c>
      <c r="W210">
        <v>41</v>
      </c>
      <c r="X210">
        <v>37.69</v>
      </c>
      <c r="Y210">
        <v>2.3</v>
      </c>
      <c r="Z210">
        <v>71.54000000000001</v>
      </c>
      <c r="AA210">
        <v>2000</v>
      </c>
      <c r="AB210">
        <v>1150.68</v>
      </c>
      <c r="AC210">
        <v>341.05</v>
      </c>
      <c r="AD210">
        <v>110</v>
      </c>
      <c r="AE210">
        <v>195.24</v>
      </c>
      <c r="AF210">
        <v>3796.97</v>
      </c>
      <c r="AG210">
        <v>226.7</v>
      </c>
      <c r="AH210">
        <v>3.65</v>
      </c>
    </row>
    <row r="211" spans="1:34">
      <c r="A211" t="s">
        <v>711</v>
      </c>
      <c r="B211" t="s">
        <v>263</v>
      </c>
      <c r="C211" t="b">
        <v>1</v>
      </c>
      <c r="D211" t="b">
        <v>0</v>
      </c>
      <c r="E211" t="s">
        <v>1472</v>
      </c>
      <c r="F211" t="s">
        <v>1476</v>
      </c>
      <c r="G211" t="s">
        <v>1477</v>
      </c>
      <c r="H211">
        <v>35</v>
      </c>
      <c r="I211">
        <v>2</v>
      </c>
      <c r="J211">
        <v>212</v>
      </c>
      <c r="K211">
        <v>9265.85</v>
      </c>
      <c r="L211">
        <v>274.76</v>
      </c>
      <c r="M211">
        <v>43.48</v>
      </c>
      <c r="N211">
        <v>8947.610000000001</v>
      </c>
      <c r="O211">
        <v>2619.3</v>
      </c>
      <c r="P211">
        <v>6328.31</v>
      </c>
      <c r="Q211">
        <v>56.71</v>
      </c>
      <c r="R211">
        <v>575.67</v>
      </c>
      <c r="S211">
        <v>546</v>
      </c>
      <c r="T211">
        <v>142</v>
      </c>
      <c r="U211">
        <v>5</v>
      </c>
      <c r="V211">
        <v>70</v>
      </c>
      <c r="W211">
        <v>54</v>
      </c>
      <c r="X211">
        <v>42.21</v>
      </c>
      <c r="Y211">
        <v>2.58</v>
      </c>
      <c r="Z211">
        <v>70.73</v>
      </c>
      <c r="AA211">
        <v>2000</v>
      </c>
      <c r="AB211">
        <v>1150.68</v>
      </c>
      <c r="AC211">
        <v>359.58</v>
      </c>
      <c r="AD211">
        <v>110</v>
      </c>
      <c r="AE211">
        <v>177.16</v>
      </c>
      <c r="AF211">
        <v>3797.42</v>
      </c>
      <c r="AG211">
        <v>1898.51</v>
      </c>
      <c r="AH211">
        <v>21.22</v>
      </c>
    </row>
    <row r="212" spans="1:34">
      <c r="A212" t="s">
        <v>395</v>
      </c>
      <c r="B212" t="s">
        <v>75</v>
      </c>
      <c r="C212" t="b">
        <v>0</v>
      </c>
      <c r="D212" t="b">
        <v>0</v>
      </c>
      <c r="E212" t="s">
        <v>1472</v>
      </c>
      <c r="F212" t="s">
        <v>1476</v>
      </c>
      <c r="G212" t="s">
        <v>1477</v>
      </c>
      <c r="H212">
        <v>34.8</v>
      </c>
      <c r="I212">
        <v>3</v>
      </c>
      <c r="J212">
        <v>151</v>
      </c>
      <c r="K212">
        <v>4592.01</v>
      </c>
      <c r="L212">
        <v>136.51</v>
      </c>
      <c r="M212">
        <v>0</v>
      </c>
      <c r="N212">
        <v>4455.5</v>
      </c>
      <c r="O212">
        <v>1293.25</v>
      </c>
      <c r="P212">
        <v>3162.25</v>
      </c>
      <c r="Q212">
        <v>32.98</v>
      </c>
      <c r="R212">
        <v>273.01</v>
      </c>
      <c r="S212">
        <v>276</v>
      </c>
      <c r="T212">
        <v>91</v>
      </c>
      <c r="U212">
        <v>3</v>
      </c>
      <c r="V212">
        <v>60</v>
      </c>
      <c r="W212">
        <v>30</v>
      </c>
      <c r="X212">
        <v>29.51</v>
      </c>
      <c r="Y212">
        <v>1.83</v>
      </c>
      <c r="Z212">
        <v>70.97</v>
      </c>
      <c r="AA212">
        <v>2000</v>
      </c>
      <c r="AB212">
        <v>1150.68</v>
      </c>
      <c r="AC212">
        <v>339.83</v>
      </c>
      <c r="AD212">
        <v>110</v>
      </c>
      <c r="AE212">
        <v>201.4</v>
      </c>
      <c r="AF212">
        <v>3801.91</v>
      </c>
      <c r="AG212">
        <v>-945.65</v>
      </c>
      <c r="AH212">
        <v>-21.22</v>
      </c>
    </row>
    <row r="213" spans="1:34">
      <c r="A213" t="s">
        <v>712</v>
      </c>
      <c r="B213" t="s">
        <v>258</v>
      </c>
      <c r="C213" t="b">
        <v>0</v>
      </c>
      <c r="D213" t="b">
        <v>0</v>
      </c>
      <c r="E213" t="s">
        <v>1472</v>
      </c>
      <c r="F213" t="s">
        <v>1476</v>
      </c>
      <c r="G213" t="s">
        <v>1477</v>
      </c>
      <c r="H213">
        <v>36.1</v>
      </c>
      <c r="I213">
        <v>4</v>
      </c>
      <c r="J213">
        <v>138</v>
      </c>
      <c r="K213">
        <v>4429.46</v>
      </c>
      <c r="L213">
        <v>149.55</v>
      </c>
      <c r="M213">
        <v>20.87</v>
      </c>
      <c r="N213">
        <v>4259.04</v>
      </c>
      <c r="O213">
        <v>1207.85</v>
      </c>
      <c r="P213">
        <v>3051.19</v>
      </c>
      <c r="Q213">
        <v>26.12</v>
      </c>
      <c r="R213">
        <v>269.59</v>
      </c>
      <c r="S213">
        <v>265</v>
      </c>
      <c r="T213">
        <v>90</v>
      </c>
      <c r="U213">
        <v>3</v>
      </c>
      <c r="V213">
        <v>48</v>
      </c>
      <c r="W213">
        <v>28</v>
      </c>
      <c r="X213">
        <v>30.86</v>
      </c>
      <c r="Y213">
        <v>1.92</v>
      </c>
      <c r="Z213">
        <v>71.64</v>
      </c>
      <c r="AA213">
        <v>2000</v>
      </c>
      <c r="AB213">
        <v>1150.68</v>
      </c>
      <c r="AC213">
        <v>353.3</v>
      </c>
      <c r="AD213">
        <v>110</v>
      </c>
      <c r="AE213">
        <v>198.27</v>
      </c>
      <c r="AF213">
        <v>3812.25</v>
      </c>
      <c r="AG213">
        <v>-1056.77</v>
      </c>
      <c r="AH213">
        <v>-24.81</v>
      </c>
    </row>
    <row r="214" spans="1:34">
      <c r="A214" t="s">
        <v>713</v>
      </c>
      <c r="B214" t="s">
        <v>259</v>
      </c>
      <c r="C214" t="b">
        <v>0</v>
      </c>
      <c r="D214" t="b">
        <v>0</v>
      </c>
      <c r="E214" t="s">
        <v>1472</v>
      </c>
      <c r="F214" t="s">
        <v>1476</v>
      </c>
      <c r="G214" t="s">
        <v>81</v>
      </c>
      <c r="H214">
        <v>36.5</v>
      </c>
      <c r="I214">
        <v>5</v>
      </c>
      <c r="J214">
        <v>162</v>
      </c>
      <c r="K214">
        <v>4947.66</v>
      </c>
      <c r="L214">
        <v>66.95</v>
      </c>
      <c r="M214">
        <v>59.13</v>
      </c>
      <c r="N214">
        <v>4821.58</v>
      </c>
      <c r="O214">
        <v>1404.55</v>
      </c>
      <c r="P214">
        <v>3417.03</v>
      </c>
      <c r="Q214">
        <v>31.27</v>
      </c>
      <c r="R214">
        <v>333.09</v>
      </c>
      <c r="S214">
        <v>302</v>
      </c>
      <c r="T214">
        <v>103</v>
      </c>
      <c r="U214">
        <v>3</v>
      </c>
      <c r="V214">
        <v>59</v>
      </c>
      <c r="W214">
        <v>39</v>
      </c>
      <c r="X214">
        <v>29.76</v>
      </c>
      <c r="Y214">
        <v>1.86</v>
      </c>
      <c r="Z214">
        <v>70.87</v>
      </c>
      <c r="AA214">
        <v>2000</v>
      </c>
      <c r="AB214">
        <v>1150.68</v>
      </c>
      <c r="AC214">
        <v>402.79</v>
      </c>
      <c r="AD214">
        <v>110</v>
      </c>
      <c r="AE214">
        <v>164.61</v>
      </c>
      <c r="AF214">
        <v>3828.08</v>
      </c>
      <c r="AG214">
        <v>-775.41</v>
      </c>
      <c r="AH214">
        <v>-16.08</v>
      </c>
    </row>
    <row r="215" spans="1:34">
      <c r="A215" t="s">
        <v>714</v>
      </c>
      <c r="B215" t="s">
        <v>260</v>
      </c>
      <c r="C215" t="b">
        <v>0</v>
      </c>
      <c r="D215" t="b">
        <v>0</v>
      </c>
      <c r="E215" t="s">
        <v>1472</v>
      </c>
      <c r="F215" t="s">
        <v>1476</v>
      </c>
      <c r="G215" t="s">
        <v>81</v>
      </c>
      <c r="H215">
        <v>36.4</v>
      </c>
      <c r="I215">
        <v>6</v>
      </c>
      <c r="J215">
        <v>160</v>
      </c>
      <c r="K215">
        <v>4976.33</v>
      </c>
      <c r="L215">
        <v>128.68</v>
      </c>
      <c r="M215">
        <v>47.83</v>
      </c>
      <c r="N215">
        <v>4799.82</v>
      </c>
      <c r="O215">
        <v>1418.3</v>
      </c>
      <c r="P215">
        <v>3381.52</v>
      </c>
      <c r="Q215">
        <v>25.53</v>
      </c>
      <c r="R215">
        <v>377.29</v>
      </c>
      <c r="S215">
        <v>295</v>
      </c>
      <c r="T215">
        <v>99</v>
      </c>
      <c r="U215">
        <v>8</v>
      </c>
      <c r="V215">
        <v>61</v>
      </c>
      <c r="W215">
        <v>41</v>
      </c>
      <c r="X215">
        <v>30</v>
      </c>
      <c r="Y215">
        <v>1.84</v>
      </c>
      <c r="Z215">
        <v>70.45</v>
      </c>
      <c r="AA215">
        <v>2000</v>
      </c>
      <c r="AB215">
        <v>1150.68</v>
      </c>
      <c r="AC215">
        <v>381.6</v>
      </c>
      <c r="AD215">
        <v>110</v>
      </c>
      <c r="AE215">
        <v>183.37</v>
      </c>
      <c r="AF215">
        <v>3825.65</v>
      </c>
      <c r="AG215">
        <v>-846.95</v>
      </c>
      <c r="AH215">
        <v>-17.65</v>
      </c>
    </row>
    <row r="216" spans="1:34">
      <c r="A216" t="s">
        <v>715</v>
      </c>
      <c r="B216" t="s">
        <v>261</v>
      </c>
      <c r="C216" t="b">
        <v>0</v>
      </c>
      <c r="D216" t="b">
        <v>0</v>
      </c>
      <c r="E216" t="s">
        <v>1472</v>
      </c>
      <c r="F216" t="s">
        <v>1476</v>
      </c>
      <c r="G216" t="s">
        <v>81</v>
      </c>
      <c r="H216">
        <v>37.2</v>
      </c>
      <c r="I216">
        <v>7</v>
      </c>
      <c r="J216">
        <v>214</v>
      </c>
      <c r="K216">
        <v>7804.18</v>
      </c>
      <c r="L216">
        <v>224.33</v>
      </c>
      <c r="M216">
        <v>0</v>
      </c>
      <c r="N216">
        <v>7579.85</v>
      </c>
      <c r="O216">
        <v>2188.2</v>
      </c>
      <c r="P216">
        <v>5391.65</v>
      </c>
      <c r="Q216">
        <v>45.64</v>
      </c>
      <c r="R216">
        <v>647.4</v>
      </c>
      <c r="S216">
        <v>459</v>
      </c>
      <c r="T216">
        <v>135</v>
      </c>
      <c r="U216">
        <v>12</v>
      </c>
      <c r="V216">
        <v>79</v>
      </c>
      <c r="W216">
        <v>60</v>
      </c>
      <c r="X216">
        <v>35.42</v>
      </c>
      <c r="Y216">
        <v>2.14</v>
      </c>
      <c r="Z216">
        <v>71.13</v>
      </c>
      <c r="AA216">
        <v>2000</v>
      </c>
      <c r="AB216">
        <v>1150.68</v>
      </c>
      <c r="AC216">
        <v>365.2</v>
      </c>
      <c r="AD216">
        <v>110</v>
      </c>
      <c r="AE216">
        <v>194.56</v>
      </c>
      <c r="AF216">
        <v>3820.44</v>
      </c>
      <c r="AG216">
        <v>878.17</v>
      </c>
      <c r="AH216">
        <v>11.59</v>
      </c>
    </row>
    <row r="217" spans="1:34">
      <c r="A217" t="s">
        <v>716</v>
      </c>
      <c r="B217" t="s">
        <v>262</v>
      </c>
      <c r="C217" t="b">
        <v>1</v>
      </c>
      <c r="D217" t="b">
        <v>0</v>
      </c>
      <c r="E217" t="s">
        <v>1472</v>
      </c>
      <c r="F217" t="s">
        <v>1476</v>
      </c>
      <c r="G217" t="s">
        <v>81</v>
      </c>
      <c r="H217">
        <v>38.6</v>
      </c>
      <c r="I217">
        <v>8</v>
      </c>
      <c r="J217">
        <v>163</v>
      </c>
      <c r="K217">
        <v>6514.64</v>
      </c>
      <c r="L217">
        <v>52.17</v>
      </c>
      <c r="M217">
        <v>103.48</v>
      </c>
      <c r="N217">
        <v>6358.99</v>
      </c>
      <c r="O217">
        <v>1900.45</v>
      </c>
      <c r="P217">
        <v>4458.54</v>
      </c>
      <c r="Q217">
        <v>43.96</v>
      </c>
      <c r="R217">
        <v>369.06</v>
      </c>
      <c r="S217">
        <v>381</v>
      </c>
      <c r="T217">
        <v>101</v>
      </c>
      <c r="U217">
        <v>9</v>
      </c>
      <c r="V217">
        <v>62</v>
      </c>
      <c r="W217">
        <v>39</v>
      </c>
      <c r="X217">
        <v>39.01</v>
      </c>
      <c r="Y217">
        <v>2.34</v>
      </c>
      <c r="Z217">
        <v>70.11</v>
      </c>
      <c r="AA217">
        <v>2000</v>
      </c>
      <c r="AB217">
        <v>1150.68</v>
      </c>
      <c r="AC217">
        <v>393.19</v>
      </c>
      <c r="AD217">
        <v>110</v>
      </c>
      <c r="AE217">
        <v>187.78</v>
      </c>
      <c r="AF217">
        <v>3841.65</v>
      </c>
      <c r="AG217">
        <v>203.87</v>
      </c>
      <c r="AH217">
        <v>3.21</v>
      </c>
    </row>
    <row r="218" spans="1:34">
      <c r="A218" t="s">
        <v>717</v>
      </c>
      <c r="B218" t="s">
        <v>263</v>
      </c>
      <c r="C218" t="b">
        <v>1</v>
      </c>
      <c r="D218" t="b">
        <v>0</v>
      </c>
      <c r="E218" t="s">
        <v>1472</v>
      </c>
      <c r="F218" t="s">
        <v>1476</v>
      </c>
      <c r="G218" t="s">
        <v>81</v>
      </c>
      <c r="H218">
        <v>37.7</v>
      </c>
      <c r="I218">
        <v>9</v>
      </c>
      <c r="J218">
        <v>162</v>
      </c>
      <c r="K218">
        <v>6274.61</v>
      </c>
      <c r="L218">
        <v>152.16</v>
      </c>
      <c r="M218">
        <v>0</v>
      </c>
      <c r="N218">
        <v>6122.45</v>
      </c>
      <c r="O218">
        <v>1753.65</v>
      </c>
      <c r="P218">
        <v>4368.8</v>
      </c>
      <c r="Q218">
        <v>45.12</v>
      </c>
      <c r="R218">
        <v>340.78</v>
      </c>
      <c r="S218">
        <v>364</v>
      </c>
      <c r="T218">
        <v>103</v>
      </c>
      <c r="U218">
        <v>7</v>
      </c>
      <c r="V218">
        <v>59</v>
      </c>
      <c r="W218">
        <v>40</v>
      </c>
      <c r="X218">
        <v>37.79</v>
      </c>
      <c r="Y218">
        <v>2.25</v>
      </c>
      <c r="Z218">
        <v>71.36</v>
      </c>
      <c r="AA218">
        <v>2000</v>
      </c>
      <c r="AB218">
        <v>1150.68</v>
      </c>
      <c r="AC218">
        <v>378.5</v>
      </c>
      <c r="AD218">
        <v>110</v>
      </c>
      <c r="AE218">
        <v>170.86</v>
      </c>
      <c r="AF218">
        <v>3810.04</v>
      </c>
      <c r="AG218">
        <v>172.86</v>
      </c>
      <c r="AH218">
        <v>2.82</v>
      </c>
    </row>
    <row r="219" spans="1:34">
      <c r="A219" t="s">
        <v>396</v>
      </c>
      <c r="B219" t="s">
        <v>75</v>
      </c>
      <c r="C219" t="b">
        <v>0</v>
      </c>
      <c r="D219" t="b">
        <v>0</v>
      </c>
      <c r="E219" t="s">
        <v>1472</v>
      </c>
      <c r="F219" t="s">
        <v>1476</v>
      </c>
      <c r="G219" t="s">
        <v>81</v>
      </c>
      <c r="H219">
        <v>38.6</v>
      </c>
      <c r="I219">
        <v>10</v>
      </c>
      <c r="J219">
        <v>128</v>
      </c>
      <c r="K219">
        <v>4174.69</v>
      </c>
      <c r="L219">
        <v>92.17</v>
      </c>
      <c r="M219">
        <v>0</v>
      </c>
      <c r="N219">
        <v>4082.52</v>
      </c>
      <c r="O219">
        <v>1199.2</v>
      </c>
      <c r="P219">
        <v>2883.32</v>
      </c>
      <c r="Q219">
        <v>23.3</v>
      </c>
      <c r="R219">
        <v>328.35</v>
      </c>
      <c r="S219">
        <v>244</v>
      </c>
      <c r="T219">
        <v>85</v>
      </c>
      <c r="U219">
        <v>4</v>
      </c>
      <c r="V219">
        <v>43</v>
      </c>
      <c r="W219">
        <v>33</v>
      </c>
      <c r="X219">
        <v>31.89</v>
      </c>
      <c r="Y219">
        <v>1.91</v>
      </c>
      <c r="Z219">
        <v>70.63</v>
      </c>
      <c r="AA219">
        <v>2000</v>
      </c>
      <c r="AB219">
        <v>1150.68</v>
      </c>
      <c r="AC219">
        <v>398.09</v>
      </c>
      <c r="AD219">
        <v>110</v>
      </c>
      <c r="AE219">
        <v>203.79</v>
      </c>
      <c r="AF219">
        <v>3862.56</v>
      </c>
      <c r="AG219">
        <v>-1330.89</v>
      </c>
      <c r="AH219">
        <v>-32.6</v>
      </c>
    </row>
    <row r="220" spans="1:34">
      <c r="A220" t="s">
        <v>718</v>
      </c>
      <c r="B220" t="s">
        <v>258</v>
      </c>
      <c r="C220" t="b">
        <v>0</v>
      </c>
      <c r="D220" t="b">
        <v>0</v>
      </c>
      <c r="E220" t="s">
        <v>1472</v>
      </c>
      <c r="F220" t="s">
        <v>1476</v>
      </c>
      <c r="G220" t="s">
        <v>81</v>
      </c>
      <c r="H220">
        <v>37.6</v>
      </c>
      <c r="I220">
        <v>11</v>
      </c>
      <c r="J220">
        <v>139</v>
      </c>
      <c r="K220">
        <v>4286.01</v>
      </c>
      <c r="L220">
        <v>97.38</v>
      </c>
      <c r="M220">
        <v>23.48</v>
      </c>
      <c r="N220">
        <v>4165.15</v>
      </c>
      <c r="O220">
        <v>1208.85</v>
      </c>
      <c r="P220">
        <v>2956.3</v>
      </c>
      <c r="Q220">
        <v>27.47</v>
      </c>
      <c r="R220">
        <v>224.79</v>
      </c>
      <c r="S220">
        <v>260</v>
      </c>
      <c r="T220">
        <v>85</v>
      </c>
      <c r="U220">
        <v>10</v>
      </c>
      <c r="V220">
        <v>54</v>
      </c>
      <c r="W220">
        <v>27</v>
      </c>
      <c r="X220">
        <v>29.97</v>
      </c>
      <c r="Y220">
        <v>1.87</v>
      </c>
      <c r="Z220">
        <v>70.98</v>
      </c>
      <c r="AA220">
        <v>2000</v>
      </c>
      <c r="AB220">
        <v>1150.68</v>
      </c>
      <c r="AC220">
        <v>386.81</v>
      </c>
      <c r="AD220">
        <v>110</v>
      </c>
      <c r="AE220">
        <v>220.92</v>
      </c>
      <c r="AF220">
        <v>3868.41</v>
      </c>
      <c r="AG220">
        <v>-1164.37</v>
      </c>
      <c r="AH220">
        <v>-27.96</v>
      </c>
    </row>
    <row r="221" spans="1:34">
      <c r="A221" t="s">
        <v>719</v>
      </c>
      <c r="B221" t="s">
        <v>259</v>
      </c>
      <c r="C221" t="b">
        <v>0</v>
      </c>
      <c r="D221" t="b">
        <v>0</v>
      </c>
      <c r="E221" t="s">
        <v>1472</v>
      </c>
      <c r="F221" t="s">
        <v>1476</v>
      </c>
      <c r="G221" t="s">
        <v>81</v>
      </c>
      <c r="H221">
        <v>36</v>
      </c>
      <c r="I221">
        <v>12</v>
      </c>
      <c r="J221">
        <v>130</v>
      </c>
      <c r="K221">
        <v>4447.71</v>
      </c>
      <c r="L221">
        <v>121.73</v>
      </c>
      <c r="M221">
        <v>2.61</v>
      </c>
      <c r="N221">
        <v>4323.37</v>
      </c>
      <c r="O221">
        <v>1294.8</v>
      </c>
      <c r="P221">
        <v>3028.57</v>
      </c>
      <c r="Q221">
        <v>25</v>
      </c>
      <c r="R221">
        <v>259.41</v>
      </c>
      <c r="S221">
        <v>258</v>
      </c>
      <c r="T221">
        <v>82</v>
      </c>
      <c r="U221">
        <v>4</v>
      </c>
      <c r="V221">
        <v>48</v>
      </c>
      <c r="W221">
        <v>27</v>
      </c>
      <c r="X221">
        <v>33.26</v>
      </c>
      <c r="Y221">
        <v>1.98</v>
      </c>
      <c r="Z221">
        <v>70.05</v>
      </c>
      <c r="AA221">
        <v>2000</v>
      </c>
      <c r="AB221">
        <v>1150.68</v>
      </c>
      <c r="AC221">
        <v>367.4</v>
      </c>
      <c r="AD221">
        <v>110</v>
      </c>
      <c r="AE221">
        <v>181.27</v>
      </c>
      <c r="AF221">
        <v>3809.35</v>
      </c>
      <c r="AG221">
        <v>-1065.19</v>
      </c>
      <c r="AH221">
        <v>-24.64</v>
      </c>
    </row>
    <row r="222" spans="1:34">
      <c r="A222" t="s">
        <v>720</v>
      </c>
      <c r="B222" t="s">
        <v>260</v>
      </c>
      <c r="C222" t="b">
        <v>0</v>
      </c>
      <c r="D222" t="b">
        <v>0</v>
      </c>
      <c r="E222" t="s">
        <v>1472</v>
      </c>
      <c r="F222" t="s">
        <v>1476</v>
      </c>
      <c r="G222" t="s">
        <v>81</v>
      </c>
      <c r="H222">
        <v>35.1</v>
      </c>
      <c r="I222">
        <v>13</v>
      </c>
      <c r="J222">
        <v>151</v>
      </c>
      <c r="K222">
        <v>5103.29</v>
      </c>
      <c r="L222">
        <v>127.82</v>
      </c>
      <c r="M222">
        <v>13.91</v>
      </c>
      <c r="N222">
        <v>4961.56</v>
      </c>
      <c r="O222">
        <v>1434.75</v>
      </c>
      <c r="P222">
        <v>3526.81</v>
      </c>
      <c r="Q222">
        <v>31.45</v>
      </c>
      <c r="R222">
        <v>368.26</v>
      </c>
      <c r="S222">
        <v>307</v>
      </c>
      <c r="T222">
        <v>105</v>
      </c>
      <c r="U222">
        <v>5</v>
      </c>
      <c r="V222">
        <v>46</v>
      </c>
      <c r="W222">
        <v>37</v>
      </c>
      <c r="X222">
        <v>32.86</v>
      </c>
      <c r="Y222">
        <v>2.03</v>
      </c>
      <c r="Z222">
        <v>71.08</v>
      </c>
      <c r="AA222">
        <v>2000</v>
      </c>
      <c r="AB222">
        <v>1150.68</v>
      </c>
      <c r="AC222">
        <v>355.79</v>
      </c>
      <c r="AD222">
        <v>110</v>
      </c>
      <c r="AE222">
        <v>188.17</v>
      </c>
      <c r="AF222">
        <v>3804.64</v>
      </c>
      <c r="AG222">
        <v>-677.54</v>
      </c>
      <c r="AH222">
        <v>-13.66</v>
      </c>
    </row>
    <row r="223" spans="1:34">
      <c r="A223" t="s">
        <v>721</v>
      </c>
      <c r="B223" t="s">
        <v>261</v>
      </c>
      <c r="C223" t="b">
        <v>0</v>
      </c>
      <c r="D223" t="b">
        <v>0</v>
      </c>
      <c r="E223" t="s">
        <v>1472</v>
      </c>
      <c r="F223" t="s">
        <v>1476</v>
      </c>
      <c r="G223" t="s">
        <v>81</v>
      </c>
      <c r="H223">
        <v>35.1</v>
      </c>
      <c r="I223">
        <v>14</v>
      </c>
      <c r="J223">
        <v>231</v>
      </c>
      <c r="K223">
        <v>7573.66</v>
      </c>
      <c r="L223">
        <v>173.03</v>
      </c>
      <c r="M223">
        <v>13.91</v>
      </c>
      <c r="N223">
        <v>7386.72</v>
      </c>
      <c r="O223">
        <v>2103.1</v>
      </c>
      <c r="P223">
        <v>5283.62</v>
      </c>
      <c r="Q223">
        <v>52.96</v>
      </c>
      <c r="R223">
        <v>434.43</v>
      </c>
      <c r="S223">
        <v>445</v>
      </c>
      <c r="T223">
        <v>146</v>
      </c>
      <c r="U223">
        <v>11</v>
      </c>
      <c r="V223">
        <v>85</v>
      </c>
      <c r="W223">
        <v>50</v>
      </c>
      <c r="X223">
        <v>31.98</v>
      </c>
      <c r="Y223">
        <v>1.93</v>
      </c>
      <c r="Z223">
        <v>71.53</v>
      </c>
      <c r="AA223">
        <v>2000</v>
      </c>
      <c r="AB223">
        <v>1150.68</v>
      </c>
      <c r="AC223">
        <v>340.91</v>
      </c>
      <c r="AD223">
        <v>110</v>
      </c>
      <c r="AE223">
        <v>182</v>
      </c>
      <c r="AF223">
        <v>3783.59</v>
      </c>
      <c r="AG223">
        <v>1012.64</v>
      </c>
      <c r="AH223">
        <v>13.71</v>
      </c>
    </row>
    <row r="224" spans="1:34">
      <c r="A224" t="s">
        <v>722</v>
      </c>
      <c r="B224" t="s">
        <v>262</v>
      </c>
      <c r="C224" t="b">
        <v>1</v>
      </c>
      <c r="D224" t="b">
        <v>0</v>
      </c>
      <c r="E224" t="s">
        <v>1472</v>
      </c>
      <c r="F224" t="s">
        <v>1476</v>
      </c>
      <c r="G224" t="s">
        <v>81</v>
      </c>
      <c r="H224">
        <v>36.1</v>
      </c>
      <c r="I224">
        <v>15</v>
      </c>
      <c r="J224">
        <v>159</v>
      </c>
      <c r="K224">
        <v>6438.97</v>
      </c>
      <c r="L224">
        <v>144.33</v>
      </c>
      <c r="M224">
        <v>54.78</v>
      </c>
      <c r="N224">
        <v>6239.86</v>
      </c>
      <c r="O224">
        <v>1784.7</v>
      </c>
      <c r="P224">
        <v>4455.16</v>
      </c>
      <c r="Q224">
        <v>41.02</v>
      </c>
      <c r="R224">
        <v>352.8</v>
      </c>
      <c r="S224">
        <v>376</v>
      </c>
      <c r="T224">
        <v>102</v>
      </c>
      <c r="U224">
        <v>8</v>
      </c>
      <c r="V224">
        <v>57</v>
      </c>
      <c r="W224">
        <v>40</v>
      </c>
      <c r="X224">
        <v>39.24</v>
      </c>
      <c r="Y224">
        <v>2.36</v>
      </c>
      <c r="Z224">
        <v>71.40000000000001</v>
      </c>
      <c r="AA224">
        <v>2000</v>
      </c>
      <c r="AB224">
        <v>1150.68</v>
      </c>
      <c r="AC224">
        <v>352.78</v>
      </c>
      <c r="AD224">
        <v>110</v>
      </c>
      <c r="AE224">
        <v>205.23</v>
      </c>
      <c r="AF224">
        <v>3818.69</v>
      </c>
      <c r="AG224">
        <v>242.65</v>
      </c>
      <c r="AH224">
        <v>3.89</v>
      </c>
    </row>
    <row r="225" spans="1:34">
      <c r="A225" t="s">
        <v>723</v>
      </c>
      <c r="B225" t="s">
        <v>263</v>
      </c>
      <c r="C225" t="b">
        <v>1</v>
      </c>
      <c r="D225" t="b">
        <v>0</v>
      </c>
      <c r="E225" t="s">
        <v>1472</v>
      </c>
      <c r="F225" t="s">
        <v>1476</v>
      </c>
      <c r="G225" t="s">
        <v>81</v>
      </c>
      <c r="H225">
        <v>38.3</v>
      </c>
      <c r="I225">
        <v>16</v>
      </c>
      <c r="J225">
        <v>174</v>
      </c>
      <c r="K225">
        <v>6438.14</v>
      </c>
      <c r="L225">
        <v>96.52</v>
      </c>
      <c r="M225">
        <v>2.61</v>
      </c>
      <c r="N225">
        <v>6339.01</v>
      </c>
      <c r="O225">
        <v>1903.1</v>
      </c>
      <c r="P225">
        <v>4435.91</v>
      </c>
      <c r="Q225">
        <v>44.78</v>
      </c>
      <c r="R225">
        <v>381.48</v>
      </c>
      <c r="S225">
        <v>373</v>
      </c>
      <c r="T225">
        <v>103</v>
      </c>
      <c r="U225">
        <v>8</v>
      </c>
      <c r="V225">
        <v>71</v>
      </c>
      <c r="W225">
        <v>40</v>
      </c>
      <c r="X225">
        <v>36.43</v>
      </c>
      <c r="Y225">
        <v>2.14</v>
      </c>
      <c r="Z225">
        <v>69.98</v>
      </c>
      <c r="AA225">
        <v>2000</v>
      </c>
      <c r="AB225">
        <v>1150.68</v>
      </c>
      <c r="AC225">
        <v>360.43</v>
      </c>
      <c r="AD225">
        <v>110</v>
      </c>
      <c r="AE225">
        <v>176.1</v>
      </c>
      <c r="AF225">
        <v>3797.21</v>
      </c>
      <c r="AG225">
        <v>212.44</v>
      </c>
      <c r="AH225">
        <v>3.35</v>
      </c>
    </row>
    <row r="226" spans="1:34">
      <c r="A226" t="s">
        <v>397</v>
      </c>
      <c r="B226" t="s">
        <v>75</v>
      </c>
      <c r="C226" t="b">
        <v>0</v>
      </c>
      <c r="D226" t="b">
        <v>0</v>
      </c>
      <c r="E226" t="s">
        <v>1472</v>
      </c>
      <c r="F226" t="s">
        <v>1476</v>
      </c>
      <c r="G226" t="s">
        <v>81</v>
      </c>
      <c r="H226">
        <v>38.8</v>
      </c>
      <c r="I226">
        <v>17</v>
      </c>
      <c r="J226">
        <v>132</v>
      </c>
      <c r="K226">
        <v>4158.97</v>
      </c>
      <c r="L226">
        <v>89.56</v>
      </c>
      <c r="M226">
        <v>21.74</v>
      </c>
      <c r="N226">
        <v>4047.67</v>
      </c>
      <c r="O226">
        <v>1216</v>
      </c>
      <c r="P226">
        <v>2831.67</v>
      </c>
      <c r="Q226">
        <v>26.52</v>
      </c>
      <c r="R226">
        <v>261.73</v>
      </c>
      <c r="S226">
        <v>251</v>
      </c>
      <c r="T226">
        <v>80</v>
      </c>
      <c r="U226">
        <v>6</v>
      </c>
      <c r="V226">
        <v>52</v>
      </c>
      <c r="W226">
        <v>29</v>
      </c>
      <c r="X226">
        <v>30.66</v>
      </c>
      <c r="Y226">
        <v>1.9</v>
      </c>
      <c r="Z226">
        <v>69.95999999999999</v>
      </c>
      <c r="AA226">
        <v>2000</v>
      </c>
      <c r="AB226">
        <v>1150.68</v>
      </c>
      <c r="AC226">
        <v>418.48</v>
      </c>
      <c r="AD226">
        <v>110</v>
      </c>
      <c r="AE226">
        <v>205.98</v>
      </c>
      <c r="AF226">
        <v>3885.14</v>
      </c>
      <c r="AG226">
        <v>-1341.72</v>
      </c>
      <c r="AH226">
        <v>-33.15</v>
      </c>
    </row>
    <row r="227" spans="1:34">
      <c r="A227" t="s">
        <v>724</v>
      </c>
      <c r="B227" t="s">
        <v>258</v>
      </c>
      <c r="C227" t="b">
        <v>0</v>
      </c>
      <c r="D227" t="b">
        <v>0</v>
      </c>
      <c r="E227" t="s">
        <v>1472</v>
      </c>
      <c r="F227" t="s">
        <v>1476</v>
      </c>
      <c r="G227" t="s">
        <v>81</v>
      </c>
      <c r="H227">
        <v>37.6</v>
      </c>
      <c r="I227">
        <v>18</v>
      </c>
      <c r="J227">
        <v>160</v>
      </c>
      <c r="K227">
        <v>4762.44</v>
      </c>
      <c r="L227">
        <v>73.91</v>
      </c>
      <c r="M227">
        <v>0</v>
      </c>
      <c r="N227">
        <v>4688.53</v>
      </c>
      <c r="O227">
        <v>1339.45</v>
      </c>
      <c r="P227">
        <v>3349.08</v>
      </c>
      <c r="Q227">
        <v>35.02</v>
      </c>
      <c r="R227">
        <v>245.28</v>
      </c>
      <c r="S227">
        <v>282</v>
      </c>
      <c r="T227">
        <v>98</v>
      </c>
      <c r="U227">
        <v>7</v>
      </c>
      <c r="V227">
        <v>62</v>
      </c>
      <c r="W227">
        <v>31</v>
      </c>
      <c r="X227">
        <v>29.3</v>
      </c>
      <c r="Y227">
        <v>1.76</v>
      </c>
      <c r="Z227">
        <v>71.43000000000001</v>
      </c>
      <c r="AA227">
        <v>2000</v>
      </c>
      <c r="AB227">
        <v>1150.68</v>
      </c>
      <c r="AC227">
        <v>370.5</v>
      </c>
      <c r="AD227">
        <v>110</v>
      </c>
      <c r="AE227">
        <v>200.3</v>
      </c>
      <c r="AF227">
        <v>3831.48</v>
      </c>
      <c r="AG227">
        <v>-762.7</v>
      </c>
      <c r="AH227">
        <v>-16.27</v>
      </c>
    </row>
    <row r="228" spans="1:34">
      <c r="A228" t="s">
        <v>725</v>
      </c>
      <c r="B228" t="s">
        <v>259</v>
      </c>
      <c r="C228" t="b">
        <v>0</v>
      </c>
      <c r="D228" t="b">
        <v>0</v>
      </c>
      <c r="E228" t="s">
        <v>1472</v>
      </c>
      <c r="F228" t="s">
        <v>1476</v>
      </c>
      <c r="G228" t="s">
        <v>81</v>
      </c>
      <c r="H228">
        <v>36.5</v>
      </c>
      <c r="I228">
        <v>19</v>
      </c>
      <c r="J228">
        <v>158</v>
      </c>
      <c r="K228">
        <v>4941.57</v>
      </c>
      <c r="L228">
        <v>106.95</v>
      </c>
      <c r="M228">
        <v>0</v>
      </c>
      <c r="N228">
        <v>4834.62</v>
      </c>
      <c r="O228">
        <v>1372.9</v>
      </c>
      <c r="P228">
        <v>3461.72</v>
      </c>
      <c r="Q228">
        <v>29.7</v>
      </c>
      <c r="R228">
        <v>339.23</v>
      </c>
      <c r="S228">
        <v>295</v>
      </c>
      <c r="T228">
        <v>105</v>
      </c>
      <c r="U228">
        <v>5</v>
      </c>
      <c r="V228">
        <v>53</v>
      </c>
      <c r="W228">
        <v>41</v>
      </c>
      <c r="X228">
        <v>30.6</v>
      </c>
      <c r="Y228">
        <v>1.87</v>
      </c>
      <c r="Z228">
        <v>71.59999999999999</v>
      </c>
      <c r="AA228">
        <v>2000</v>
      </c>
      <c r="AB228">
        <v>1150.68</v>
      </c>
      <c r="AC228">
        <v>386.98</v>
      </c>
      <c r="AD228">
        <v>110</v>
      </c>
      <c r="AE228">
        <v>183.19</v>
      </c>
      <c r="AF228">
        <v>3830.85</v>
      </c>
      <c r="AG228">
        <v>-738.0599999999999</v>
      </c>
      <c r="AH228">
        <v>-15.27</v>
      </c>
    </row>
    <row r="229" spans="1:34">
      <c r="A229" t="s">
        <v>726</v>
      </c>
      <c r="B229" t="s">
        <v>260</v>
      </c>
      <c r="C229" t="b">
        <v>0</v>
      </c>
      <c r="D229" t="b">
        <v>0</v>
      </c>
      <c r="E229" t="s">
        <v>1472</v>
      </c>
      <c r="F229" t="s">
        <v>1476</v>
      </c>
      <c r="G229" t="s">
        <v>81</v>
      </c>
      <c r="H229">
        <v>36.4</v>
      </c>
      <c r="I229">
        <v>20</v>
      </c>
      <c r="J229">
        <v>155</v>
      </c>
      <c r="K229">
        <v>5173.73</v>
      </c>
      <c r="L229">
        <v>139.12</v>
      </c>
      <c r="M229">
        <v>17.39</v>
      </c>
      <c r="N229">
        <v>5017.22</v>
      </c>
      <c r="O229">
        <v>1461.75</v>
      </c>
      <c r="P229">
        <v>3555.47</v>
      </c>
      <c r="Q229">
        <v>33.46</v>
      </c>
      <c r="R229">
        <v>308.37</v>
      </c>
      <c r="S229">
        <v>310</v>
      </c>
      <c r="T229">
        <v>99</v>
      </c>
      <c r="U229">
        <v>7</v>
      </c>
      <c r="V229">
        <v>56</v>
      </c>
      <c r="W229">
        <v>35</v>
      </c>
      <c r="X229">
        <v>32.37</v>
      </c>
      <c r="Y229">
        <v>2</v>
      </c>
      <c r="Z229">
        <v>70.87</v>
      </c>
      <c r="AA229">
        <v>2000</v>
      </c>
      <c r="AB229">
        <v>1150.68</v>
      </c>
      <c r="AC229">
        <v>389.71</v>
      </c>
      <c r="AD229">
        <v>110</v>
      </c>
      <c r="AE229">
        <v>202.3</v>
      </c>
      <c r="AF229">
        <v>3852.69</v>
      </c>
      <c r="AG229">
        <v>-639.05</v>
      </c>
      <c r="AH229">
        <v>-12.74</v>
      </c>
    </row>
    <row r="230" spans="1:34">
      <c r="A230" t="s">
        <v>727</v>
      </c>
      <c r="B230" t="s">
        <v>261</v>
      </c>
      <c r="C230" t="b">
        <v>0</v>
      </c>
      <c r="D230" t="b">
        <v>0</v>
      </c>
      <c r="E230" t="s">
        <v>1472</v>
      </c>
      <c r="F230" t="s">
        <v>1476</v>
      </c>
      <c r="G230" t="s">
        <v>81</v>
      </c>
      <c r="H230">
        <v>36.5</v>
      </c>
      <c r="I230">
        <v>21</v>
      </c>
      <c r="J230">
        <v>208</v>
      </c>
      <c r="K230">
        <v>6591.09</v>
      </c>
      <c r="L230">
        <v>170.42</v>
      </c>
      <c r="M230">
        <v>37.39</v>
      </c>
      <c r="N230">
        <v>6383.28</v>
      </c>
      <c r="O230">
        <v>1816.3</v>
      </c>
      <c r="P230">
        <v>4566.98</v>
      </c>
      <c r="Q230">
        <v>45.34</v>
      </c>
      <c r="R230">
        <v>319.32</v>
      </c>
      <c r="S230">
        <v>388</v>
      </c>
      <c r="T230">
        <v>129</v>
      </c>
      <c r="U230">
        <v>7</v>
      </c>
      <c r="V230">
        <v>79</v>
      </c>
      <c r="W230">
        <v>39</v>
      </c>
      <c r="X230">
        <v>30.69</v>
      </c>
      <c r="Y230">
        <v>1.87</v>
      </c>
      <c r="Z230">
        <v>71.55</v>
      </c>
      <c r="AA230">
        <v>2000</v>
      </c>
      <c r="AB230">
        <v>1150.68</v>
      </c>
      <c r="AC230">
        <v>352.33</v>
      </c>
      <c r="AD230">
        <v>110</v>
      </c>
      <c r="AE230">
        <v>188.62</v>
      </c>
      <c r="AF230">
        <v>3801.63</v>
      </c>
      <c r="AG230">
        <v>400.69</v>
      </c>
      <c r="AH230">
        <v>6.28</v>
      </c>
    </row>
    <row r="231" spans="1:34">
      <c r="A231" t="s">
        <v>728</v>
      </c>
      <c r="B231" t="s">
        <v>262</v>
      </c>
      <c r="C231" t="b">
        <v>1</v>
      </c>
      <c r="D231" t="b">
        <v>0</v>
      </c>
      <c r="E231" t="s">
        <v>1472</v>
      </c>
      <c r="F231" t="s">
        <v>1476</v>
      </c>
      <c r="G231" t="s">
        <v>81</v>
      </c>
      <c r="H231">
        <v>36.6</v>
      </c>
      <c r="I231">
        <v>22</v>
      </c>
      <c r="J231">
        <v>173</v>
      </c>
      <c r="K231">
        <v>7251.18</v>
      </c>
      <c r="L231">
        <v>166.07</v>
      </c>
      <c r="M231">
        <v>17.39</v>
      </c>
      <c r="N231">
        <v>7067.72</v>
      </c>
      <c r="O231">
        <v>2147.65</v>
      </c>
      <c r="P231">
        <v>4920.07</v>
      </c>
      <c r="Q231">
        <v>46.74</v>
      </c>
      <c r="R231">
        <v>443.1</v>
      </c>
      <c r="S231">
        <v>423</v>
      </c>
      <c r="T231">
        <v>119</v>
      </c>
      <c r="U231">
        <v>10</v>
      </c>
      <c r="V231">
        <v>54</v>
      </c>
      <c r="W231">
        <v>55</v>
      </c>
      <c r="X231">
        <v>40.85</v>
      </c>
      <c r="Y231">
        <v>2.45</v>
      </c>
      <c r="Z231">
        <v>69.61</v>
      </c>
      <c r="AA231">
        <v>2000</v>
      </c>
      <c r="AB231">
        <v>1150.68</v>
      </c>
      <c r="AC231">
        <v>362.37</v>
      </c>
      <c r="AD231">
        <v>110</v>
      </c>
      <c r="AE231">
        <v>154.66</v>
      </c>
      <c r="AF231">
        <v>3777.71</v>
      </c>
      <c r="AG231">
        <v>652.52</v>
      </c>
      <c r="AH231">
        <v>9.23</v>
      </c>
    </row>
    <row r="232" spans="1:34">
      <c r="A232" t="s">
        <v>729</v>
      </c>
      <c r="B232" t="s">
        <v>263</v>
      </c>
      <c r="C232" t="b">
        <v>1</v>
      </c>
      <c r="D232" t="b">
        <v>0</v>
      </c>
      <c r="E232" t="s">
        <v>1472</v>
      </c>
      <c r="F232" t="s">
        <v>1476</v>
      </c>
      <c r="G232" t="s">
        <v>81</v>
      </c>
      <c r="H232">
        <v>35.3</v>
      </c>
      <c r="I232">
        <v>23</v>
      </c>
      <c r="J232">
        <v>156</v>
      </c>
      <c r="K232">
        <v>5721.61</v>
      </c>
      <c r="L232">
        <v>101.73</v>
      </c>
      <c r="M232">
        <v>0</v>
      </c>
      <c r="N232">
        <v>5619.88</v>
      </c>
      <c r="O232">
        <v>1586.35</v>
      </c>
      <c r="P232">
        <v>4033.53</v>
      </c>
      <c r="Q232">
        <v>36.09</v>
      </c>
      <c r="R232">
        <v>404.25</v>
      </c>
      <c r="S232">
        <v>341</v>
      </c>
      <c r="T232">
        <v>110</v>
      </c>
      <c r="U232">
        <v>5</v>
      </c>
      <c r="V232">
        <v>46</v>
      </c>
      <c r="W232">
        <v>47</v>
      </c>
      <c r="X232">
        <v>36.02</v>
      </c>
      <c r="Y232">
        <v>2.19</v>
      </c>
      <c r="Z232">
        <v>71.77</v>
      </c>
      <c r="AA232">
        <v>2000</v>
      </c>
      <c r="AB232">
        <v>1150.68</v>
      </c>
      <c r="AC232">
        <v>340.25</v>
      </c>
      <c r="AD232">
        <v>110</v>
      </c>
      <c r="AE232">
        <v>220.51</v>
      </c>
      <c r="AF232">
        <v>3821.44</v>
      </c>
      <c r="AG232">
        <v>-228.25</v>
      </c>
      <c r="AH232">
        <v>-4.06</v>
      </c>
    </row>
    <row r="233" spans="1:34">
      <c r="A233" t="s">
        <v>398</v>
      </c>
      <c r="B233" t="s">
        <v>75</v>
      </c>
      <c r="C233" t="b">
        <v>0</v>
      </c>
      <c r="D233" t="b">
        <v>0</v>
      </c>
      <c r="E233" t="s">
        <v>1472</v>
      </c>
      <c r="F233" t="s">
        <v>82</v>
      </c>
      <c r="G233" t="s">
        <v>81</v>
      </c>
      <c r="H233">
        <v>35.4</v>
      </c>
      <c r="I233">
        <v>24</v>
      </c>
      <c r="J233">
        <v>191</v>
      </c>
      <c r="K233">
        <v>6581.76</v>
      </c>
      <c r="L233">
        <v>320.44</v>
      </c>
      <c r="M233">
        <v>20.87</v>
      </c>
      <c r="N233">
        <v>6240.45</v>
      </c>
      <c r="O233">
        <v>1871.85</v>
      </c>
      <c r="P233">
        <v>4368.6</v>
      </c>
      <c r="Q233">
        <v>40.29</v>
      </c>
      <c r="R233">
        <v>202.63</v>
      </c>
      <c r="S233">
        <v>409</v>
      </c>
      <c r="T233">
        <v>111</v>
      </c>
      <c r="U233">
        <v>3</v>
      </c>
      <c r="V233">
        <v>80</v>
      </c>
      <c r="W233">
        <v>23</v>
      </c>
      <c r="X233">
        <v>32.67</v>
      </c>
      <c r="Y233">
        <v>2.14</v>
      </c>
      <c r="Z233">
        <v>70</v>
      </c>
      <c r="AA233">
        <v>2000</v>
      </c>
      <c r="AB233">
        <v>1150.68</v>
      </c>
      <c r="AC233">
        <v>354.28</v>
      </c>
      <c r="AD233">
        <v>110</v>
      </c>
      <c r="AE233">
        <v>196.16</v>
      </c>
      <c r="AF233">
        <v>3811.12</v>
      </c>
      <c r="AG233">
        <v>314.56</v>
      </c>
      <c r="AH233">
        <v>5.04</v>
      </c>
    </row>
    <row r="234" spans="1:34">
      <c r="A234" t="s">
        <v>730</v>
      </c>
      <c r="B234" t="s">
        <v>258</v>
      </c>
      <c r="C234" t="b">
        <v>0</v>
      </c>
      <c r="D234" t="b">
        <v>0</v>
      </c>
      <c r="E234" t="s">
        <v>1472</v>
      </c>
      <c r="F234" t="s">
        <v>82</v>
      </c>
      <c r="G234" t="s">
        <v>81</v>
      </c>
      <c r="H234">
        <v>35.9</v>
      </c>
      <c r="I234">
        <v>25</v>
      </c>
      <c r="J234">
        <v>189</v>
      </c>
      <c r="K234">
        <v>5058.9</v>
      </c>
      <c r="L234">
        <v>128.69</v>
      </c>
      <c r="M234">
        <v>8.699999999999999</v>
      </c>
      <c r="N234">
        <v>4921.51</v>
      </c>
      <c r="O234">
        <v>1401.7</v>
      </c>
      <c r="P234">
        <v>3519.81</v>
      </c>
      <c r="Q234">
        <v>33.27</v>
      </c>
      <c r="R234">
        <v>264.76</v>
      </c>
      <c r="S234">
        <v>303</v>
      </c>
      <c r="T234">
        <v>122</v>
      </c>
      <c r="U234">
        <v>3</v>
      </c>
      <c r="V234">
        <v>67</v>
      </c>
      <c r="W234">
        <v>37</v>
      </c>
      <c r="X234">
        <v>26.04</v>
      </c>
      <c r="Y234">
        <v>1.6</v>
      </c>
      <c r="Z234">
        <v>71.52</v>
      </c>
      <c r="AA234">
        <v>2000</v>
      </c>
      <c r="AB234">
        <v>1150.68</v>
      </c>
      <c r="AC234">
        <v>351.53</v>
      </c>
      <c r="AD234">
        <v>110</v>
      </c>
      <c r="AE234">
        <v>173.79</v>
      </c>
      <c r="AF234">
        <v>3786</v>
      </c>
      <c r="AG234">
        <v>-564.22</v>
      </c>
      <c r="AH234">
        <v>-11.46</v>
      </c>
    </row>
    <row r="235" spans="1:34">
      <c r="A235" t="s">
        <v>731</v>
      </c>
      <c r="B235" t="s">
        <v>259</v>
      </c>
      <c r="C235" t="b">
        <v>0</v>
      </c>
      <c r="D235" t="b">
        <v>0</v>
      </c>
      <c r="E235" t="s">
        <v>1472</v>
      </c>
      <c r="F235" t="s">
        <v>82</v>
      </c>
      <c r="G235" t="s">
        <v>81</v>
      </c>
      <c r="H235">
        <v>37</v>
      </c>
      <c r="I235">
        <v>26</v>
      </c>
      <c r="J235">
        <v>185</v>
      </c>
      <c r="K235">
        <v>5431.98</v>
      </c>
      <c r="L235">
        <v>159.99</v>
      </c>
      <c r="M235">
        <v>18.26</v>
      </c>
      <c r="N235">
        <v>5253.73</v>
      </c>
      <c r="O235">
        <v>1496.4</v>
      </c>
      <c r="P235">
        <v>3757.33</v>
      </c>
      <c r="Q235">
        <v>35.82</v>
      </c>
      <c r="R235">
        <v>287.94</v>
      </c>
      <c r="S235">
        <v>328</v>
      </c>
      <c r="T235">
        <v>102</v>
      </c>
      <c r="U235">
        <v>5</v>
      </c>
      <c r="V235">
        <v>83</v>
      </c>
      <c r="W235">
        <v>35</v>
      </c>
      <c r="X235">
        <v>28.4</v>
      </c>
      <c r="Y235">
        <v>1.77</v>
      </c>
      <c r="Z235">
        <v>71.52</v>
      </c>
      <c r="AA235">
        <v>2000</v>
      </c>
      <c r="AB235">
        <v>1150.68</v>
      </c>
      <c r="AC235">
        <v>346.64</v>
      </c>
      <c r="AD235">
        <v>110</v>
      </c>
      <c r="AE235">
        <v>176.97</v>
      </c>
      <c r="AF235">
        <v>3784.29</v>
      </c>
      <c r="AG235">
        <v>-350.72</v>
      </c>
      <c r="AH235">
        <v>-6.68</v>
      </c>
    </row>
    <row r="236" spans="1:34">
      <c r="A236" t="s">
        <v>732</v>
      </c>
      <c r="B236" t="s">
        <v>260</v>
      </c>
      <c r="C236" t="b">
        <v>0</v>
      </c>
      <c r="D236" t="b">
        <v>0</v>
      </c>
      <c r="E236" t="s">
        <v>1472</v>
      </c>
      <c r="F236" t="s">
        <v>82</v>
      </c>
      <c r="G236" t="s">
        <v>81</v>
      </c>
      <c r="H236">
        <v>37</v>
      </c>
      <c r="I236">
        <v>27</v>
      </c>
      <c r="J236">
        <v>235</v>
      </c>
      <c r="K236">
        <v>6642.47</v>
      </c>
      <c r="L236">
        <v>166.08</v>
      </c>
      <c r="M236">
        <v>0</v>
      </c>
      <c r="N236">
        <v>6476.39</v>
      </c>
      <c r="O236">
        <v>1919.25</v>
      </c>
      <c r="P236">
        <v>4557.14</v>
      </c>
      <c r="Q236">
        <v>48.18</v>
      </c>
      <c r="R236">
        <v>268.22</v>
      </c>
      <c r="S236">
        <v>387</v>
      </c>
      <c r="T236">
        <v>138</v>
      </c>
      <c r="U236">
        <v>7</v>
      </c>
      <c r="V236">
        <v>97</v>
      </c>
      <c r="W236">
        <v>31</v>
      </c>
      <c r="X236">
        <v>27.56</v>
      </c>
      <c r="Y236">
        <v>1.65</v>
      </c>
      <c r="Z236">
        <v>70.37</v>
      </c>
      <c r="AA236">
        <v>2000</v>
      </c>
      <c r="AB236">
        <v>1150.68</v>
      </c>
      <c r="AC236">
        <v>408.32</v>
      </c>
      <c r="AD236">
        <v>110</v>
      </c>
      <c r="AE236">
        <v>219.89</v>
      </c>
      <c r="AF236">
        <v>3888.89</v>
      </c>
      <c r="AG236">
        <v>351.85</v>
      </c>
      <c r="AH236">
        <v>5.43</v>
      </c>
    </row>
    <row r="237" spans="1:34">
      <c r="A237" t="s">
        <v>733</v>
      </c>
      <c r="B237" t="s">
        <v>261</v>
      </c>
      <c r="C237" t="b">
        <v>0</v>
      </c>
      <c r="D237" t="b">
        <v>0</v>
      </c>
      <c r="E237" t="s">
        <v>1472</v>
      </c>
      <c r="F237" t="s">
        <v>82</v>
      </c>
      <c r="G237" t="s">
        <v>81</v>
      </c>
      <c r="H237">
        <v>34.7</v>
      </c>
      <c r="I237">
        <v>28</v>
      </c>
      <c r="J237">
        <v>213</v>
      </c>
      <c r="K237">
        <v>6225.96</v>
      </c>
      <c r="L237">
        <v>261.73</v>
      </c>
      <c r="M237">
        <v>14.78</v>
      </c>
      <c r="N237">
        <v>5949.45</v>
      </c>
      <c r="O237">
        <v>1708</v>
      </c>
      <c r="P237">
        <v>4241.45</v>
      </c>
      <c r="Q237">
        <v>43.88</v>
      </c>
      <c r="R237">
        <v>277.8</v>
      </c>
      <c r="S237">
        <v>385</v>
      </c>
      <c r="T237">
        <v>122</v>
      </c>
      <c r="U237">
        <v>4</v>
      </c>
      <c r="V237">
        <v>91</v>
      </c>
      <c r="W237">
        <v>34</v>
      </c>
      <c r="X237">
        <v>27.93</v>
      </c>
      <c r="Y237">
        <v>1.81</v>
      </c>
      <c r="Z237">
        <v>71.29000000000001</v>
      </c>
      <c r="AA237">
        <v>2000</v>
      </c>
      <c r="AB237">
        <v>1150.68</v>
      </c>
      <c r="AC237">
        <v>369.78</v>
      </c>
      <c r="AD237">
        <v>110</v>
      </c>
      <c r="AE237">
        <v>189.44</v>
      </c>
      <c r="AF237">
        <v>3819.9</v>
      </c>
      <c r="AG237">
        <v>99.87</v>
      </c>
      <c r="AH237">
        <v>1.68</v>
      </c>
    </row>
    <row r="238" spans="1:34">
      <c r="A238" t="s">
        <v>734</v>
      </c>
      <c r="B238" t="s">
        <v>262</v>
      </c>
      <c r="C238" t="b">
        <v>1</v>
      </c>
      <c r="D238" t="b">
        <v>0</v>
      </c>
      <c r="E238" t="s">
        <v>1472</v>
      </c>
      <c r="F238" t="s">
        <v>82</v>
      </c>
      <c r="G238" t="s">
        <v>81</v>
      </c>
      <c r="H238">
        <v>34.4</v>
      </c>
      <c r="I238">
        <v>29</v>
      </c>
      <c r="J238">
        <v>180</v>
      </c>
      <c r="K238">
        <v>6913.74</v>
      </c>
      <c r="L238">
        <v>138.25</v>
      </c>
      <c r="M238">
        <v>51.3</v>
      </c>
      <c r="N238">
        <v>6724.19</v>
      </c>
      <c r="O238">
        <v>1951.45</v>
      </c>
      <c r="P238">
        <v>4772.74</v>
      </c>
      <c r="Q238">
        <v>50.11</v>
      </c>
      <c r="R238">
        <v>308.59</v>
      </c>
      <c r="S238">
        <v>398</v>
      </c>
      <c r="T238">
        <v>115</v>
      </c>
      <c r="U238">
        <v>7</v>
      </c>
      <c r="V238">
        <v>65</v>
      </c>
      <c r="W238">
        <v>37</v>
      </c>
      <c r="X238">
        <v>37.36</v>
      </c>
      <c r="Y238">
        <v>2.21</v>
      </c>
      <c r="Z238">
        <v>70.98</v>
      </c>
      <c r="AA238">
        <v>2000</v>
      </c>
      <c r="AB238">
        <v>1150.68</v>
      </c>
      <c r="AC238">
        <v>360.66</v>
      </c>
      <c r="AD238">
        <v>110</v>
      </c>
      <c r="AE238">
        <v>208.89</v>
      </c>
      <c r="AF238">
        <v>3830.23</v>
      </c>
      <c r="AG238">
        <v>583.8099999999999</v>
      </c>
      <c r="AH238">
        <v>8.68</v>
      </c>
    </row>
    <row r="239" spans="1:34">
      <c r="A239" t="s">
        <v>735</v>
      </c>
      <c r="B239" t="s">
        <v>263</v>
      </c>
      <c r="C239" t="b">
        <v>1</v>
      </c>
      <c r="D239" t="b">
        <v>0</v>
      </c>
      <c r="E239" t="s">
        <v>1472</v>
      </c>
      <c r="F239" t="s">
        <v>82</v>
      </c>
      <c r="G239" t="s">
        <v>81</v>
      </c>
      <c r="H239">
        <v>36.1</v>
      </c>
      <c r="I239">
        <v>30</v>
      </c>
      <c r="J239">
        <v>177</v>
      </c>
      <c r="K239">
        <v>6172.88</v>
      </c>
      <c r="L239">
        <v>116.51</v>
      </c>
      <c r="M239">
        <v>39.13</v>
      </c>
      <c r="N239">
        <v>6017.24</v>
      </c>
      <c r="O239">
        <v>1751.35</v>
      </c>
      <c r="P239">
        <v>4265.89</v>
      </c>
      <c r="Q239">
        <v>43.21</v>
      </c>
      <c r="R239">
        <v>275.32</v>
      </c>
      <c r="S239">
        <v>361</v>
      </c>
      <c r="T239">
        <v>109</v>
      </c>
      <c r="U239">
        <v>7</v>
      </c>
      <c r="V239">
        <v>68</v>
      </c>
      <c r="W239">
        <v>35</v>
      </c>
      <c r="X239">
        <v>34</v>
      </c>
      <c r="Y239">
        <v>2.04</v>
      </c>
      <c r="Z239">
        <v>70.89</v>
      </c>
      <c r="AA239">
        <v>2000</v>
      </c>
      <c r="AB239">
        <v>1150.68</v>
      </c>
      <c r="AC239">
        <v>365.82</v>
      </c>
      <c r="AD239">
        <v>110</v>
      </c>
      <c r="AE239">
        <v>200.96</v>
      </c>
      <c r="AF239">
        <v>3827.46</v>
      </c>
      <c r="AG239">
        <v>119.9</v>
      </c>
      <c r="AH239">
        <v>1.99</v>
      </c>
    </row>
    <row r="240" spans="1:34">
      <c r="A240" t="s">
        <v>399</v>
      </c>
      <c r="B240" t="s">
        <v>75</v>
      </c>
      <c r="C240" t="b">
        <v>0</v>
      </c>
      <c r="D240" t="b">
        <v>0</v>
      </c>
      <c r="E240" t="s">
        <v>1472</v>
      </c>
      <c r="F240" t="s">
        <v>82</v>
      </c>
      <c r="G240" t="s">
        <v>1477</v>
      </c>
      <c r="H240">
        <v>34.8</v>
      </c>
      <c r="I240">
        <v>0</v>
      </c>
      <c r="J240">
        <v>183</v>
      </c>
      <c r="K240">
        <v>5846.82</v>
      </c>
      <c r="L240">
        <v>141.73</v>
      </c>
      <c r="M240">
        <v>24.35</v>
      </c>
      <c r="N240">
        <v>5680.74</v>
      </c>
      <c r="O240">
        <v>1674.7</v>
      </c>
      <c r="P240">
        <v>4006.04</v>
      </c>
      <c r="Q240">
        <v>40.52</v>
      </c>
      <c r="R240">
        <v>212.36</v>
      </c>
      <c r="S240">
        <v>345</v>
      </c>
      <c r="T240">
        <v>109</v>
      </c>
      <c r="U240">
        <v>7</v>
      </c>
      <c r="V240">
        <v>74</v>
      </c>
      <c r="W240">
        <v>21</v>
      </c>
      <c r="X240">
        <v>31.04</v>
      </c>
      <c r="Y240">
        <v>1.89</v>
      </c>
      <c r="Z240">
        <v>70.52</v>
      </c>
      <c r="AA240">
        <v>2000</v>
      </c>
      <c r="AB240">
        <v>1150.68</v>
      </c>
      <c r="AC240">
        <v>335</v>
      </c>
      <c r="AD240">
        <v>110</v>
      </c>
      <c r="AE240">
        <v>206.79</v>
      </c>
      <c r="AF240">
        <v>3802.47</v>
      </c>
      <c r="AG240">
        <v>-49.31</v>
      </c>
      <c r="AH240">
        <v>-0.87</v>
      </c>
    </row>
    <row r="241" spans="1:34">
      <c r="A241" t="s">
        <v>736</v>
      </c>
      <c r="B241" t="s">
        <v>258</v>
      </c>
      <c r="C241" t="b">
        <v>0</v>
      </c>
      <c r="D241" t="b">
        <v>0</v>
      </c>
      <c r="E241" t="s">
        <v>1472</v>
      </c>
      <c r="F241" t="s">
        <v>82</v>
      </c>
      <c r="G241" t="s">
        <v>1477</v>
      </c>
      <c r="H241">
        <v>35.4</v>
      </c>
      <c r="I241">
        <v>1</v>
      </c>
      <c r="J241">
        <v>202</v>
      </c>
      <c r="K241">
        <v>6910.16</v>
      </c>
      <c r="L241">
        <v>234.15</v>
      </c>
      <c r="M241">
        <v>0</v>
      </c>
      <c r="N241">
        <v>6676.01</v>
      </c>
      <c r="O241">
        <v>2007.3</v>
      </c>
      <c r="P241">
        <v>4668.71</v>
      </c>
      <c r="Q241">
        <v>42.12</v>
      </c>
      <c r="R241">
        <v>382.04</v>
      </c>
      <c r="S241">
        <v>399</v>
      </c>
      <c r="T241">
        <v>128</v>
      </c>
      <c r="U241">
        <v>6</v>
      </c>
      <c r="V241">
        <v>74</v>
      </c>
      <c r="W241">
        <v>41</v>
      </c>
      <c r="X241">
        <v>33.05</v>
      </c>
      <c r="Y241">
        <v>1.98</v>
      </c>
      <c r="Z241">
        <v>69.93000000000001</v>
      </c>
      <c r="AA241">
        <v>2000</v>
      </c>
      <c r="AB241">
        <v>1150.68</v>
      </c>
      <c r="AC241">
        <v>341.01</v>
      </c>
      <c r="AD241">
        <v>110</v>
      </c>
      <c r="AE241">
        <v>175.11</v>
      </c>
      <c r="AF241">
        <v>3776.8</v>
      </c>
      <c r="AG241">
        <v>467.75</v>
      </c>
      <c r="AH241">
        <v>7.01</v>
      </c>
    </row>
    <row r="242" spans="1:34">
      <c r="A242" t="s">
        <v>737</v>
      </c>
      <c r="B242" t="s">
        <v>259</v>
      </c>
      <c r="C242" t="b">
        <v>0</v>
      </c>
      <c r="D242" t="b">
        <v>0</v>
      </c>
      <c r="E242" t="s">
        <v>1472</v>
      </c>
      <c r="F242" t="s">
        <v>82</v>
      </c>
      <c r="G242" t="s">
        <v>1477</v>
      </c>
      <c r="H242">
        <v>35</v>
      </c>
      <c r="I242">
        <v>2</v>
      </c>
      <c r="J242">
        <v>232</v>
      </c>
      <c r="K242">
        <v>7147.59</v>
      </c>
      <c r="L242">
        <v>196.51</v>
      </c>
      <c r="M242">
        <v>0</v>
      </c>
      <c r="N242">
        <v>6951.08</v>
      </c>
      <c r="O242">
        <v>1971.4</v>
      </c>
      <c r="P242">
        <v>4979.68</v>
      </c>
      <c r="Q242">
        <v>48.24</v>
      </c>
      <c r="R242">
        <v>344.57</v>
      </c>
      <c r="S242">
        <v>423</v>
      </c>
      <c r="T242">
        <v>149</v>
      </c>
      <c r="U242">
        <v>6</v>
      </c>
      <c r="V242">
        <v>83</v>
      </c>
      <c r="W242">
        <v>40</v>
      </c>
      <c r="X242">
        <v>29.96</v>
      </c>
      <c r="Y242">
        <v>1.82</v>
      </c>
      <c r="Z242">
        <v>71.64</v>
      </c>
      <c r="AA242">
        <v>2000</v>
      </c>
      <c r="AB242">
        <v>1150.68</v>
      </c>
      <c r="AC242">
        <v>337.94</v>
      </c>
      <c r="AD242">
        <v>110</v>
      </c>
      <c r="AE242">
        <v>174.48</v>
      </c>
      <c r="AF242">
        <v>3773.1</v>
      </c>
      <c r="AG242">
        <v>813.77</v>
      </c>
      <c r="AH242">
        <v>11.71</v>
      </c>
    </row>
    <row r="243" spans="1:34">
      <c r="A243" t="s">
        <v>738</v>
      </c>
      <c r="B243" t="s">
        <v>260</v>
      </c>
      <c r="C243" t="b">
        <v>0</v>
      </c>
      <c r="D243" t="b">
        <v>0</v>
      </c>
      <c r="E243" t="s">
        <v>1472</v>
      </c>
      <c r="F243" t="s">
        <v>82</v>
      </c>
      <c r="G243" t="s">
        <v>1477</v>
      </c>
      <c r="H243">
        <v>35.2</v>
      </c>
      <c r="I243">
        <v>3</v>
      </c>
      <c r="J243">
        <v>230</v>
      </c>
      <c r="K243">
        <v>7499.8</v>
      </c>
      <c r="L243">
        <v>166.94</v>
      </c>
      <c r="M243">
        <v>17.39</v>
      </c>
      <c r="N243">
        <v>7315.47</v>
      </c>
      <c r="O243">
        <v>2118.3</v>
      </c>
      <c r="P243">
        <v>5197.17</v>
      </c>
      <c r="Q243">
        <v>52.04</v>
      </c>
      <c r="R243">
        <v>407.14</v>
      </c>
      <c r="S243">
        <v>448</v>
      </c>
      <c r="T243">
        <v>131</v>
      </c>
      <c r="U243">
        <v>8</v>
      </c>
      <c r="V243">
        <v>99</v>
      </c>
      <c r="W243">
        <v>41</v>
      </c>
      <c r="X243">
        <v>31.81</v>
      </c>
      <c r="Y243">
        <v>1.95</v>
      </c>
      <c r="Z243">
        <v>71.04000000000001</v>
      </c>
      <c r="AA243">
        <v>2000</v>
      </c>
      <c r="AB243">
        <v>1150.68</v>
      </c>
      <c r="AC243">
        <v>340.96</v>
      </c>
      <c r="AD243">
        <v>110</v>
      </c>
      <c r="AE243">
        <v>233.84</v>
      </c>
      <c r="AF243">
        <v>3835.48</v>
      </c>
      <c r="AG243">
        <v>902.51</v>
      </c>
      <c r="AH243">
        <v>12.34</v>
      </c>
    </row>
    <row r="244" spans="1:34">
      <c r="A244" t="s">
        <v>739</v>
      </c>
      <c r="B244" t="s">
        <v>261</v>
      </c>
      <c r="C244" t="b">
        <v>0</v>
      </c>
      <c r="D244" t="b">
        <v>0</v>
      </c>
      <c r="E244" t="s">
        <v>1472</v>
      </c>
      <c r="F244" t="s">
        <v>82</v>
      </c>
      <c r="G244" t="s">
        <v>1477</v>
      </c>
      <c r="H244">
        <v>32.8</v>
      </c>
      <c r="I244">
        <v>4</v>
      </c>
      <c r="J244">
        <v>262</v>
      </c>
      <c r="K244">
        <v>8345.860000000001</v>
      </c>
      <c r="L244">
        <v>293.89</v>
      </c>
      <c r="M244">
        <v>47.83</v>
      </c>
      <c r="N244">
        <v>8004.14</v>
      </c>
      <c r="O244">
        <v>2343.35</v>
      </c>
      <c r="P244">
        <v>5660.79</v>
      </c>
      <c r="Q244">
        <v>58.6</v>
      </c>
      <c r="R244">
        <v>332.51</v>
      </c>
      <c r="S244">
        <v>496</v>
      </c>
      <c r="T244">
        <v>158</v>
      </c>
      <c r="U244">
        <v>6</v>
      </c>
      <c r="V244">
        <v>104</v>
      </c>
      <c r="W244">
        <v>38</v>
      </c>
      <c r="X244">
        <v>30.55</v>
      </c>
      <c r="Y244">
        <v>1.89</v>
      </c>
      <c r="Z244">
        <v>70.72</v>
      </c>
      <c r="AA244">
        <v>2000</v>
      </c>
      <c r="AB244">
        <v>1150.68</v>
      </c>
      <c r="AC244">
        <v>317.68</v>
      </c>
      <c r="AD244">
        <v>110</v>
      </c>
      <c r="AE244">
        <v>179.95</v>
      </c>
      <c r="AF244">
        <v>3758.31</v>
      </c>
      <c r="AG244">
        <v>1511.37</v>
      </c>
      <c r="AH244">
        <v>18.88</v>
      </c>
    </row>
    <row r="245" spans="1:34">
      <c r="A245" t="s">
        <v>740</v>
      </c>
      <c r="B245" t="s">
        <v>262</v>
      </c>
      <c r="C245" t="b">
        <v>1</v>
      </c>
      <c r="D245" t="b">
        <v>0</v>
      </c>
      <c r="E245" t="s">
        <v>1473</v>
      </c>
      <c r="F245" t="s">
        <v>82</v>
      </c>
      <c r="G245" t="s">
        <v>81</v>
      </c>
      <c r="H245">
        <v>33.6</v>
      </c>
      <c r="I245">
        <v>5</v>
      </c>
      <c r="J245">
        <v>245</v>
      </c>
      <c r="K245">
        <v>9524.030000000001</v>
      </c>
      <c r="L245">
        <v>192.15</v>
      </c>
      <c r="M245">
        <v>61.74</v>
      </c>
      <c r="N245">
        <v>9270.139999999999</v>
      </c>
      <c r="O245">
        <v>2636.5</v>
      </c>
      <c r="P245">
        <v>6633.64</v>
      </c>
      <c r="Q245">
        <v>67.19</v>
      </c>
      <c r="R245">
        <v>500.33</v>
      </c>
      <c r="S245">
        <v>569</v>
      </c>
      <c r="T245">
        <v>153</v>
      </c>
      <c r="U245">
        <v>13</v>
      </c>
      <c r="V245">
        <v>92</v>
      </c>
      <c r="W245">
        <v>60</v>
      </c>
      <c r="X245">
        <v>37.84</v>
      </c>
      <c r="Y245">
        <v>2.32</v>
      </c>
      <c r="Z245">
        <v>71.56</v>
      </c>
      <c r="AA245">
        <v>2066.67</v>
      </c>
      <c r="AB245">
        <v>1150.68</v>
      </c>
      <c r="AC245">
        <v>333.62</v>
      </c>
      <c r="AD245">
        <v>110</v>
      </c>
      <c r="AE245">
        <v>150.25</v>
      </c>
      <c r="AF245">
        <v>3811.22</v>
      </c>
      <c r="AG245">
        <v>2254.9</v>
      </c>
      <c r="AH245">
        <v>24.32</v>
      </c>
    </row>
    <row r="246" spans="1:34">
      <c r="A246" t="s">
        <v>741</v>
      </c>
      <c r="B246" t="s">
        <v>263</v>
      </c>
      <c r="C246" t="b">
        <v>1</v>
      </c>
      <c r="D246" t="b">
        <v>0</v>
      </c>
      <c r="E246" t="s">
        <v>1473</v>
      </c>
      <c r="F246" t="s">
        <v>82</v>
      </c>
      <c r="G246" t="s">
        <v>81</v>
      </c>
      <c r="H246">
        <v>32.7</v>
      </c>
      <c r="I246">
        <v>6</v>
      </c>
      <c r="J246">
        <v>216</v>
      </c>
      <c r="K246">
        <v>8050.97</v>
      </c>
      <c r="L246">
        <v>145.21</v>
      </c>
      <c r="M246">
        <v>28.69</v>
      </c>
      <c r="N246">
        <v>7877.07</v>
      </c>
      <c r="O246">
        <v>2217.4</v>
      </c>
      <c r="P246">
        <v>5659.67</v>
      </c>
      <c r="Q246">
        <v>57.35</v>
      </c>
      <c r="R246">
        <v>405.86</v>
      </c>
      <c r="S246">
        <v>476</v>
      </c>
      <c r="T246">
        <v>139</v>
      </c>
      <c r="U246">
        <v>9</v>
      </c>
      <c r="V246">
        <v>77</v>
      </c>
      <c r="W246">
        <v>44</v>
      </c>
      <c r="X246">
        <v>36.47</v>
      </c>
      <c r="Y246">
        <v>2.2</v>
      </c>
      <c r="Z246">
        <v>71.84999999999999</v>
      </c>
      <c r="AA246">
        <v>2066.67</v>
      </c>
      <c r="AB246">
        <v>1150.68</v>
      </c>
      <c r="AC246">
        <v>298.99</v>
      </c>
      <c r="AD246">
        <v>110</v>
      </c>
      <c r="AE246">
        <v>212.84</v>
      </c>
      <c r="AF246">
        <v>3839.18</v>
      </c>
      <c r="AG246">
        <v>1357.28</v>
      </c>
      <c r="AH246">
        <v>17.23</v>
      </c>
    </row>
    <row r="247" spans="1:34">
      <c r="A247" t="s">
        <v>400</v>
      </c>
      <c r="B247" t="s">
        <v>75</v>
      </c>
      <c r="C247" t="b">
        <v>0</v>
      </c>
      <c r="D247" t="b">
        <v>0</v>
      </c>
      <c r="E247" t="s">
        <v>1473</v>
      </c>
      <c r="F247" t="s">
        <v>82</v>
      </c>
      <c r="G247" t="s">
        <v>81</v>
      </c>
      <c r="H247">
        <v>33.4</v>
      </c>
      <c r="I247">
        <v>7</v>
      </c>
      <c r="J247">
        <v>190</v>
      </c>
      <c r="K247">
        <v>5524.11</v>
      </c>
      <c r="L247">
        <v>140.87</v>
      </c>
      <c r="M247">
        <v>19.13</v>
      </c>
      <c r="N247">
        <v>5364.11</v>
      </c>
      <c r="O247">
        <v>1511.5</v>
      </c>
      <c r="P247">
        <v>3852.61</v>
      </c>
      <c r="Q247">
        <v>40.39</v>
      </c>
      <c r="R247">
        <v>222.09</v>
      </c>
      <c r="S247">
        <v>342</v>
      </c>
      <c r="T247">
        <v>116</v>
      </c>
      <c r="U247">
        <v>3</v>
      </c>
      <c r="V247">
        <v>74</v>
      </c>
      <c r="W247">
        <v>28</v>
      </c>
      <c r="X247">
        <v>28.23</v>
      </c>
      <c r="Y247">
        <v>1.8</v>
      </c>
      <c r="Z247">
        <v>71.81999999999999</v>
      </c>
      <c r="AA247">
        <v>2066.67</v>
      </c>
      <c r="AB247">
        <v>1150.68</v>
      </c>
      <c r="AC247">
        <v>341.05</v>
      </c>
      <c r="AD247">
        <v>110</v>
      </c>
      <c r="AE247">
        <v>210.16</v>
      </c>
      <c r="AF247">
        <v>3878.56</v>
      </c>
      <c r="AG247">
        <v>-288.43</v>
      </c>
      <c r="AH247">
        <v>-5.38</v>
      </c>
    </row>
    <row r="248" spans="1:34">
      <c r="A248" t="s">
        <v>742</v>
      </c>
      <c r="B248" t="s">
        <v>258</v>
      </c>
      <c r="C248" t="b">
        <v>0</v>
      </c>
      <c r="D248" t="b">
        <v>0</v>
      </c>
      <c r="E248" t="s">
        <v>1473</v>
      </c>
      <c r="F248" t="s">
        <v>82</v>
      </c>
      <c r="G248" t="s">
        <v>81</v>
      </c>
      <c r="H248">
        <v>31.5</v>
      </c>
      <c r="I248">
        <v>8</v>
      </c>
      <c r="J248">
        <v>206</v>
      </c>
      <c r="K248">
        <v>6217.12</v>
      </c>
      <c r="L248">
        <v>236.5</v>
      </c>
      <c r="M248">
        <v>0</v>
      </c>
      <c r="N248">
        <v>5980.62</v>
      </c>
      <c r="O248">
        <v>1713.35</v>
      </c>
      <c r="P248">
        <v>4267.27</v>
      </c>
      <c r="Q248">
        <v>46.89</v>
      </c>
      <c r="R248">
        <v>228.28</v>
      </c>
      <c r="S248">
        <v>372</v>
      </c>
      <c r="T248">
        <v>115</v>
      </c>
      <c r="U248">
        <v>5</v>
      </c>
      <c r="V248">
        <v>91</v>
      </c>
      <c r="W248">
        <v>25</v>
      </c>
      <c r="X248">
        <v>29.03</v>
      </c>
      <c r="Y248">
        <v>1.81</v>
      </c>
      <c r="Z248">
        <v>71.34999999999999</v>
      </c>
      <c r="AA248">
        <v>2066.67</v>
      </c>
      <c r="AB248">
        <v>1150.68</v>
      </c>
      <c r="AC248">
        <v>309.26</v>
      </c>
      <c r="AD248">
        <v>110</v>
      </c>
      <c r="AE248">
        <v>204.28</v>
      </c>
      <c r="AF248">
        <v>3840.89</v>
      </c>
      <c r="AG248">
        <v>151.21</v>
      </c>
      <c r="AH248">
        <v>2.53</v>
      </c>
    </row>
    <row r="249" spans="1:34">
      <c r="A249" t="s">
        <v>743</v>
      </c>
      <c r="B249" t="s">
        <v>259</v>
      </c>
      <c r="C249" t="b">
        <v>0</v>
      </c>
      <c r="D249" t="b">
        <v>0</v>
      </c>
      <c r="E249" t="s">
        <v>1473</v>
      </c>
      <c r="F249" t="s">
        <v>82</v>
      </c>
      <c r="G249" t="s">
        <v>81</v>
      </c>
      <c r="H249">
        <v>33.4</v>
      </c>
      <c r="I249">
        <v>9</v>
      </c>
      <c r="J249">
        <v>199</v>
      </c>
      <c r="K249">
        <v>5543.26</v>
      </c>
      <c r="L249">
        <v>206.95</v>
      </c>
      <c r="M249">
        <v>16.52</v>
      </c>
      <c r="N249">
        <v>5319.79</v>
      </c>
      <c r="O249">
        <v>1522.8</v>
      </c>
      <c r="P249">
        <v>3796.99</v>
      </c>
      <c r="Q249">
        <v>37.44</v>
      </c>
      <c r="R249">
        <v>296.38</v>
      </c>
      <c r="S249">
        <v>336</v>
      </c>
      <c r="T249">
        <v>111</v>
      </c>
      <c r="U249">
        <v>7</v>
      </c>
      <c r="V249">
        <v>88</v>
      </c>
      <c r="W249">
        <v>31</v>
      </c>
      <c r="X249">
        <v>26.73</v>
      </c>
      <c r="Y249">
        <v>1.69</v>
      </c>
      <c r="Z249">
        <v>71.37</v>
      </c>
      <c r="AA249">
        <v>2066.67</v>
      </c>
      <c r="AB249">
        <v>1150.68</v>
      </c>
      <c r="AC249">
        <v>330.67</v>
      </c>
      <c r="AD249">
        <v>110</v>
      </c>
      <c r="AE249">
        <v>211.74</v>
      </c>
      <c r="AF249">
        <v>3869.76</v>
      </c>
      <c r="AG249">
        <v>-406.59</v>
      </c>
      <c r="AH249">
        <v>-7.64</v>
      </c>
    </row>
    <row r="250" spans="1:34">
      <c r="A250" t="s">
        <v>744</v>
      </c>
      <c r="B250" t="s">
        <v>260</v>
      </c>
      <c r="C250" t="b">
        <v>0</v>
      </c>
      <c r="D250" t="b">
        <v>0</v>
      </c>
      <c r="E250" t="s">
        <v>1473</v>
      </c>
      <c r="F250" t="s">
        <v>82</v>
      </c>
      <c r="G250" t="s">
        <v>81</v>
      </c>
      <c r="H250">
        <v>33.8</v>
      </c>
      <c r="I250">
        <v>10</v>
      </c>
      <c r="J250">
        <v>181</v>
      </c>
      <c r="K250">
        <v>5523.28</v>
      </c>
      <c r="L250">
        <v>153.03</v>
      </c>
      <c r="M250">
        <v>60.87</v>
      </c>
      <c r="N250">
        <v>5309.38</v>
      </c>
      <c r="O250">
        <v>1501.95</v>
      </c>
      <c r="P250">
        <v>3807.43</v>
      </c>
      <c r="Q250">
        <v>37.54</v>
      </c>
      <c r="R250">
        <v>250.82</v>
      </c>
      <c r="S250">
        <v>336</v>
      </c>
      <c r="T250">
        <v>106</v>
      </c>
      <c r="U250">
        <v>9</v>
      </c>
      <c r="V250">
        <v>75</v>
      </c>
      <c r="W250">
        <v>26</v>
      </c>
      <c r="X250">
        <v>29.33</v>
      </c>
      <c r="Y250">
        <v>1.86</v>
      </c>
      <c r="Z250">
        <v>71.70999999999999</v>
      </c>
      <c r="AA250">
        <v>2066.67</v>
      </c>
      <c r="AB250">
        <v>1150.68</v>
      </c>
      <c r="AC250">
        <v>370.25</v>
      </c>
      <c r="AD250">
        <v>110</v>
      </c>
      <c r="AE250">
        <v>182.47</v>
      </c>
      <c r="AF250">
        <v>3880.07</v>
      </c>
      <c r="AG250">
        <v>-361</v>
      </c>
      <c r="AH250">
        <v>-6.8</v>
      </c>
    </row>
    <row r="251" spans="1:34">
      <c r="A251" t="s">
        <v>745</v>
      </c>
      <c r="B251" t="s">
        <v>261</v>
      </c>
      <c r="C251" t="b">
        <v>0</v>
      </c>
      <c r="D251" t="b">
        <v>0</v>
      </c>
      <c r="E251" t="s">
        <v>1473</v>
      </c>
      <c r="F251" t="s">
        <v>82</v>
      </c>
      <c r="G251" t="s">
        <v>81</v>
      </c>
      <c r="H251">
        <v>32.4</v>
      </c>
      <c r="I251">
        <v>11</v>
      </c>
      <c r="J251">
        <v>272</v>
      </c>
      <c r="K251">
        <v>8911.889999999999</v>
      </c>
      <c r="L251">
        <v>154.77</v>
      </c>
      <c r="M251">
        <v>36.52</v>
      </c>
      <c r="N251">
        <v>8720.6</v>
      </c>
      <c r="O251">
        <v>2425.2</v>
      </c>
      <c r="P251">
        <v>6295.4</v>
      </c>
      <c r="Q251">
        <v>65.89</v>
      </c>
      <c r="R251">
        <v>287.2</v>
      </c>
      <c r="S251">
        <v>534</v>
      </c>
      <c r="T251">
        <v>154</v>
      </c>
      <c r="U251">
        <v>3</v>
      </c>
      <c r="V251">
        <v>118</v>
      </c>
      <c r="W251">
        <v>40</v>
      </c>
      <c r="X251">
        <v>32.06</v>
      </c>
      <c r="Y251">
        <v>1.96</v>
      </c>
      <c r="Z251">
        <v>72.19</v>
      </c>
      <c r="AA251">
        <v>2066.67</v>
      </c>
      <c r="AB251">
        <v>1150.68</v>
      </c>
      <c r="AC251">
        <v>314.82</v>
      </c>
      <c r="AD251">
        <v>110</v>
      </c>
      <c r="AE251">
        <v>203.18</v>
      </c>
      <c r="AF251">
        <v>3845.35</v>
      </c>
      <c r="AG251">
        <v>2096.96</v>
      </c>
      <c r="AH251">
        <v>24.05</v>
      </c>
    </row>
    <row r="252" spans="1:34">
      <c r="A252" t="s">
        <v>746</v>
      </c>
      <c r="B252" t="s">
        <v>262</v>
      </c>
      <c r="C252" t="b">
        <v>1</v>
      </c>
      <c r="D252" t="b">
        <v>0</v>
      </c>
      <c r="E252" t="s">
        <v>1473</v>
      </c>
      <c r="F252" t="s">
        <v>82</v>
      </c>
      <c r="G252" t="s">
        <v>81</v>
      </c>
      <c r="H252">
        <v>34</v>
      </c>
      <c r="I252">
        <v>12</v>
      </c>
      <c r="J252">
        <v>187</v>
      </c>
      <c r="K252">
        <v>7606.76</v>
      </c>
      <c r="L252">
        <v>151.3</v>
      </c>
      <c r="M252">
        <v>0</v>
      </c>
      <c r="N252">
        <v>7455.46</v>
      </c>
      <c r="O252">
        <v>2198.15</v>
      </c>
      <c r="P252">
        <v>5257.31</v>
      </c>
      <c r="Q252">
        <v>49.73</v>
      </c>
      <c r="R252">
        <v>403.32</v>
      </c>
      <c r="S252">
        <v>449</v>
      </c>
      <c r="T252">
        <v>112</v>
      </c>
      <c r="U252">
        <v>5</v>
      </c>
      <c r="V252">
        <v>75</v>
      </c>
      <c r="W252">
        <v>43</v>
      </c>
      <c r="X252">
        <v>39.87</v>
      </c>
      <c r="Y252">
        <v>2.4</v>
      </c>
      <c r="Z252">
        <v>70.52</v>
      </c>
      <c r="AA252">
        <v>2066.67</v>
      </c>
      <c r="AB252">
        <v>1150.68</v>
      </c>
      <c r="AC252">
        <v>355.83</v>
      </c>
      <c r="AD252">
        <v>110</v>
      </c>
      <c r="AE252">
        <v>179.1</v>
      </c>
      <c r="AF252">
        <v>3862.28</v>
      </c>
      <c r="AG252">
        <v>941.98</v>
      </c>
      <c r="AH252">
        <v>12.63</v>
      </c>
    </row>
    <row r="253" spans="1:34">
      <c r="A253" t="s">
        <v>747</v>
      </c>
      <c r="B253" t="s">
        <v>263</v>
      </c>
      <c r="C253" t="b">
        <v>1</v>
      </c>
      <c r="D253" t="b">
        <v>0</v>
      </c>
      <c r="E253" t="s">
        <v>1473</v>
      </c>
      <c r="F253" t="s">
        <v>82</v>
      </c>
      <c r="G253" t="s">
        <v>81</v>
      </c>
      <c r="H253">
        <v>35.6</v>
      </c>
      <c r="I253">
        <v>13</v>
      </c>
      <c r="J253">
        <v>197</v>
      </c>
      <c r="K253">
        <v>7417.99</v>
      </c>
      <c r="L253">
        <v>199.11</v>
      </c>
      <c r="M253">
        <v>17.39</v>
      </c>
      <c r="N253">
        <v>7201.49</v>
      </c>
      <c r="O253">
        <v>2077.7</v>
      </c>
      <c r="P253">
        <v>5123.79</v>
      </c>
      <c r="Q253">
        <v>55.38</v>
      </c>
      <c r="R253">
        <v>343.23</v>
      </c>
      <c r="S253">
        <v>441</v>
      </c>
      <c r="T253">
        <v>126</v>
      </c>
      <c r="U253">
        <v>10</v>
      </c>
      <c r="V253">
        <v>71</v>
      </c>
      <c r="W253">
        <v>34</v>
      </c>
      <c r="X253">
        <v>36.56</v>
      </c>
      <c r="Y253">
        <v>2.24</v>
      </c>
      <c r="Z253">
        <v>71.15000000000001</v>
      </c>
      <c r="AA253">
        <v>2066.67</v>
      </c>
      <c r="AB253">
        <v>1150.68</v>
      </c>
      <c r="AC253">
        <v>363.01</v>
      </c>
      <c r="AD253">
        <v>110</v>
      </c>
      <c r="AE253">
        <v>196.83</v>
      </c>
      <c r="AF253">
        <v>3887.19</v>
      </c>
      <c r="AG253">
        <v>837.99</v>
      </c>
      <c r="AH253">
        <v>11.64</v>
      </c>
    </row>
    <row r="254" spans="1:34">
      <c r="A254" t="s">
        <v>401</v>
      </c>
      <c r="B254" t="s">
        <v>75</v>
      </c>
      <c r="C254" t="b">
        <v>0</v>
      </c>
      <c r="D254" t="b">
        <v>0</v>
      </c>
      <c r="E254" t="s">
        <v>1473</v>
      </c>
      <c r="F254" t="s">
        <v>82</v>
      </c>
      <c r="G254" t="s">
        <v>307</v>
      </c>
      <c r="H254">
        <v>36.2</v>
      </c>
      <c r="I254">
        <v>14</v>
      </c>
      <c r="J254">
        <v>213</v>
      </c>
      <c r="K254">
        <v>6599.76</v>
      </c>
      <c r="L254">
        <v>188.03</v>
      </c>
      <c r="M254">
        <v>0</v>
      </c>
      <c r="N254">
        <v>6411.73</v>
      </c>
      <c r="O254">
        <v>1847.25</v>
      </c>
      <c r="P254">
        <v>4564.48</v>
      </c>
      <c r="Q254">
        <v>47.17</v>
      </c>
      <c r="R254">
        <v>295.37</v>
      </c>
      <c r="S254">
        <v>386</v>
      </c>
      <c r="T254">
        <v>130</v>
      </c>
      <c r="U254">
        <v>10</v>
      </c>
      <c r="V254">
        <v>83</v>
      </c>
      <c r="W254">
        <v>33</v>
      </c>
      <c r="X254">
        <v>30.1</v>
      </c>
      <c r="Y254">
        <v>1.81</v>
      </c>
      <c r="Z254">
        <v>71.19</v>
      </c>
      <c r="AA254">
        <v>2066.67</v>
      </c>
      <c r="AB254">
        <v>1150.68</v>
      </c>
      <c r="AC254">
        <v>359.56</v>
      </c>
      <c r="AD254">
        <v>1010</v>
      </c>
      <c r="AE254">
        <v>214.56</v>
      </c>
      <c r="AF254">
        <v>4801.47</v>
      </c>
      <c r="AG254">
        <v>-579.53</v>
      </c>
      <c r="AH254">
        <v>-9.039999999999999</v>
      </c>
    </row>
    <row r="255" spans="1:34">
      <c r="A255" t="s">
        <v>748</v>
      </c>
      <c r="B255" t="s">
        <v>258</v>
      </c>
      <c r="C255" t="b">
        <v>0</v>
      </c>
      <c r="D255" t="b">
        <v>0</v>
      </c>
      <c r="E255" t="s">
        <v>1473</v>
      </c>
      <c r="F255" t="s">
        <v>82</v>
      </c>
      <c r="G255" t="s">
        <v>307</v>
      </c>
      <c r="H255">
        <v>34.9</v>
      </c>
      <c r="I255">
        <v>15</v>
      </c>
      <c r="J255">
        <v>189</v>
      </c>
      <c r="K255">
        <v>6049.36</v>
      </c>
      <c r="L255">
        <v>281.07</v>
      </c>
      <c r="M255">
        <v>37.39</v>
      </c>
      <c r="N255">
        <v>5730.9</v>
      </c>
      <c r="O255">
        <v>1738</v>
      </c>
      <c r="P255">
        <v>3992.9</v>
      </c>
      <c r="Q255">
        <v>39.01</v>
      </c>
      <c r="R255">
        <v>384.52</v>
      </c>
      <c r="S255">
        <v>366</v>
      </c>
      <c r="T255">
        <v>132</v>
      </c>
      <c r="U255">
        <v>16</v>
      </c>
      <c r="V255">
        <v>57</v>
      </c>
      <c r="W255">
        <v>43</v>
      </c>
      <c r="X255">
        <v>30.32</v>
      </c>
      <c r="Y255">
        <v>1.94</v>
      </c>
      <c r="Z255">
        <v>69.67</v>
      </c>
      <c r="AA255">
        <v>2066.67</v>
      </c>
      <c r="AB255">
        <v>1150.68</v>
      </c>
      <c r="AC255">
        <v>340.98</v>
      </c>
      <c r="AD255">
        <v>1010</v>
      </c>
      <c r="AE255">
        <v>188.39</v>
      </c>
      <c r="AF255">
        <v>4756.72</v>
      </c>
      <c r="AG255">
        <v>-1187.35</v>
      </c>
      <c r="AH255">
        <v>-20.72</v>
      </c>
    </row>
    <row r="256" spans="1:34">
      <c r="A256" t="s">
        <v>749</v>
      </c>
      <c r="B256" t="s">
        <v>259</v>
      </c>
      <c r="C256" t="b">
        <v>0</v>
      </c>
      <c r="D256" t="b">
        <v>0</v>
      </c>
      <c r="E256" t="s">
        <v>1473</v>
      </c>
      <c r="F256" t="s">
        <v>82</v>
      </c>
      <c r="G256" t="s">
        <v>307</v>
      </c>
      <c r="H256">
        <v>35.3</v>
      </c>
      <c r="I256">
        <v>16</v>
      </c>
      <c r="J256">
        <v>224</v>
      </c>
      <c r="K256">
        <v>6579.81</v>
      </c>
      <c r="L256">
        <v>207.38</v>
      </c>
      <c r="M256">
        <v>47.82</v>
      </c>
      <c r="N256">
        <v>6324.61</v>
      </c>
      <c r="O256">
        <v>1834.15</v>
      </c>
      <c r="P256">
        <v>4490.46</v>
      </c>
      <c r="Q256">
        <v>47.42</v>
      </c>
      <c r="R256">
        <v>323.14</v>
      </c>
      <c r="S256">
        <v>394</v>
      </c>
      <c r="T256">
        <v>152</v>
      </c>
      <c r="U256">
        <v>16</v>
      </c>
      <c r="V256">
        <v>72</v>
      </c>
      <c r="W256">
        <v>37</v>
      </c>
      <c r="X256">
        <v>28.23</v>
      </c>
      <c r="Y256">
        <v>1.76</v>
      </c>
      <c r="Z256">
        <v>71</v>
      </c>
      <c r="AA256">
        <v>2066.67</v>
      </c>
      <c r="AB256">
        <v>1150.68</v>
      </c>
      <c r="AC256">
        <v>343.77</v>
      </c>
      <c r="AD256">
        <v>1010</v>
      </c>
      <c r="AE256">
        <v>194.56</v>
      </c>
      <c r="AF256">
        <v>4765.68</v>
      </c>
      <c r="AG256">
        <v>-645.78</v>
      </c>
      <c r="AH256">
        <v>-10.21</v>
      </c>
    </row>
    <row r="257" spans="1:34">
      <c r="A257" t="s">
        <v>750</v>
      </c>
      <c r="B257" t="s">
        <v>260</v>
      </c>
      <c r="C257" t="b">
        <v>0</v>
      </c>
      <c r="D257" t="b">
        <v>0</v>
      </c>
      <c r="E257" t="s">
        <v>1473</v>
      </c>
      <c r="F257" t="s">
        <v>82</v>
      </c>
      <c r="G257" t="s">
        <v>307</v>
      </c>
      <c r="H257">
        <v>35.4</v>
      </c>
      <c r="I257">
        <v>17</v>
      </c>
      <c r="J257">
        <v>224</v>
      </c>
      <c r="K257">
        <v>6681.54</v>
      </c>
      <c r="L257">
        <v>190.42</v>
      </c>
      <c r="M257">
        <v>0</v>
      </c>
      <c r="N257">
        <v>6491.12</v>
      </c>
      <c r="O257">
        <v>1882.25</v>
      </c>
      <c r="P257">
        <v>4608.87</v>
      </c>
      <c r="Q257">
        <v>49.56</v>
      </c>
      <c r="R257">
        <v>202.43</v>
      </c>
      <c r="S257">
        <v>394</v>
      </c>
      <c r="T257">
        <v>142</v>
      </c>
      <c r="U257">
        <v>12</v>
      </c>
      <c r="V257">
        <v>82</v>
      </c>
      <c r="W257">
        <v>27</v>
      </c>
      <c r="X257">
        <v>28.98</v>
      </c>
      <c r="Y257">
        <v>1.76</v>
      </c>
      <c r="Z257">
        <v>71</v>
      </c>
      <c r="AA257">
        <v>2066.67</v>
      </c>
      <c r="AB257">
        <v>1150.68</v>
      </c>
      <c r="AC257">
        <v>360.07</v>
      </c>
      <c r="AD257">
        <v>1010</v>
      </c>
      <c r="AE257">
        <v>192.52</v>
      </c>
      <c r="AF257">
        <v>4779.94</v>
      </c>
      <c r="AG257">
        <v>-423.06</v>
      </c>
      <c r="AH257">
        <v>-6.52</v>
      </c>
    </row>
    <row r="258" spans="1:34">
      <c r="A258" t="s">
        <v>751</v>
      </c>
      <c r="B258" t="s">
        <v>261</v>
      </c>
      <c r="C258" t="b">
        <v>0</v>
      </c>
      <c r="D258" t="b">
        <v>0</v>
      </c>
      <c r="E258" t="s">
        <v>1473</v>
      </c>
      <c r="F258" t="s">
        <v>82</v>
      </c>
      <c r="G258" t="s">
        <v>307</v>
      </c>
      <c r="H258">
        <v>35.1</v>
      </c>
      <c r="I258">
        <v>18</v>
      </c>
      <c r="J258">
        <v>252</v>
      </c>
      <c r="K258">
        <v>8323.35</v>
      </c>
      <c r="L258">
        <v>298.24</v>
      </c>
      <c r="M258">
        <v>20</v>
      </c>
      <c r="N258">
        <v>8005.11</v>
      </c>
      <c r="O258">
        <v>2368.05</v>
      </c>
      <c r="P258">
        <v>5637.06</v>
      </c>
      <c r="Q258">
        <v>54.33</v>
      </c>
      <c r="R258">
        <v>457.84</v>
      </c>
      <c r="S258">
        <v>505</v>
      </c>
      <c r="T258">
        <v>167</v>
      </c>
      <c r="U258">
        <v>15</v>
      </c>
      <c r="V258">
        <v>85</v>
      </c>
      <c r="W258">
        <v>45</v>
      </c>
      <c r="X258">
        <v>31.77</v>
      </c>
      <c r="Y258">
        <v>2</v>
      </c>
      <c r="Z258">
        <v>70.42</v>
      </c>
      <c r="AA258">
        <v>2066.67</v>
      </c>
      <c r="AB258">
        <v>1150.68</v>
      </c>
      <c r="AC258">
        <v>360.56</v>
      </c>
      <c r="AD258">
        <v>1010</v>
      </c>
      <c r="AE258">
        <v>170.69</v>
      </c>
      <c r="AF258">
        <v>4758.6</v>
      </c>
      <c r="AG258">
        <v>366.29</v>
      </c>
      <c r="AH258">
        <v>4.58</v>
      </c>
    </row>
    <row r="259" spans="1:34">
      <c r="A259" t="s">
        <v>752</v>
      </c>
      <c r="B259" t="s">
        <v>262</v>
      </c>
      <c r="C259" t="b">
        <v>1</v>
      </c>
      <c r="D259" t="b">
        <v>0</v>
      </c>
      <c r="E259" t="s">
        <v>1473</v>
      </c>
      <c r="F259" t="s">
        <v>82</v>
      </c>
      <c r="G259" t="s">
        <v>307</v>
      </c>
      <c r="H259">
        <v>34.4</v>
      </c>
      <c r="I259">
        <v>19</v>
      </c>
      <c r="J259">
        <v>243</v>
      </c>
      <c r="K259">
        <v>9837.139999999999</v>
      </c>
      <c r="L259">
        <v>295.41</v>
      </c>
      <c r="M259">
        <v>0</v>
      </c>
      <c r="N259">
        <v>9541.73</v>
      </c>
      <c r="O259">
        <v>2762.2</v>
      </c>
      <c r="P259">
        <v>6779.53</v>
      </c>
      <c r="Q259">
        <v>63.93</v>
      </c>
      <c r="R259">
        <v>543.74</v>
      </c>
      <c r="S259">
        <v>581</v>
      </c>
      <c r="T259">
        <v>162</v>
      </c>
      <c r="U259">
        <v>19</v>
      </c>
      <c r="V259">
        <v>81</v>
      </c>
      <c r="W259">
        <v>61</v>
      </c>
      <c r="X259">
        <v>39.27</v>
      </c>
      <c r="Y259">
        <v>2.39</v>
      </c>
      <c r="Z259">
        <v>71.05</v>
      </c>
      <c r="AA259">
        <v>2066.67</v>
      </c>
      <c r="AB259">
        <v>1150.68</v>
      </c>
      <c r="AC259">
        <v>350.96</v>
      </c>
      <c r="AD259">
        <v>1010</v>
      </c>
      <c r="AE259">
        <v>197.57</v>
      </c>
      <c r="AF259">
        <v>4775.88</v>
      </c>
      <c r="AG259">
        <v>1395.98</v>
      </c>
      <c r="AH259">
        <v>14.63</v>
      </c>
    </row>
    <row r="260" spans="1:34">
      <c r="A260" t="s">
        <v>753</v>
      </c>
      <c r="B260" t="s">
        <v>263</v>
      </c>
      <c r="C260" t="b">
        <v>1</v>
      </c>
      <c r="D260" t="b">
        <v>0</v>
      </c>
      <c r="E260" t="s">
        <v>1473</v>
      </c>
      <c r="F260" t="s">
        <v>82</v>
      </c>
      <c r="G260" t="s">
        <v>307</v>
      </c>
      <c r="H260">
        <v>34.4</v>
      </c>
      <c r="I260">
        <v>20</v>
      </c>
      <c r="J260">
        <v>185</v>
      </c>
      <c r="K260">
        <v>7702.42</v>
      </c>
      <c r="L260">
        <v>229.33</v>
      </c>
      <c r="M260">
        <v>18.26</v>
      </c>
      <c r="N260">
        <v>7454.83</v>
      </c>
      <c r="O260">
        <v>2188.1</v>
      </c>
      <c r="P260">
        <v>5266.73</v>
      </c>
      <c r="Q260">
        <v>51.01</v>
      </c>
      <c r="R260">
        <v>405.62</v>
      </c>
      <c r="S260">
        <v>450</v>
      </c>
      <c r="T260">
        <v>120</v>
      </c>
      <c r="U260">
        <v>12</v>
      </c>
      <c r="V260">
        <v>65</v>
      </c>
      <c r="W260">
        <v>40</v>
      </c>
      <c r="X260">
        <v>40.3</v>
      </c>
      <c r="Y260">
        <v>2.43</v>
      </c>
      <c r="Z260">
        <v>70.65000000000001</v>
      </c>
      <c r="AA260">
        <v>2066.67</v>
      </c>
      <c r="AB260">
        <v>1150.68</v>
      </c>
      <c r="AC260">
        <v>297.49</v>
      </c>
      <c r="AD260">
        <v>1010</v>
      </c>
      <c r="AE260">
        <v>180.06</v>
      </c>
      <c r="AF260">
        <v>4704.9</v>
      </c>
      <c r="AG260">
        <v>105.2</v>
      </c>
      <c r="AH260">
        <v>1.41</v>
      </c>
    </row>
    <row r="261" spans="1:34">
      <c r="A261" t="s">
        <v>402</v>
      </c>
      <c r="B261" t="s">
        <v>75</v>
      </c>
      <c r="C261" t="b">
        <v>0</v>
      </c>
      <c r="D261" t="b">
        <v>0</v>
      </c>
      <c r="E261" t="s">
        <v>1473</v>
      </c>
      <c r="F261" t="s">
        <v>82</v>
      </c>
      <c r="G261" t="s">
        <v>307</v>
      </c>
      <c r="H261">
        <v>31.2</v>
      </c>
      <c r="I261">
        <v>21</v>
      </c>
      <c r="J261">
        <v>254</v>
      </c>
      <c r="K261">
        <v>7433.61</v>
      </c>
      <c r="L261">
        <v>209.77</v>
      </c>
      <c r="M261">
        <v>37.39</v>
      </c>
      <c r="N261">
        <v>7186.45</v>
      </c>
      <c r="O261">
        <v>2005.7</v>
      </c>
      <c r="P261">
        <v>5180.75</v>
      </c>
      <c r="Q261">
        <v>52.17</v>
      </c>
      <c r="R261">
        <v>264.2</v>
      </c>
      <c r="S261">
        <v>438</v>
      </c>
      <c r="T261">
        <v>146</v>
      </c>
      <c r="U261">
        <v>17</v>
      </c>
      <c r="V261">
        <v>108</v>
      </c>
      <c r="W261">
        <v>34</v>
      </c>
      <c r="X261">
        <v>28.29</v>
      </c>
      <c r="Y261">
        <v>1.72</v>
      </c>
      <c r="Z261">
        <v>72.09</v>
      </c>
      <c r="AA261">
        <v>2066.67</v>
      </c>
      <c r="AB261">
        <v>1150.68</v>
      </c>
      <c r="AC261">
        <v>328.12</v>
      </c>
      <c r="AD261">
        <v>1010</v>
      </c>
      <c r="AE261">
        <v>182.03</v>
      </c>
      <c r="AF261">
        <v>4737.5</v>
      </c>
      <c r="AG261">
        <v>126.88</v>
      </c>
      <c r="AH261">
        <v>1.77</v>
      </c>
    </row>
    <row r="262" spans="1:34">
      <c r="A262" t="s">
        <v>754</v>
      </c>
      <c r="B262" t="s">
        <v>258</v>
      </c>
      <c r="C262" t="b">
        <v>0</v>
      </c>
      <c r="D262" t="b">
        <v>0</v>
      </c>
      <c r="E262" t="s">
        <v>1473</v>
      </c>
      <c r="F262" t="s">
        <v>82</v>
      </c>
      <c r="G262" t="s">
        <v>307</v>
      </c>
      <c r="H262">
        <v>32.8</v>
      </c>
      <c r="I262">
        <v>22</v>
      </c>
      <c r="J262">
        <v>193</v>
      </c>
      <c r="K262">
        <v>5587.7</v>
      </c>
      <c r="L262">
        <v>306.49</v>
      </c>
      <c r="M262">
        <v>0</v>
      </c>
      <c r="N262">
        <v>5281.21</v>
      </c>
      <c r="O262">
        <v>1606.45</v>
      </c>
      <c r="P262">
        <v>3674.76</v>
      </c>
      <c r="Q262">
        <v>39.02</v>
      </c>
      <c r="R262">
        <v>228.25</v>
      </c>
      <c r="S262">
        <v>339</v>
      </c>
      <c r="T262">
        <v>133</v>
      </c>
      <c r="U262">
        <v>11</v>
      </c>
      <c r="V262">
        <v>60</v>
      </c>
      <c r="W262">
        <v>29</v>
      </c>
      <c r="X262">
        <v>27.36</v>
      </c>
      <c r="Y262">
        <v>1.76</v>
      </c>
      <c r="Z262">
        <v>69.58</v>
      </c>
      <c r="AA262">
        <v>2066.67</v>
      </c>
      <c r="AB262">
        <v>1150.68</v>
      </c>
      <c r="AC262">
        <v>309.5</v>
      </c>
      <c r="AD262">
        <v>1010</v>
      </c>
      <c r="AE262">
        <v>245.6</v>
      </c>
      <c r="AF262">
        <v>4782.45</v>
      </c>
      <c r="AG262">
        <v>-1374.96</v>
      </c>
      <c r="AH262">
        <v>-26.03</v>
      </c>
    </row>
    <row r="263" spans="1:34">
      <c r="A263" t="s">
        <v>755</v>
      </c>
      <c r="B263" t="s">
        <v>259</v>
      </c>
      <c r="C263" t="b">
        <v>0</v>
      </c>
      <c r="D263" t="b">
        <v>0</v>
      </c>
      <c r="E263" t="s">
        <v>1473</v>
      </c>
      <c r="F263" t="s">
        <v>82</v>
      </c>
      <c r="G263" t="s">
        <v>307</v>
      </c>
      <c r="H263">
        <v>32.2</v>
      </c>
      <c r="I263">
        <v>23</v>
      </c>
      <c r="J263">
        <v>260</v>
      </c>
      <c r="K263">
        <v>8510.139999999999</v>
      </c>
      <c r="L263">
        <v>321.46</v>
      </c>
      <c r="M263">
        <v>40.01</v>
      </c>
      <c r="N263">
        <v>8148.67</v>
      </c>
      <c r="O263">
        <v>2429.05</v>
      </c>
      <c r="P263">
        <v>5719.62</v>
      </c>
      <c r="Q263">
        <v>54.42</v>
      </c>
      <c r="R263">
        <v>397.38</v>
      </c>
      <c r="S263">
        <v>517</v>
      </c>
      <c r="T263">
        <v>171</v>
      </c>
      <c r="U263">
        <v>15</v>
      </c>
      <c r="V263">
        <v>89</v>
      </c>
      <c r="W263">
        <v>50</v>
      </c>
      <c r="X263">
        <v>31.34</v>
      </c>
      <c r="Y263">
        <v>1.99</v>
      </c>
      <c r="Z263">
        <v>70.19</v>
      </c>
      <c r="AA263">
        <v>2066.67</v>
      </c>
      <c r="AB263">
        <v>1150.68</v>
      </c>
      <c r="AC263">
        <v>316.67</v>
      </c>
      <c r="AD263">
        <v>1010</v>
      </c>
      <c r="AE263">
        <v>206.45</v>
      </c>
      <c r="AF263">
        <v>4750.47</v>
      </c>
      <c r="AG263">
        <v>517.35</v>
      </c>
      <c r="AH263">
        <v>6.35</v>
      </c>
    </row>
    <row r="264" spans="1:34">
      <c r="A264" t="s">
        <v>756</v>
      </c>
      <c r="B264" t="s">
        <v>260</v>
      </c>
      <c r="C264" t="b">
        <v>0</v>
      </c>
      <c r="D264" t="b">
        <v>0</v>
      </c>
      <c r="E264" t="s">
        <v>1473</v>
      </c>
      <c r="F264" t="s">
        <v>82</v>
      </c>
      <c r="G264" t="s">
        <v>307</v>
      </c>
      <c r="H264">
        <v>33.4</v>
      </c>
      <c r="I264">
        <v>24</v>
      </c>
      <c r="J264">
        <v>236</v>
      </c>
      <c r="K264">
        <v>7754.64</v>
      </c>
      <c r="L264">
        <v>335.34</v>
      </c>
      <c r="M264">
        <v>0</v>
      </c>
      <c r="N264">
        <v>7419.3</v>
      </c>
      <c r="O264">
        <v>2266.05</v>
      </c>
      <c r="P264">
        <v>5153.25</v>
      </c>
      <c r="Q264">
        <v>51.23</v>
      </c>
      <c r="R264">
        <v>296.33</v>
      </c>
      <c r="S264">
        <v>470</v>
      </c>
      <c r="T264">
        <v>150</v>
      </c>
      <c r="U264">
        <v>14</v>
      </c>
      <c r="V264">
        <v>86</v>
      </c>
      <c r="W264">
        <v>32</v>
      </c>
      <c r="X264">
        <v>31.44</v>
      </c>
      <c r="Y264">
        <v>1.99</v>
      </c>
      <c r="Z264">
        <v>69.45999999999999</v>
      </c>
      <c r="AA264">
        <v>2066.67</v>
      </c>
      <c r="AB264">
        <v>1150.68</v>
      </c>
      <c r="AC264">
        <v>351.39</v>
      </c>
      <c r="AD264">
        <v>1010</v>
      </c>
      <c r="AE264">
        <v>192.89</v>
      </c>
      <c r="AF264">
        <v>4771.63</v>
      </c>
      <c r="AG264">
        <v>34.06</v>
      </c>
      <c r="AH264">
        <v>0.46</v>
      </c>
    </row>
    <row r="265" spans="1:34">
      <c r="A265" t="s">
        <v>757</v>
      </c>
      <c r="B265" t="s">
        <v>261</v>
      </c>
      <c r="C265" t="b">
        <v>0</v>
      </c>
      <c r="D265" t="b">
        <v>0</v>
      </c>
      <c r="E265" t="s">
        <v>1473</v>
      </c>
      <c r="F265" t="s">
        <v>82</v>
      </c>
      <c r="G265" t="s">
        <v>1491</v>
      </c>
      <c r="H265">
        <v>33.9</v>
      </c>
      <c r="I265">
        <v>25</v>
      </c>
      <c r="J265">
        <v>294</v>
      </c>
      <c r="K265">
        <v>10414.48</v>
      </c>
      <c r="L265">
        <v>1912.42</v>
      </c>
      <c r="M265">
        <v>10.43</v>
      </c>
      <c r="N265">
        <v>8491.629999999999</v>
      </c>
      <c r="O265">
        <v>2896.95</v>
      </c>
      <c r="P265">
        <v>5594.68</v>
      </c>
      <c r="Q265">
        <v>60.29</v>
      </c>
      <c r="R265">
        <v>206.81</v>
      </c>
      <c r="S265">
        <v>621</v>
      </c>
      <c r="T265">
        <v>173</v>
      </c>
      <c r="U265">
        <v>29</v>
      </c>
      <c r="V265">
        <v>121</v>
      </c>
      <c r="W265">
        <v>29</v>
      </c>
      <c r="X265">
        <v>28.88</v>
      </c>
      <c r="Y265">
        <v>2.11</v>
      </c>
      <c r="Z265">
        <v>65.88</v>
      </c>
      <c r="AA265">
        <v>2416.67</v>
      </c>
      <c r="AB265">
        <v>1150.68</v>
      </c>
      <c r="AC265">
        <v>345.34</v>
      </c>
      <c r="AD265">
        <v>1810</v>
      </c>
      <c r="AE265">
        <v>177.68</v>
      </c>
      <c r="AF265">
        <v>5900.37</v>
      </c>
      <c r="AG265">
        <v>-572.79</v>
      </c>
      <c r="AH265">
        <v>-6.75</v>
      </c>
    </row>
    <row r="266" spans="1:34">
      <c r="A266" t="s">
        <v>758</v>
      </c>
      <c r="B266" t="s">
        <v>262</v>
      </c>
      <c r="C266" t="b">
        <v>1</v>
      </c>
      <c r="D266" t="b">
        <v>0</v>
      </c>
      <c r="E266" t="s">
        <v>1473</v>
      </c>
      <c r="F266" t="s">
        <v>82</v>
      </c>
      <c r="G266" t="s">
        <v>1492</v>
      </c>
      <c r="H266">
        <v>34.4</v>
      </c>
      <c r="I266">
        <v>26</v>
      </c>
      <c r="J266">
        <v>220</v>
      </c>
      <c r="K266">
        <v>8467.68</v>
      </c>
      <c r="L266">
        <v>1479.11</v>
      </c>
      <c r="M266">
        <v>0</v>
      </c>
      <c r="N266">
        <v>6988.57</v>
      </c>
      <c r="O266">
        <v>2431.5</v>
      </c>
      <c r="P266">
        <v>4557.07</v>
      </c>
      <c r="Q266">
        <v>55.57</v>
      </c>
      <c r="R266">
        <v>286.33</v>
      </c>
      <c r="S266">
        <v>490</v>
      </c>
      <c r="T266">
        <v>139</v>
      </c>
      <c r="U266">
        <v>22</v>
      </c>
      <c r="V266">
        <v>81</v>
      </c>
      <c r="W266">
        <v>32</v>
      </c>
      <c r="X266">
        <v>31.77</v>
      </c>
      <c r="Y266">
        <v>2.23</v>
      </c>
      <c r="Z266">
        <v>65.20999999999999</v>
      </c>
      <c r="AA266">
        <v>2416.67</v>
      </c>
      <c r="AB266">
        <v>1150.68</v>
      </c>
      <c r="AC266">
        <v>345.48</v>
      </c>
      <c r="AD266">
        <v>1810</v>
      </c>
      <c r="AE266">
        <v>171.43</v>
      </c>
      <c r="AF266">
        <v>5894.26</v>
      </c>
      <c r="AG266">
        <v>-1679.09</v>
      </c>
      <c r="AH266">
        <v>-24.03</v>
      </c>
    </row>
    <row r="267" spans="1:34">
      <c r="A267" t="s">
        <v>759</v>
      </c>
      <c r="B267" t="s">
        <v>263</v>
      </c>
      <c r="C267" t="b">
        <v>1</v>
      </c>
      <c r="D267" t="b">
        <v>1</v>
      </c>
      <c r="E267" t="s">
        <v>1473</v>
      </c>
      <c r="F267" t="s">
        <v>82</v>
      </c>
      <c r="G267" t="s">
        <v>1493</v>
      </c>
      <c r="H267">
        <v>32.4</v>
      </c>
      <c r="I267">
        <v>27</v>
      </c>
      <c r="J267">
        <v>232</v>
      </c>
      <c r="K267">
        <v>8493.620000000001</v>
      </c>
      <c r="L267">
        <v>1555.53</v>
      </c>
      <c r="M267">
        <v>22.61</v>
      </c>
      <c r="N267">
        <v>6915.48</v>
      </c>
      <c r="O267">
        <v>2363.2</v>
      </c>
      <c r="P267">
        <v>4552.28</v>
      </c>
      <c r="Q267">
        <v>53.48</v>
      </c>
      <c r="R267">
        <v>268.23</v>
      </c>
      <c r="S267">
        <v>507</v>
      </c>
      <c r="T267">
        <v>140</v>
      </c>
      <c r="U267">
        <v>31</v>
      </c>
      <c r="V267">
        <v>92</v>
      </c>
      <c r="W267">
        <v>41</v>
      </c>
      <c r="X267">
        <v>29.81</v>
      </c>
      <c r="Y267">
        <v>2.19</v>
      </c>
      <c r="Z267">
        <v>65.83</v>
      </c>
      <c r="AA267">
        <v>2416.67</v>
      </c>
      <c r="AB267">
        <v>1150.68</v>
      </c>
      <c r="AC267">
        <v>306.08</v>
      </c>
      <c r="AD267">
        <v>1810</v>
      </c>
      <c r="AE267">
        <v>176.54</v>
      </c>
      <c r="AF267">
        <v>5859.97</v>
      </c>
      <c r="AG267">
        <v>-1629.4</v>
      </c>
      <c r="AH267">
        <v>-23.56</v>
      </c>
    </row>
    <row r="268" spans="1:34">
      <c r="A268" t="s">
        <v>403</v>
      </c>
      <c r="B268" t="s">
        <v>75</v>
      </c>
      <c r="C268" t="b">
        <v>0</v>
      </c>
      <c r="D268" t="b">
        <v>1</v>
      </c>
      <c r="E268" t="s">
        <v>1473</v>
      </c>
      <c r="F268" t="s">
        <v>82</v>
      </c>
      <c r="G268" t="s">
        <v>1494</v>
      </c>
      <c r="H268">
        <v>32.7</v>
      </c>
      <c r="I268">
        <v>28</v>
      </c>
      <c r="J268">
        <v>219</v>
      </c>
      <c r="K268">
        <v>8542.43</v>
      </c>
      <c r="L268">
        <v>1518.53</v>
      </c>
      <c r="M268">
        <v>0</v>
      </c>
      <c r="N268">
        <v>7023.9</v>
      </c>
      <c r="O268">
        <v>2438.5</v>
      </c>
      <c r="P268">
        <v>4585.4</v>
      </c>
      <c r="Q268">
        <v>57.1</v>
      </c>
      <c r="R268">
        <v>339.72</v>
      </c>
      <c r="S268">
        <v>495</v>
      </c>
      <c r="T268">
        <v>144</v>
      </c>
      <c r="U268">
        <v>23</v>
      </c>
      <c r="V268">
        <v>75</v>
      </c>
      <c r="W268">
        <v>47</v>
      </c>
      <c r="X268">
        <v>32.07</v>
      </c>
      <c r="Y268">
        <v>2.26</v>
      </c>
      <c r="Z268">
        <v>65.28</v>
      </c>
      <c r="AA268">
        <v>2416.67</v>
      </c>
      <c r="AB268">
        <v>1150.68</v>
      </c>
      <c r="AC268">
        <v>284.03</v>
      </c>
      <c r="AD268">
        <v>1810</v>
      </c>
      <c r="AE268">
        <v>173.42</v>
      </c>
      <c r="AF268">
        <v>5834.8</v>
      </c>
      <c r="AG268">
        <v>-1646.22</v>
      </c>
      <c r="AH268">
        <v>-23.44</v>
      </c>
    </row>
    <row r="269" spans="1:34">
      <c r="A269" t="s">
        <v>760</v>
      </c>
      <c r="B269" t="s">
        <v>258</v>
      </c>
      <c r="C269" t="b">
        <v>0</v>
      </c>
      <c r="D269" t="b">
        <v>0</v>
      </c>
      <c r="E269" t="s">
        <v>1473</v>
      </c>
      <c r="F269" t="s">
        <v>82</v>
      </c>
      <c r="G269" t="s">
        <v>307</v>
      </c>
      <c r="H269">
        <v>32.8</v>
      </c>
      <c r="I269">
        <v>29</v>
      </c>
      <c r="J269">
        <v>186</v>
      </c>
      <c r="K269">
        <v>5500.67</v>
      </c>
      <c r="L269">
        <v>195.64</v>
      </c>
      <c r="M269">
        <v>0</v>
      </c>
      <c r="N269">
        <v>5305.03</v>
      </c>
      <c r="O269">
        <v>1557.65</v>
      </c>
      <c r="P269">
        <v>3747.38</v>
      </c>
      <c r="Q269">
        <v>37.94</v>
      </c>
      <c r="R269">
        <v>271.31</v>
      </c>
      <c r="S269">
        <v>335</v>
      </c>
      <c r="T269">
        <v>126</v>
      </c>
      <c r="U269">
        <v>17</v>
      </c>
      <c r="V269">
        <v>60</v>
      </c>
      <c r="W269">
        <v>30</v>
      </c>
      <c r="X269">
        <v>28.52</v>
      </c>
      <c r="Y269">
        <v>1.8</v>
      </c>
      <c r="Z269">
        <v>70.64</v>
      </c>
      <c r="AA269">
        <v>2066.67</v>
      </c>
      <c r="AB269">
        <v>1150.68</v>
      </c>
      <c r="AC269">
        <v>349.72</v>
      </c>
      <c r="AD269">
        <v>1010</v>
      </c>
      <c r="AE269">
        <v>198.9</v>
      </c>
      <c r="AF269">
        <v>4775.97</v>
      </c>
      <c r="AG269">
        <v>-1337.84</v>
      </c>
      <c r="AH269">
        <v>-25.22</v>
      </c>
    </row>
    <row r="270" spans="1:34">
      <c r="A270" t="s">
        <v>761</v>
      </c>
      <c r="B270" t="s">
        <v>259</v>
      </c>
      <c r="C270" t="b">
        <v>0</v>
      </c>
      <c r="D270" t="b">
        <v>0</v>
      </c>
      <c r="E270" t="s">
        <v>1473</v>
      </c>
      <c r="F270" t="s">
        <v>82</v>
      </c>
      <c r="G270" t="s">
        <v>307</v>
      </c>
      <c r="H270">
        <v>32.1</v>
      </c>
      <c r="I270">
        <v>30</v>
      </c>
      <c r="J270">
        <v>227</v>
      </c>
      <c r="K270">
        <v>8214.66</v>
      </c>
      <c r="L270">
        <v>410.52</v>
      </c>
      <c r="M270">
        <v>0</v>
      </c>
      <c r="N270">
        <v>7804.14</v>
      </c>
      <c r="O270">
        <v>2390.7</v>
      </c>
      <c r="P270">
        <v>5413.44</v>
      </c>
      <c r="Q270">
        <v>40.59</v>
      </c>
      <c r="R270">
        <v>352.99</v>
      </c>
      <c r="S270">
        <v>474</v>
      </c>
      <c r="T270">
        <v>157</v>
      </c>
      <c r="U270">
        <v>13</v>
      </c>
      <c r="V270">
        <v>70</v>
      </c>
      <c r="W270">
        <v>41</v>
      </c>
      <c r="X270">
        <v>34.38</v>
      </c>
      <c r="Y270">
        <v>2.09</v>
      </c>
      <c r="Z270">
        <v>69.37</v>
      </c>
      <c r="AA270">
        <v>2066.67</v>
      </c>
      <c r="AB270">
        <v>1150.68</v>
      </c>
      <c r="AC270">
        <v>326.39</v>
      </c>
      <c r="AD270">
        <v>1010</v>
      </c>
      <c r="AE270">
        <v>204.17</v>
      </c>
      <c r="AF270">
        <v>4757.91</v>
      </c>
      <c r="AG270">
        <v>261.95</v>
      </c>
      <c r="AH270">
        <v>3.36</v>
      </c>
    </row>
    <row r="271" spans="1:34">
      <c r="A271" t="s">
        <v>762</v>
      </c>
      <c r="B271" t="s">
        <v>260</v>
      </c>
      <c r="C271" t="b">
        <v>0</v>
      </c>
      <c r="D271" t="b">
        <v>0</v>
      </c>
      <c r="E271" t="s">
        <v>1473</v>
      </c>
      <c r="F271" t="s">
        <v>82</v>
      </c>
      <c r="G271" t="s">
        <v>1495</v>
      </c>
      <c r="H271">
        <v>32.8</v>
      </c>
      <c r="I271">
        <v>0</v>
      </c>
      <c r="J271">
        <v>285</v>
      </c>
      <c r="K271">
        <v>9648.360000000001</v>
      </c>
      <c r="L271">
        <v>278.89</v>
      </c>
      <c r="M271">
        <v>0</v>
      </c>
      <c r="N271">
        <v>9369.469999999999</v>
      </c>
      <c r="O271">
        <v>2747.15</v>
      </c>
      <c r="P271">
        <v>6622.32</v>
      </c>
      <c r="Q271">
        <v>67.92</v>
      </c>
      <c r="R271">
        <v>425.9</v>
      </c>
      <c r="S271">
        <v>574</v>
      </c>
      <c r="T271">
        <v>184</v>
      </c>
      <c r="U271">
        <v>19</v>
      </c>
      <c r="V271">
        <v>101</v>
      </c>
      <c r="W271">
        <v>41</v>
      </c>
      <c r="X271">
        <v>32.88</v>
      </c>
      <c r="Y271">
        <v>2.01</v>
      </c>
      <c r="Z271">
        <v>70.68000000000001</v>
      </c>
      <c r="AA271">
        <v>2066.67</v>
      </c>
      <c r="AB271">
        <v>1150.68</v>
      </c>
      <c r="AC271">
        <v>336.01</v>
      </c>
      <c r="AD271">
        <v>1010</v>
      </c>
      <c r="AE271">
        <v>209.54</v>
      </c>
      <c r="AF271">
        <v>4772.9</v>
      </c>
      <c r="AG271">
        <v>1355.6</v>
      </c>
      <c r="AH271">
        <v>14.47</v>
      </c>
    </row>
    <row r="272" spans="1:34">
      <c r="A272" t="s">
        <v>763</v>
      </c>
      <c r="B272" t="s">
        <v>261</v>
      </c>
      <c r="C272" t="b">
        <v>0</v>
      </c>
      <c r="D272" t="b">
        <v>0</v>
      </c>
      <c r="E272" t="s">
        <v>1473</v>
      </c>
      <c r="F272" t="s">
        <v>82</v>
      </c>
      <c r="G272" t="s">
        <v>1495</v>
      </c>
      <c r="H272">
        <v>32</v>
      </c>
      <c r="I272">
        <v>1</v>
      </c>
      <c r="J272">
        <v>279</v>
      </c>
      <c r="K272">
        <v>9423.23</v>
      </c>
      <c r="L272">
        <v>264.78</v>
      </c>
      <c r="M272">
        <v>0</v>
      </c>
      <c r="N272">
        <v>9158.450000000001</v>
      </c>
      <c r="O272">
        <v>2644.75</v>
      </c>
      <c r="P272">
        <v>6513.7</v>
      </c>
      <c r="Q272">
        <v>70.61</v>
      </c>
      <c r="R272">
        <v>443.28</v>
      </c>
      <c r="S272">
        <v>540</v>
      </c>
      <c r="T272">
        <v>179</v>
      </c>
      <c r="U272">
        <v>14</v>
      </c>
      <c r="V272">
        <v>100</v>
      </c>
      <c r="W272">
        <v>48</v>
      </c>
      <c r="X272">
        <v>32.83</v>
      </c>
      <c r="Y272">
        <v>1.94</v>
      </c>
      <c r="Z272">
        <v>71.12</v>
      </c>
      <c r="AA272">
        <v>2066.67</v>
      </c>
      <c r="AB272">
        <v>1150.68</v>
      </c>
      <c r="AC272">
        <v>330.15</v>
      </c>
      <c r="AD272">
        <v>1010</v>
      </c>
      <c r="AE272">
        <v>207.51</v>
      </c>
      <c r="AF272">
        <v>4765.01</v>
      </c>
      <c r="AG272">
        <v>1234.8</v>
      </c>
      <c r="AH272">
        <v>13.48</v>
      </c>
    </row>
    <row r="273" spans="1:34">
      <c r="A273" t="s">
        <v>764</v>
      </c>
      <c r="B273" t="s">
        <v>262</v>
      </c>
      <c r="C273" t="b">
        <v>1</v>
      </c>
      <c r="D273" t="b">
        <v>0</v>
      </c>
      <c r="E273" t="s">
        <v>1473</v>
      </c>
      <c r="F273" t="s">
        <v>82</v>
      </c>
      <c r="G273" t="s">
        <v>1495</v>
      </c>
      <c r="H273">
        <v>33.8</v>
      </c>
      <c r="I273">
        <v>2</v>
      </c>
      <c r="J273">
        <v>241</v>
      </c>
      <c r="K273">
        <v>10250.18</v>
      </c>
      <c r="L273">
        <v>328.45</v>
      </c>
      <c r="M273">
        <v>0</v>
      </c>
      <c r="N273">
        <v>9921.73</v>
      </c>
      <c r="O273">
        <v>2902.55</v>
      </c>
      <c r="P273">
        <v>7019.18</v>
      </c>
      <c r="Q273">
        <v>68.81999999999999</v>
      </c>
      <c r="R273">
        <v>467.63</v>
      </c>
      <c r="S273">
        <v>602</v>
      </c>
      <c r="T273">
        <v>149</v>
      </c>
      <c r="U273">
        <v>16</v>
      </c>
      <c r="V273">
        <v>92</v>
      </c>
      <c r="W273">
        <v>52</v>
      </c>
      <c r="X273">
        <v>41.17</v>
      </c>
      <c r="Y273">
        <v>2.5</v>
      </c>
      <c r="Z273">
        <v>70.75</v>
      </c>
      <c r="AA273">
        <v>2066.67</v>
      </c>
      <c r="AB273">
        <v>1150.68</v>
      </c>
      <c r="AC273">
        <v>321.48</v>
      </c>
      <c r="AD273">
        <v>1010</v>
      </c>
      <c r="AE273">
        <v>214.01</v>
      </c>
      <c r="AF273">
        <v>4762.84</v>
      </c>
      <c r="AG273">
        <v>1719.89</v>
      </c>
      <c r="AH273">
        <v>17.33</v>
      </c>
    </row>
    <row r="274" spans="1:34">
      <c r="A274" t="s">
        <v>765</v>
      </c>
      <c r="B274" t="s">
        <v>263</v>
      </c>
      <c r="C274" t="b">
        <v>1</v>
      </c>
      <c r="D274" t="b">
        <v>0</v>
      </c>
      <c r="E274" t="s">
        <v>1473</v>
      </c>
      <c r="F274" t="s">
        <v>82</v>
      </c>
      <c r="G274" t="s">
        <v>1495</v>
      </c>
      <c r="H274">
        <v>33.5</v>
      </c>
      <c r="I274">
        <v>3</v>
      </c>
      <c r="J274">
        <v>213</v>
      </c>
      <c r="K274">
        <v>8426.809999999999</v>
      </c>
      <c r="L274">
        <v>344.97</v>
      </c>
      <c r="M274">
        <v>61.74</v>
      </c>
      <c r="N274">
        <v>8020.1</v>
      </c>
      <c r="O274">
        <v>2419.3</v>
      </c>
      <c r="P274">
        <v>5600.8</v>
      </c>
      <c r="Q274">
        <v>60.59</v>
      </c>
      <c r="R274">
        <v>364.67</v>
      </c>
      <c r="S274">
        <v>491</v>
      </c>
      <c r="T274">
        <v>133</v>
      </c>
      <c r="U274">
        <v>14</v>
      </c>
      <c r="V274">
        <v>80</v>
      </c>
      <c r="W274">
        <v>38</v>
      </c>
      <c r="X274">
        <v>37.65</v>
      </c>
      <c r="Y274">
        <v>2.31</v>
      </c>
      <c r="Z274">
        <v>69.83</v>
      </c>
      <c r="AA274">
        <v>2066.67</v>
      </c>
      <c r="AB274">
        <v>1150.68</v>
      </c>
      <c r="AC274">
        <v>333.17</v>
      </c>
      <c r="AD274">
        <v>1010</v>
      </c>
      <c r="AE274">
        <v>189.87</v>
      </c>
      <c r="AF274">
        <v>4750.39</v>
      </c>
      <c r="AG274">
        <v>425.15</v>
      </c>
      <c r="AH274">
        <v>5.3</v>
      </c>
    </row>
    <row r="275" spans="1:34">
      <c r="A275" t="s">
        <v>404</v>
      </c>
      <c r="B275" t="s">
        <v>75</v>
      </c>
      <c r="C275" t="b">
        <v>0</v>
      </c>
      <c r="D275" t="b">
        <v>0</v>
      </c>
      <c r="E275" t="s">
        <v>1473</v>
      </c>
      <c r="F275" t="s">
        <v>82</v>
      </c>
      <c r="G275" t="s">
        <v>1477</v>
      </c>
      <c r="H275">
        <v>29.8</v>
      </c>
      <c r="I275">
        <v>4</v>
      </c>
      <c r="J275">
        <v>209</v>
      </c>
      <c r="K275">
        <v>6595.48</v>
      </c>
      <c r="L275">
        <v>177.39</v>
      </c>
      <c r="M275">
        <v>64.34999999999999</v>
      </c>
      <c r="N275">
        <v>6353.74</v>
      </c>
      <c r="O275">
        <v>1877.9</v>
      </c>
      <c r="P275">
        <v>4475.84</v>
      </c>
      <c r="Q275">
        <v>45.64</v>
      </c>
      <c r="R275">
        <v>305.98</v>
      </c>
      <c r="S275">
        <v>382</v>
      </c>
      <c r="T275">
        <v>133</v>
      </c>
      <c r="U275">
        <v>2</v>
      </c>
      <c r="V275">
        <v>76</v>
      </c>
      <c r="W275">
        <v>32</v>
      </c>
      <c r="X275">
        <v>30.4</v>
      </c>
      <c r="Y275">
        <v>1.83</v>
      </c>
      <c r="Z275">
        <v>70.44</v>
      </c>
      <c r="AA275">
        <v>2000</v>
      </c>
      <c r="AB275">
        <v>1150.68</v>
      </c>
      <c r="AC275">
        <v>266.5</v>
      </c>
      <c r="AD275">
        <v>110</v>
      </c>
      <c r="AE275">
        <v>173.94</v>
      </c>
      <c r="AF275">
        <v>3701.12</v>
      </c>
      <c r="AG275">
        <v>423.1</v>
      </c>
      <c r="AH275">
        <v>6.66</v>
      </c>
    </row>
    <row r="276" spans="1:34">
      <c r="A276" t="s">
        <v>766</v>
      </c>
      <c r="B276" t="s">
        <v>258</v>
      </c>
      <c r="C276" t="b">
        <v>0</v>
      </c>
      <c r="D276" t="b">
        <v>0</v>
      </c>
      <c r="E276" t="s">
        <v>1473</v>
      </c>
      <c r="F276" t="s">
        <v>82</v>
      </c>
      <c r="G276" t="s">
        <v>81</v>
      </c>
      <c r="H276">
        <v>30.8</v>
      </c>
      <c r="I276">
        <v>5</v>
      </c>
      <c r="J276">
        <v>244</v>
      </c>
      <c r="K276">
        <v>7477.09</v>
      </c>
      <c r="L276">
        <v>141.74</v>
      </c>
      <c r="M276">
        <v>22.61</v>
      </c>
      <c r="N276">
        <v>7312.74</v>
      </c>
      <c r="O276">
        <v>2056.7</v>
      </c>
      <c r="P276">
        <v>5256.04</v>
      </c>
      <c r="Q276">
        <v>50.72</v>
      </c>
      <c r="R276">
        <v>370.8</v>
      </c>
      <c r="S276">
        <v>447</v>
      </c>
      <c r="T276">
        <v>155</v>
      </c>
      <c r="U276">
        <v>8</v>
      </c>
      <c r="V276">
        <v>89</v>
      </c>
      <c r="W276">
        <v>43</v>
      </c>
      <c r="X276">
        <v>29.97</v>
      </c>
      <c r="Y276">
        <v>1.83</v>
      </c>
      <c r="Z276">
        <v>71.88</v>
      </c>
      <c r="AA276">
        <v>2000</v>
      </c>
      <c r="AB276">
        <v>1150.68</v>
      </c>
      <c r="AC276">
        <v>303.51</v>
      </c>
      <c r="AD276">
        <v>110</v>
      </c>
      <c r="AE276">
        <v>205.55</v>
      </c>
      <c r="AF276">
        <v>3769.74</v>
      </c>
      <c r="AG276">
        <v>1064.78</v>
      </c>
      <c r="AH276">
        <v>14.56</v>
      </c>
    </row>
    <row r="277" spans="1:34">
      <c r="A277" t="s">
        <v>767</v>
      </c>
      <c r="B277" t="s">
        <v>259</v>
      </c>
      <c r="C277" t="b">
        <v>0</v>
      </c>
      <c r="D277" t="b">
        <v>0</v>
      </c>
      <c r="E277" t="s">
        <v>1473</v>
      </c>
      <c r="F277" t="s">
        <v>82</v>
      </c>
      <c r="G277" t="s">
        <v>81</v>
      </c>
      <c r="H277">
        <v>32.3</v>
      </c>
      <c r="I277">
        <v>6</v>
      </c>
      <c r="J277">
        <v>245</v>
      </c>
      <c r="K277">
        <v>7669.29</v>
      </c>
      <c r="L277">
        <v>264.32</v>
      </c>
      <c r="M277">
        <v>0</v>
      </c>
      <c r="N277">
        <v>7404.97</v>
      </c>
      <c r="O277">
        <v>2169.2</v>
      </c>
      <c r="P277">
        <v>5235.77</v>
      </c>
      <c r="Q277">
        <v>53.36</v>
      </c>
      <c r="R277">
        <v>332.48</v>
      </c>
      <c r="S277">
        <v>461</v>
      </c>
      <c r="T277">
        <v>153</v>
      </c>
      <c r="U277">
        <v>4</v>
      </c>
      <c r="V277">
        <v>92</v>
      </c>
      <c r="W277">
        <v>39</v>
      </c>
      <c r="X277">
        <v>30.22</v>
      </c>
      <c r="Y277">
        <v>1.88</v>
      </c>
      <c r="Z277">
        <v>70.70999999999999</v>
      </c>
      <c r="AA277">
        <v>2000</v>
      </c>
      <c r="AB277">
        <v>1150.68</v>
      </c>
      <c r="AC277">
        <v>310.58</v>
      </c>
      <c r="AD277">
        <v>110</v>
      </c>
      <c r="AE277">
        <v>168.57</v>
      </c>
      <c r="AF277">
        <v>3739.83</v>
      </c>
      <c r="AG277">
        <v>1110.1</v>
      </c>
      <c r="AH277">
        <v>14.99</v>
      </c>
    </row>
    <row r="278" spans="1:34">
      <c r="A278" t="s">
        <v>768</v>
      </c>
      <c r="B278" t="s">
        <v>260</v>
      </c>
      <c r="C278" t="b">
        <v>0</v>
      </c>
      <c r="D278" t="b">
        <v>0</v>
      </c>
      <c r="E278" t="s">
        <v>1473</v>
      </c>
      <c r="F278" t="s">
        <v>82</v>
      </c>
      <c r="G278" t="s">
        <v>81</v>
      </c>
      <c r="H278">
        <v>30.8</v>
      </c>
      <c r="I278">
        <v>7</v>
      </c>
      <c r="J278">
        <v>261</v>
      </c>
      <c r="K278">
        <v>7838.83</v>
      </c>
      <c r="L278">
        <v>223.46</v>
      </c>
      <c r="M278">
        <v>56.52</v>
      </c>
      <c r="N278">
        <v>7558.85</v>
      </c>
      <c r="O278">
        <v>2257.85</v>
      </c>
      <c r="P278">
        <v>5301</v>
      </c>
      <c r="Q278">
        <v>48.76</v>
      </c>
      <c r="R278">
        <v>401.61</v>
      </c>
      <c r="S278">
        <v>461</v>
      </c>
      <c r="T278">
        <v>158</v>
      </c>
      <c r="U278">
        <v>11</v>
      </c>
      <c r="V278">
        <v>103</v>
      </c>
      <c r="W278">
        <v>44</v>
      </c>
      <c r="X278">
        <v>28.96</v>
      </c>
      <c r="Y278">
        <v>1.77</v>
      </c>
      <c r="Z278">
        <v>70.13</v>
      </c>
      <c r="AA278">
        <v>2000</v>
      </c>
      <c r="AB278">
        <v>1150.68</v>
      </c>
      <c r="AC278">
        <v>320.05</v>
      </c>
      <c r="AD278">
        <v>110</v>
      </c>
      <c r="AE278">
        <v>179.78</v>
      </c>
      <c r="AF278">
        <v>3760.51</v>
      </c>
      <c r="AG278">
        <v>1090.12</v>
      </c>
      <c r="AH278">
        <v>14.42</v>
      </c>
    </row>
    <row r="279" spans="1:34">
      <c r="A279" t="s">
        <v>769</v>
      </c>
      <c r="B279" t="s">
        <v>261</v>
      </c>
      <c r="C279" t="b">
        <v>0</v>
      </c>
      <c r="D279" t="b">
        <v>0</v>
      </c>
      <c r="E279" t="s">
        <v>1473</v>
      </c>
      <c r="F279" t="s">
        <v>82</v>
      </c>
      <c r="G279" t="s">
        <v>81</v>
      </c>
      <c r="H279">
        <v>29.1</v>
      </c>
      <c r="I279">
        <v>8</v>
      </c>
      <c r="J279">
        <v>288</v>
      </c>
      <c r="K279">
        <v>9064.07</v>
      </c>
      <c r="L279">
        <v>349.53</v>
      </c>
      <c r="M279">
        <v>0</v>
      </c>
      <c r="N279">
        <v>8714.540000000001</v>
      </c>
      <c r="O279">
        <v>2472.45</v>
      </c>
      <c r="P279">
        <v>6242.09</v>
      </c>
      <c r="Q279">
        <v>65.79000000000001</v>
      </c>
      <c r="R279">
        <v>314.55</v>
      </c>
      <c r="S279">
        <v>530</v>
      </c>
      <c r="T279">
        <v>179</v>
      </c>
      <c r="U279">
        <v>11</v>
      </c>
      <c r="V279">
        <v>109</v>
      </c>
      <c r="W279">
        <v>36</v>
      </c>
      <c r="X279">
        <v>30.26</v>
      </c>
      <c r="Y279">
        <v>1.84</v>
      </c>
      <c r="Z279">
        <v>71.63</v>
      </c>
      <c r="AA279">
        <v>2000</v>
      </c>
      <c r="AB279">
        <v>1150.68</v>
      </c>
      <c r="AC279">
        <v>289.57</v>
      </c>
      <c r="AD279">
        <v>110</v>
      </c>
      <c r="AE279">
        <v>150.07</v>
      </c>
      <c r="AF279">
        <v>3700.32</v>
      </c>
      <c r="AG279">
        <v>2161.43</v>
      </c>
      <c r="AH279">
        <v>24.8</v>
      </c>
    </row>
    <row r="280" spans="1:34">
      <c r="A280" t="s">
        <v>770</v>
      </c>
      <c r="B280" t="s">
        <v>262</v>
      </c>
      <c r="C280" t="b">
        <v>1</v>
      </c>
      <c r="D280" t="b">
        <v>0</v>
      </c>
      <c r="E280" t="s">
        <v>1473</v>
      </c>
      <c r="F280" t="s">
        <v>82</v>
      </c>
      <c r="G280" t="s">
        <v>81</v>
      </c>
      <c r="H280">
        <v>28.5</v>
      </c>
      <c r="I280">
        <v>9</v>
      </c>
      <c r="J280">
        <v>233</v>
      </c>
      <c r="K280">
        <v>9003.299999999999</v>
      </c>
      <c r="L280">
        <v>182.6</v>
      </c>
      <c r="M280">
        <v>17.39</v>
      </c>
      <c r="N280">
        <v>8803.309999999999</v>
      </c>
      <c r="O280">
        <v>2583.15</v>
      </c>
      <c r="P280">
        <v>6220.16</v>
      </c>
      <c r="Q280">
        <v>61.57</v>
      </c>
      <c r="R280">
        <v>407.49</v>
      </c>
      <c r="S280">
        <v>527</v>
      </c>
      <c r="T280">
        <v>144</v>
      </c>
      <c r="U280">
        <v>12</v>
      </c>
      <c r="V280">
        <v>89</v>
      </c>
      <c r="W280">
        <v>45</v>
      </c>
      <c r="X280">
        <v>37.78</v>
      </c>
      <c r="Y280">
        <v>2.26</v>
      </c>
      <c r="Z280">
        <v>70.66</v>
      </c>
      <c r="AA280">
        <v>2000</v>
      </c>
      <c r="AB280">
        <v>1150.68</v>
      </c>
      <c r="AC280">
        <v>287.67</v>
      </c>
      <c r="AD280">
        <v>110</v>
      </c>
      <c r="AE280">
        <v>197.97</v>
      </c>
      <c r="AF280">
        <v>3746.32</v>
      </c>
      <c r="AG280">
        <v>2004.78</v>
      </c>
      <c r="AH280">
        <v>22.77</v>
      </c>
    </row>
    <row r="281" spans="1:34">
      <c r="A281" t="s">
        <v>771</v>
      </c>
      <c r="B281" t="s">
        <v>263</v>
      </c>
      <c r="C281" t="b">
        <v>1</v>
      </c>
      <c r="D281" t="b">
        <v>0</v>
      </c>
      <c r="E281" t="s">
        <v>1473</v>
      </c>
      <c r="F281" t="s">
        <v>82</v>
      </c>
      <c r="G281" t="s">
        <v>81</v>
      </c>
      <c r="H281">
        <v>29.1</v>
      </c>
      <c r="I281">
        <v>10</v>
      </c>
      <c r="J281">
        <v>204</v>
      </c>
      <c r="K281">
        <v>7975.47</v>
      </c>
      <c r="L281">
        <v>164.34</v>
      </c>
      <c r="M281">
        <v>37.39</v>
      </c>
      <c r="N281">
        <v>7773.74</v>
      </c>
      <c r="O281">
        <v>2297.15</v>
      </c>
      <c r="P281">
        <v>5476.59</v>
      </c>
      <c r="Q281">
        <v>46.6</v>
      </c>
      <c r="R281">
        <v>449.41</v>
      </c>
      <c r="S281">
        <v>456</v>
      </c>
      <c r="T281">
        <v>137</v>
      </c>
      <c r="U281">
        <v>9</v>
      </c>
      <c r="V281">
        <v>67</v>
      </c>
      <c r="W281">
        <v>44</v>
      </c>
      <c r="X281">
        <v>38.11</v>
      </c>
      <c r="Y281">
        <v>2.24</v>
      </c>
      <c r="Z281">
        <v>70.45</v>
      </c>
      <c r="AA281">
        <v>2000</v>
      </c>
      <c r="AB281">
        <v>1150.68</v>
      </c>
      <c r="AC281">
        <v>292.53</v>
      </c>
      <c r="AD281">
        <v>110</v>
      </c>
      <c r="AE281">
        <v>193.5</v>
      </c>
      <c r="AF281">
        <v>3746.71</v>
      </c>
      <c r="AG281">
        <v>1233.87</v>
      </c>
      <c r="AH281">
        <v>15.87</v>
      </c>
    </row>
    <row r="282" spans="1:34">
      <c r="A282" t="s">
        <v>405</v>
      </c>
      <c r="B282" t="s">
        <v>75</v>
      </c>
      <c r="C282" t="b">
        <v>0</v>
      </c>
      <c r="D282" t="b">
        <v>0</v>
      </c>
      <c r="E282" t="s">
        <v>1473</v>
      </c>
      <c r="F282" t="s">
        <v>82</v>
      </c>
      <c r="G282" t="s">
        <v>81</v>
      </c>
      <c r="H282">
        <v>29.1</v>
      </c>
      <c r="I282">
        <v>11</v>
      </c>
      <c r="J282">
        <v>247</v>
      </c>
      <c r="K282">
        <v>6470.2</v>
      </c>
      <c r="L282">
        <v>226.07</v>
      </c>
      <c r="M282">
        <v>17.39</v>
      </c>
      <c r="N282">
        <v>6226.74</v>
      </c>
      <c r="O282">
        <v>1770.55</v>
      </c>
      <c r="P282">
        <v>4456.19</v>
      </c>
      <c r="Q282">
        <v>48.44</v>
      </c>
      <c r="R282">
        <v>217.72</v>
      </c>
      <c r="S282">
        <v>388</v>
      </c>
      <c r="T282">
        <v>148</v>
      </c>
      <c r="U282">
        <v>5</v>
      </c>
      <c r="V282">
        <v>99</v>
      </c>
      <c r="W282">
        <v>30</v>
      </c>
      <c r="X282">
        <v>25.21</v>
      </c>
      <c r="Y282">
        <v>1.57</v>
      </c>
      <c r="Z282">
        <v>71.56999999999999</v>
      </c>
      <c r="AA282">
        <v>2000</v>
      </c>
      <c r="AB282">
        <v>1150.68</v>
      </c>
      <c r="AC282">
        <v>274.29</v>
      </c>
      <c r="AD282">
        <v>110</v>
      </c>
      <c r="AE282">
        <v>226.79</v>
      </c>
      <c r="AF282">
        <v>3761.76</v>
      </c>
      <c r="AG282">
        <v>428.27</v>
      </c>
      <c r="AH282">
        <v>6.88</v>
      </c>
    </row>
    <row r="283" spans="1:34">
      <c r="A283" t="s">
        <v>772</v>
      </c>
      <c r="B283" t="s">
        <v>258</v>
      </c>
      <c r="C283" t="b">
        <v>0</v>
      </c>
      <c r="D283" t="b">
        <v>0</v>
      </c>
      <c r="E283" t="s">
        <v>1473</v>
      </c>
      <c r="F283" t="s">
        <v>82</v>
      </c>
      <c r="G283" t="s">
        <v>81</v>
      </c>
      <c r="H283">
        <v>27.4</v>
      </c>
      <c r="I283">
        <v>12</v>
      </c>
      <c r="J283">
        <v>261</v>
      </c>
      <c r="K283">
        <v>7322.36</v>
      </c>
      <c r="L283">
        <v>142.6</v>
      </c>
      <c r="M283">
        <v>0</v>
      </c>
      <c r="N283">
        <v>7179.76</v>
      </c>
      <c r="O283">
        <v>2033.25</v>
      </c>
      <c r="P283">
        <v>5146.51</v>
      </c>
      <c r="Q283">
        <v>54.06</v>
      </c>
      <c r="R283">
        <v>392.62</v>
      </c>
      <c r="S283">
        <v>439</v>
      </c>
      <c r="T283">
        <v>164</v>
      </c>
      <c r="U283">
        <v>13</v>
      </c>
      <c r="V283">
        <v>97</v>
      </c>
      <c r="W283">
        <v>46</v>
      </c>
      <c r="X283">
        <v>27.51</v>
      </c>
      <c r="Y283">
        <v>1.68</v>
      </c>
      <c r="Z283">
        <v>71.68000000000001</v>
      </c>
      <c r="AA283">
        <v>2000</v>
      </c>
      <c r="AB283">
        <v>1150.68</v>
      </c>
      <c r="AC283">
        <v>274.22</v>
      </c>
      <c r="AD283">
        <v>110</v>
      </c>
      <c r="AE283">
        <v>191.42</v>
      </c>
      <c r="AF283">
        <v>3726.32</v>
      </c>
      <c r="AG283">
        <v>973.51</v>
      </c>
      <c r="AH283">
        <v>13.56</v>
      </c>
    </row>
    <row r="284" spans="1:34">
      <c r="A284" t="s">
        <v>773</v>
      </c>
      <c r="B284" t="s">
        <v>259</v>
      </c>
      <c r="C284" t="b">
        <v>0</v>
      </c>
      <c r="D284" t="b">
        <v>0</v>
      </c>
      <c r="E284" t="s">
        <v>1473</v>
      </c>
      <c r="F284" t="s">
        <v>82</v>
      </c>
      <c r="G284" t="s">
        <v>81</v>
      </c>
      <c r="H284">
        <v>25.9</v>
      </c>
      <c r="I284">
        <v>13</v>
      </c>
      <c r="J284">
        <v>261</v>
      </c>
      <c r="K284">
        <v>7658.88</v>
      </c>
      <c r="L284">
        <v>227.81</v>
      </c>
      <c r="M284">
        <v>33.04</v>
      </c>
      <c r="N284">
        <v>7398.03</v>
      </c>
      <c r="O284">
        <v>2151.95</v>
      </c>
      <c r="P284">
        <v>5246.08</v>
      </c>
      <c r="Q284">
        <v>55.44</v>
      </c>
      <c r="R284">
        <v>294.06</v>
      </c>
      <c r="S284">
        <v>462</v>
      </c>
      <c r="T284">
        <v>163</v>
      </c>
      <c r="U284">
        <v>3</v>
      </c>
      <c r="V284">
        <v>98</v>
      </c>
      <c r="W284">
        <v>38</v>
      </c>
      <c r="X284">
        <v>28.34</v>
      </c>
      <c r="Y284">
        <v>1.77</v>
      </c>
      <c r="Z284">
        <v>70.91</v>
      </c>
      <c r="AA284">
        <v>2000</v>
      </c>
      <c r="AB284">
        <v>1150.68</v>
      </c>
      <c r="AC284">
        <v>242.86</v>
      </c>
      <c r="AD284">
        <v>110</v>
      </c>
      <c r="AE284">
        <v>170.07</v>
      </c>
      <c r="AF284">
        <v>3673.61</v>
      </c>
      <c r="AG284">
        <v>1222.97</v>
      </c>
      <c r="AH284">
        <v>16.53</v>
      </c>
    </row>
    <row r="285" spans="1:34">
      <c r="A285" t="s">
        <v>774</v>
      </c>
      <c r="B285" t="s">
        <v>260</v>
      </c>
      <c r="C285" t="b">
        <v>0</v>
      </c>
      <c r="D285" t="b">
        <v>0</v>
      </c>
      <c r="E285" t="s">
        <v>1473</v>
      </c>
      <c r="F285" t="s">
        <v>82</v>
      </c>
      <c r="G285" t="s">
        <v>81</v>
      </c>
      <c r="H285">
        <v>25.7</v>
      </c>
      <c r="I285">
        <v>14</v>
      </c>
      <c r="J285">
        <v>243</v>
      </c>
      <c r="K285">
        <v>7161.47</v>
      </c>
      <c r="L285">
        <v>159.12</v>
      </c>
      <c r="M285">
        <v>0</v>
      </c>
      <c r="N285">
        <v>7002.35</v>
      </c>
      <c r="O285">
        <v>1984.55</v>
      </c>
      <c r="P285">
        <v>5017.8</v>
      </c>
      <c r="Q285">
        <v>61.12</v>
      </c>
      <c r="R285">
        <v>249.69</v>
      </c>
      <c r="S285">
        <v>424</v>
      </c>
      <c r="T285">
        <v>156</v>
      </c>
      <c r="U285">
        <v>8</v>
      </c>
      <c r="V285">
        <v>87</v>
      </c>
      <c r="W285">
        <v>31</v>
      </c>
      <c r="X285">
        <v>28.82</v>
      </c>
      <c r="Y285">
        <v>1.74</v>
      </c>
      <c r="Z285">
        <v>71.66</v>
      </c>
      <c r="AA285">
        <v>2000</v>
      </c>
      <c r="AB285">
        <v>1150.68</v>
      </c>
      <c r="AC285">
        <v>276.46</v>
      </c>
      <c r="AD285">
        <v>110</v>
      </c>
      <c r="AE285">
        <v>203.54</v>
      </c>
      <c r="AF285">
        <v>3740.68</v>
      </c>
      <c r="AG285">
        <v>966.3099999999999</v>
      </c>
      <c r="AH285">
        <v>13.8</v>
      </c>
    </row>
    <row r="286" spans="1:34">
      <c r="A286" t="s">
        <v>775</v>
      </c>
      <c r="B286" t="s">
        <v>261</v>
      </c>
      <c r="C286" t="b">
        <v>0</v>
      </c>
      <c r="D286" t="b">
        <v>0</v>
      </c>
      <c r="E286" t="s">
        <v>1473</v>
      </c>
      <c r="F286" t="s">
        <v>82</v>
      </c>
      <c r="G286" t="s">
        <v>81</v>
      </c>
      <c r="H286">
        <v>26.9</v>
      </c>
      <c r="I286">
        <v>15</v>
      </c>
      <c r="J286">
        <v>322</v>
      </c>
      <c r="K286">
        <v>10627.49</v>
      </c>
      <c r="L286">
        <v>226.08</v>
      </c>
      <c r="M286">
        <v>0</v>
      </c>
      <c r="N286">
        <v>10401.41</v>
      </c>
      <c r="O286">
        <v>2927.95</v>
      </c>
      <c r="P286">
        <v>7473.46</v>
      </c>
      <c r="Q286">
        <v>81.98</v>
      </c>
      <c r="R286">
        <v>471.95</v>
      </c>
      <c r="S286">
        <v>627</v>
      </c>
      <c r="T286">
        <v>205</v>
      </c>
      <c r="U286">
        <v>14</v>
      </c>
      <c r="V286">
        <v>117</v>
      </c>
      <c r="W286">
        <v>58</v>
      </c>
      <c r="X286">
        <v>32.3</v>
      </c>
      <c r="Y286">
        <v>1.95</v>
      </c>
      <c r="Z286">
        <v>71.84999999999999</v>
      </c>
      <c r="AA286">
        <v>2000</v>
      </c>
      <c r="AB286">
        <v>1150.68</v>
      </c>
      <c r="AC286">
        <v>243.21</v>
      </c>
      <c r="AD286">
        <v>110</v>
      </c>
      <c r="AE286">
        <v>178.96</v>
      </c>
      <c r="AF286">
        <v>3682.85</v>
      </c>
      <c r="AG286">
        <v>3236.68</v>
      </c>
      <c r="AH286">
        <v>31.12</v>
      </c>
    </row>
    <row r="287" spans="1:34">
      <c r="A287" t="s">
        <v>776</v>
      </c>
      <c r="B287" t="s">
        <v>262</v>
      </c>
      <c r="C287" t="b">
        <v>1</v>
      </c>
      <c r="D287" t="b">
        <v>0</v>
      </c>
      <c r="E287" t="s">
        <v>1473</v>
      </c>
      <c r="F287" t="s">
        <v>82</v>
      </c>
      <c r="G287" t="s">
        <v>81</v>
      </c>
      <c r="H287">
        <v>25.7</v>
      </c>
      <c r="I287">
        <v>16</v>
      </c>
      <c r="J287">
        <v>215</v>
      </c>
      <c r="K287">
        <v>8472</v>
      </c>
      <c r="L287">
        <v>193.03</v>
      </c>
      <c r="M287">
        <v>29.56</v>
      </c>
      <c r="N287">
        <v>8249.41</v>
      </c>
      <c r="O287">
        <v>2399.1</v>
      </c>
      <c r="P287">
        <v>5850.31</v>
      </c>
      <c r="Q287">
        <v>59.86</v>
      </c>
      <c r="R287">
        <v>342.67</v>
      </c>
      <c r="S287">
        <v>505</v>
      </c>
      <c r="T287">
        <v>133</v>
      </c>
      <c r="U287">
        <v>8</v>
      </c>
      <c r="V287">
        <v>82</v>
      </c>
      <c r="W287">
        <v>41</v>
      </c>
      <c r="X287">
        <v>38.37</v>
      </c>
      <c r="Y287">
        <v>2.35</v>
      </c>
      <c r="Z287">
        <v>70.92</v>
      </c>
      <c r="AA287">
        <v>2000</v>
      </c>
      <c r="AB287">
        <v>1150.68</v>
      </c>
      <c r="AC287">
        <v>239.05</v>
      </c>
      <c r="AD287">
        <v>110</v>
      </c>
      <c r="AE287">
        <v>185.99</v>
      </c>
      <c r="AF287">
        <v>3685.72</v>
      </c>
      <c r="AG287">
        <v>1762.06</v>
      </c>
      <c r="AH287">
        <v>21.36</v>
      </c>
    </row>
    <row r="288" spans="1:34">
      <c r="A288" t="s">
        <v>777</v>
      </c>
      <c r="B288" t="s">
        <v>263</v>
      </c>
      <c r="C288" t="b">
        <v>1</v>
      </c>
      <c r="D288" t="b">
        <v>0</v>
      </c>
      <c r="E288" t="s">
        <v>1473</v>
      </c>
      <c r="F288" t="s">
        <v>82</v>
      </c>
      <c r="G288" t="s">
        <v>81</v>
      </c>
      <c r="H288">
        <v>27.5</v>
      </c>
      <c r="I288">
        <v>17</v>
      </c>
      <c r="J288">
        <v>231</v>
      </c>
      <c r="K288">
        <v>8816.290000000001</v>
      </c>
      <c r="L288">
        <v>186.07</v>
      </c>
      <c r="M288">
        <v>70.44</v>
      </c>
      <c r="N288">
        <v>8559.780000000001</v>
      </c>
      <c r="O288">
        <v>2470.25</v>
      </c>
      <c r="P288">
        <v>6089.53</v>
      </c>
      <c r="Q288">
        <v>63.08</v>
      </c>
      <c r="R288">
        <v>341.12</v>
      </c>
      <c r="S288">
        <v>514</v>
      </c>
      <c r="T288">
        <v>147</v>
      </c>
      <c r="U288">
        <v>8</v>
      </c>
      <c r="V288">
        <v>84</v>
      </c>
      <c r="W288">
        <v>36</v>
      </c>
      <c r="X288">
        <v>37.06</v>
      </c>
      <c r="Y288">
        <v>2.23</v>
      </c>
      <c r="Z288">
        <v>71.14</v>
      </c>
      <c r="AA288">
        <v>2000</v>
      </c>
      <c r="AB288">
        <v>1150.68</v>
      </c>
      <c r="AC288">
        <v>246.98</v>
      </c>
      <c r="AD288">
        <v>110</v>
      </c>
      <c r="AE288">
        <v>198.09</v>
      </c>
      <c r="AF288">
        <v>3705.75</v>
      </c>
      <c r="AG288">
        <v>1979.58</v>
      </c>
      <c r="AH288">
        <v>23.13</v>
      </c>
    </row>
    <row r="289" spans="1:34">
      <c r="A289" t="s">
        <v>406</v>
      </c>
      <c r="B289" t="s">
        <v>75</v>
      </c>
      <c r="C289" t="b">
        <v>0</v>
      </c>
      <c r="D289" t="b">
        <v>0</v>
      </c>
      <c r="E289" t="s">
        <v>1473</v>
      </c>
      <c r="F289" t="s">
        <v>82</v>
      </c>
      <c r="G289" t="s">
        <v>81</v>
      </c>
      <c r="H289">
        <v>27.7</v>
      </c>
      <c r="I289">
        <v>18</v>
      </c>
      <c r="J289">
        <v>186</v>
      </c>
      <c r="K289">
        <v>5150.31</v>
      </c>
      <c r="L289">
        <v>88.7</v>
      </c>
      <c r="M289">
        <v>0</v>
      </c>
      <c r="N289">
        <v>5061.61</v>
      </c>
      <c r="O289">
        <v>1435.15</v>
      </c>
      <c r="P289">
        <v>3626.46</v>
      </c>
      <c r="Q289">
        <v>42.55</v>
      </c>
      <c r="R289">
        <v>127.79</v>
      </c>
      <c r="S289">
        <v>300</v>
      </c>
      <c r="T289">
        <v>117</v>
      </c>
      <c r="U289">
        <v>3</v>
      </c>
      <c r="V289">
        <v>69</v>
      </c>
      <c r="W289">
        <v>20</v>
      </c>
      <c r="X289">
        <v>27.21</v>
      </c>
      <c r="Y289">
        <v>1.61</v>
      </c>
      <c r="Z289">
        <v>71.65000000000001</v>
      </c>
      <c r="AA289">
        <v>2000</v>
      </c>
      <c r="AB289">
        <v>1150.68</v>
      </c>
      <c r="AC289">
        <v>278.22</v>
      </c>
      <c r="AD289">
        <v>110</v>
      </c>
      <c r="AE289">
        <v>232.75</v>
      </c>
      <c r="AF289">
        <v>3771.65</v>
      </c>
      <c r="AG289">
        <v>-315.53</v>
      </c>
      <c r="AH289">
        <v>-6.23</v>
      </c>
    </row>
    <row r="290" spans="1:34">
      <c r="A290" t="s">
        <v>778</v>
      </c>
      <c r="B290" t="s">
        <v>258</v>
      </c>
      <c r="C290" t="b">
        <v>0</v>
      </c>
      <c r="D290" t="b">
        <v>0</v>
      </c>
      <c r="E290" t="s">
        <v>1473</v>
      </c>
      <c r="F290" t="s">
        <v>82</v>
      </c>
      <c r="G290" t="s">
        <v>81</v>
      </c>
      <c r="H290">
        <v>27</v>
      </c>
      <c r="I290">
        <v>19</v>
      </c>
      <c r="J290">
        <v>251</v>
      </c>
      <c r="K290">
        <v>7404.08</v>
      </c>
      <c r="L290">
        <v>204.33</v>
      </c>
      <c r="M290">
        <v>19.13</v>
      </c>
      <c r="N290">
        <v>7180.62</v>
      </c>
      <c r="O290">
        <v>2033.3</v>
      </c>
      <c r="P290">
        <v>5147.32</v>
      </c>
      <c r="Q290">
        <v>60.97</v>
      </c>
      <c r="R290">
        <v>220.18</v>
      </c>
      <c r="S290">
        <v>439</v>
      </c>
      <c r="T290">
        <v>147</v>
      </c>
      <c r="U290">
        <v>16</v>
      </c>
      <c r="V290">
        <v>104</v>
      </c>
      <c r="W290">
        <v>26</v>
      </c>
      <c r="X290">
        <v>28.61</v>
      </c>
      <c r="Y290">
        <v>1.75</v>
      </c>
      <c r="Z290">
        <v>71.68000000000001</v>
      </c>
      <c r="AA290">
        <v>2000</v>
      </c>
      <c r="AB290">
        <v>1150.68</v>
      </c>
      <c r="AC290">
        <v>275.05</v>
      </c>
      <c r="AD290">
        <v>110</v>
      </c>
      <c r="AE290">
        <v>243.58</v>
      </c>
      <c r="AF290">
        <v>3779.31</v>
      </c>
      <c r="AG290">
        <v>1086.86</v>
      </c>
      <c r="AH290">
        <v>15.14</v>
      </c>
    </row>
    <row r="291" spans="1:34">
      <c r="A291" t="s">
        <v>779</v>
      </c>
      <c r="B291" t="s">
        <v>259</v>
      </c>
      <c r="C291" t="b">
        <v>0</v>
      </c>
      <c r="D291" t="b">
        <v>0</v>
      </c>
      <c r="E291" t="s">
        <v>1473</v>
      </c>
      <c r="F291" t="s">
        <v>82</v>
      </c>
      <c r="G291" t="s">
        <v>81</v>
      </c>
      <c r="H291">
        <v>25.3</v>
      </c>
      <c r="I291">
        <v>20</v>
      </c>
      <c r="J291">
        <v>296</v>
      </c>
      <c r="K291">
        <v>10237.74</v>
      </c>
      <c r="L291">
        <v>427.9</v>
      </c>
      <c r="M291">
        <v>14.78</v>
      </c>
      <c r="N291">
        <v>9795.059999999999</v>
      </c>
      <c r="O291">
        <v>2895.6</v>
      </c>
      <c r="P291">
        <v>6899.46</v>
      </c>
      <c r="Q291">
        <v>70.93000000000001</v>
      </c>
      <c r="R291">
        <v>296.35</v>
      </c>
      <c r="S291">
        <v>599</v>
      </c>
      <c r="T291">
        <v>199</v>
      </c>
      <c r="U291">
        <v>6</v>
      </c>
      <c r="V291">
        <v>97</v>
      </c>
      <c r="W291">
        <v>34</v>
      </c>
      <c r="X291">
        <v>33.09</v>
      </c>
      <c r="Y291">
        <v>2.02</v>
      </c>
      <c r="Z291">
        <v>70.44</v>
      </c>
      <c r="AA291">
        <v>2000</v>
      </c>
      <c r="AB291">
        <v>1150.68</v>
      </c>
      <c r="AC291">
        <v>253.97</v>
      </c>
      <c r="AD291">
        <v>110</v>
      </c>
      <c r="AE291">
        <v>207.36</v>
      </c>
      <c r="AF291">
        <v>3722.01</v>
      </c>
      <c r="AG291">
        <v>2810.17</v>
      </c>
      <c r="AH291">
        <v>28.69</v>
      </c>
    </row>
    <row r="292" spans="1:34">
      <c r="A292" t="s">
        <v>780</v>
      </c>
      <c r="B292" t="s">
        <v>260</v>
      </c>
      <c r="C292" t="b">
        <v>0</v>
      </c>
      <c r="D292" t="b">
        <v>0</v>
      </c>
      <c r="E292" t="s">
        <v>1473</v>
      </c>
      <c r="F292" t="s">
        <v>82</v>
      </c>
      <c r="G292" t="s">
        <v>81</v>
      </c>
      <c r="H292">
        <v>27.5</v>
      </c>
      <c r="I292">
        <v>21</v>
      </c>
      <c r="J292">
        <v>246</v>
      </c>
      <c r="K292">
        <v>7125.83</v>
      </c>
      <c r="L292">
        <v>227.81</v>
      </c>
      <c r="M292">
        <v>0</v>
      </c>
      <c r="N292">
        <v>6898.02</v>
      </c>
      <c r="O292">
        <v>1869.8</v>
      </c>
      <c r="P292">
        <v>5028.22</v>
      </c>
      <c r="Q292">
        <v>55.44</v>
      </c>
      <c r="R292">
        <v>227.84</v>
      </c>
      <c r="S292">
        <v>437</v>
      </c>
      <c r="T292">
        <v>163</v>
      </c>
      <c r="U292">
        <v>10</v>
      </c>
      <c r="V292">
        <v>83</v>
      </c>
      <c r="W292">
        <v>30</v>
      </c>
      <c r="X292">
        <v>28.04</v>
      </c>
      <c r="Y292">
        <v>1.78</v>
      </c>
      <c r="Z292">
        <v>72.89</v>
      </c>
      <c r="AA292">
        <v>2000</v>
      </c>
      <c r="AB292">
        <v>1150.68</v>
      </c>
      <c r="AC292">
        <v>270.47</v>
      </c>
      <c r="AD292">
        <v>110</v>
      </c>
      <c r="AE292">
        <v>198.96</v>
      </c>
      <c r="AF292">
        <v>3730.11</v>
      </c>
      <c r="AG292">
        <v>1014.83</v>
      </c>
      <c r="AH292">
        <v>14.71</v>
      </c>
    </row>
    <row r="293" spans="1:34">
      <c r="A293" t="s">
        <v>781</v>
      </c>
      <c r="B293" t="s">
        <v>261</v>
      </c>
      <c r="C293" t="b">
        <v>0</v>
      </c>
      <c r="D293" t="b">
        <v>0</v>
      </c>
      <c r="E293" t="s">
        <v>1473</v>
      </c>
      <c r="F293" t="s">
        <v>82</v>
      </c>
      <c r="G293" t="s">
        <v>81</v>
      </c>
      <c r="H293">
        <v>27.9</v>
      </c>
      <c r="I293">
        <v>22</v>
      </c>
      <c r="J293">
        <v>296</v>
      </c>
      <c r="K293">
        <v>9632.76</v>
      </c>
      <c r="L293">
        <v>316.5</v>
      </c>
      <c r="M293">
        <v>68.69</v>
      </c>
      <c r="N293">
        <v>9247.57</v>
      </c>
      <c r="O293">
        <v>2674.6</v>
      </c>
      <c r="P293">
        <v>6572.97</v>
      </c>
      <c r="Q293">
        <v>67.22</v>
      </c>
      <c r="R293">
        <v>396.39</v>
      </c>
      <c r="S293">
        <v>571</v>
      </c>
      <c r="T293">
        <v>191</v>
      </c>
      <c r="U293">
        <v>12</v>
      </c>
      <c r="V293">
        <v>105</v>
      </c>
      <c r="W293">
        <v>46</v>
      </c>
      <c r="X293">
        <v>31.24</v>
      </c>
      <c r="Y293">
        <v>1.93</v>
      </c>
      <c r="Z293">
        <v>71.08</v>
      </c>
      <c r="AA293">
        <v>2000</v>
      </c>
      <c r="AB293">
        <v>1150.68</v>
      </c>
      <c r="AC293">
        <v>263.57</v>
      </c>
      <c r="AD293">
        <v>110</v>
      </c>
      <c r="AE293">
        <v>190.02</v>
      </c>
      <c r="AF293">
        <v>3714.27</v>
      </c>
      <c r="AG293">
        <v>2395.09</v>
      </c>
      <c r="AH293">
        <v>25.9</v>
      </c>
    </row>
    <row r="294" spans="1:34">
      <c r="A294" t="s">
        <v>782</v>
      </c>
      <c r="B294" t="s">
        <v>262</v>
      </c>
      <c r="C294" t="b">
        <v>1</v>
      </c>
      <c r="D294" t="b">
        <v>0</v>
      </c>
      <c r="E294" t="s">
        <v>1473</v>
      </c>
      <c r="F294" t="s">
        <v>82</v>
      </c>
      <c r="G294" t="s">
        <v>81</v>
      </c>
      <c r="H294">
        <v>25</v>
      </c>
      <c r="I294">
        <v>23</v>
      </c>
      <c r="J294">
        <v>252</v>
      </c>
      <c r="K294">
        <v>9458.83</v>
      </c>
      <c r="L294">
        <v>238.24</v>
      </c>
      <c r="M294">
        <v>122.61</v>
      </c>
      <c r="N294">
        <v>9097.98</v>
      </c>
      <c r="O294">
        <v>2629.25</v>
      </c>
      <c r="P294">
        <v>6468.73</v>
      </c>
      <c r="Q294">
        <v>69.70999999999999</v>
      </c>
      <c r="R294">
        <v>457.93</v>
      </c>
      <c r="S294">
        <v>563</v>
      </c>
      <c r="T294">
        <v>159</v>
      </c>
      <c r="U294">
        <v>13</v>
      </c>
      <c r="V294">
        <v>93</v>
      </c>
      <c r="W294">
        <v>52</v>
      </c>
      <c r="X294">
        <v>36.1</v>
      </c>
      <c r="Y294">
        <v>2.23</v>
      </c>
      <c r="Z294">
        <v>71.09999999999999</v>
      </c>
      <c r="AA294">
        <v>2000</v>
      </c>
      <c r="AB294">
        <v>1150.68</v>
      </c>
      <c r="AC294">
        <v>274.8</v>
      </c>
      <c r="AD294">
        <v>110</v>
      </c>
      <c r="AE294">
        <v>191.55</v>
      </c>
      <c r="AF294">
        <v>3727.03</v>
      </c>
      <c r="AG294">
        <v>2214.06</v>
      </c>
      <c r="AH294">
        <v>24.34</v>
      </c>
    </row>
    <row r="295" spans="1:34">
      <c r="A295" t="s">
        <v>783</v>
      </c>
      <c r="B295" t="s">
        <v>263</v>
      </c>
      <c r="C295" t="b">
        <v>1</v>
      </c>
      <c r="D295" t="b">
        <v>0</v>
      </c>
      <c r="E295" t="s">
        <v>1473</v>
      </c>
      <c r="F295" t="s">
        <v>82</v>
      </c>
      <c r="G295" t="s">
        <v>81</v>
      </c>
      <c r="H295">
        <v>25.9</v>
      </c>
      <c r="I295">
        <v>24</v>
      </c>
      <c r="J295">
        <v>214</v>
      </c>
      <c r="K295">
        <v>7720.65</v>
      </c>
      <c r="L295">
        <v>115.64</v>
      </c>
      <c r="M295">
        <v>8.699999999999999</v>
      </c>
      <c r="N295">
        <v>7596.31</v>
      </c>
      <c r="O295">
        <v>2154.65</v>
      </c>
      <c r="P295">
        <v>5441.66</v>
      </c>
      <c r="Q295">
        <v>60.64</v>
      </c>
      <c r="R295">
        <v>345.12</v>
      </c>
      <c r="S295">
        <v>454</v>
      </c>
      <c r="T295">
        <v>136</v>
      </c>
      <c r="U295">
        <v>8</v>
      </c>
      <c r="V295">
        <v>78</v>
      </c>
      <c r="W295">
        <v>33</v>
      </c>
      <c r="X295">
        <v>35.5</v>
      </c>
      <c r="Y295">
        <v>2.12</v>
      </c>
      <c r="Z295">
        <v>71.64</v>
      </c>
      <c r="AA295">
        <v>2000</v>
      </c>
      <c r="AB295">
        <v>1150.68</v>
      </c>
      <c r="AC295">
        <v>244.83</v>
      </c>
      <c r="AD295">
        <v>110</v>
      </c>
      <c r="AE295">
        <v>194.57</v>
      </c>
      <c r="AF295">
        <v>3700.08</v>
      </c>
      <c r="AG295">
        <v>1335.82</v>
      </c>
      <c r="AH295">
        <v>17.59</v>
      </c>
    </row>
    <row r="296" spans="1:34">
      <c r="A296" t="s">
        <v>407</v>
      </c>
      <c r="B296" t="s">
        <v>75</v>
      </c>
      <c r="C296" t="b">
        <v>0</v>
      </c>
      <c r="D296" t="b">
        <v>0</v>
      </c>
      <c r="E296" t="s">
        <v>1473</v>
      </c>
      <c r="F296" t="s">
        <v>82</v>
      </c>
      <c r="G296" t="s">
        <v>81</v>
      </c>
      <c r="H296">
        <v>25.2</v>
      </c>
      <c r="I296">
        <v>25</v>
      </c>
      <c r="J296">
        <v>205</v>
      </c>
      <c r="K296">
        <v>7485.81</v>
      </c>
      <c r="L296">
        <v>222.42</v>
      </c>
      <c r="M296">
        <v>18.26</v>
      </c>
      <c r="N296">
        <v>7245.13</v>
      </c>
      <c r="O296">
        <v>2122.75</v>
      </c>
      <c r="P296">
        <v>5122.38</v>
      </c>
      <c r="Q296">
        <v>43.58</v>
      </c>
      <c r="R296">
        <v>243.16</v>
      </c>
      <c r="S296">
        <v>440</v>
      </c>
      <c r="T296">
        <v>129</v>
      </c>
      <c r="U296">
        <v>8</v>
      </c>
      <c r="V296">
        <v>76</v>
      </c>
      <c r="W296">
        <v>28</v>
      </c>
      <c r="X296">
        <v>35.34</v>
      </c>
      <c r="Y296">
        <v>2.15</v>
      </c>
      <c r="Z296">
        <v>70.7</v>
      </c>
      <c r="AA296">
        <v>2000</v>
      </c>
      <c r="AB296">
        <v>1150.68</v>
      </c>
      <c r="AC296">
        <v>249.33</v>
      </c>
      <c r="AD296">
        <v>110</v>
      </c>
      <c r="AE296">
        <v>217.89</v>
      </c>
      <c r="AF296">
        <v>3727.9</v>
      </c>
      <c r="AG296">
        <v>1107.74</v>
      </c>
      <c r="AH296">
        <v>15.29</v>
      </c>
    </row>
    <row r="297" spans="1:34">
      <c r="A297" t="s">
        <v>784</v>
      </c>
      <c r="B297" t="s">
        <v>258</v>
      </c>
      <c r="C297" t="b">
        <v>0</v>
      </c>
      <c r="D297" t="b">
        <v>0</v>
      </c>
      <c r="E297" t="s">
        <v>1473</v>
      </c>
      <c r="F297" t="s">
        <v>82</v>
      </c>
      <c r="G297" t="s">
        <v>81</v>
      </c>
      <c r="H297">
        <v>23.9</v>
      </c>
      <c r="I297">
        <v>26</v>
      </c>
      <c r="J297">
        <v>217</v>
      </c>
      <c r="K297">
        <v>5506.74</v>
      </c>
      <c r="L297">
        <v>266.93</v>
      </c>
      <c r="M297">
        <v>0</v>
      </c>
      <c r="N297">
        <v>5239.81</v>
      </c>
      <c r="O297">
        <v>1477.15</v>
      </c>
      <c r="P297">
        <v>3762.66</v>
      </c>
      <c r="Q297">
        <v>45.49</v>
      </c>
      <c r="R297">
        <v>134.09</v>
      </c>
      <c r="S297">
        <v>335</v>
      </c>
      <c r="T297">
        <v>128</v>
      </c>
      <c r="U297">
        <v>7</v>
      </c>
      <c r="V297">
        <v>89</v>
      </c>
      <c r="W297">
        <v>24</v>
      </c>
      <c r="X297">
        <v>24.15</v>
      </c>
      <c r="Y297">
        <v>1.54</v>
      </c>
      <c r="Z297">
        <v>71.81</v>
      </c>
      <c r="AA297">
        <v>2000</v>
      </c>
      <c r="AB297">
        <v>1150.68</v>
      </c>
      <c r="AC297">
        <v>217.86</v>
      </c>
      <c r="AD297">
        <v>110</v>
      </c>
      <c r="AE297">
        <v>151.03</v>
      </c>
      <c r="AF297">
        <v>3629.57</v>
      </c>
      <c r="AG297">
        <v>-46.49</v>
      </c>
      <c r="AH297">
        <v>-0.89</v>
      </c>
    </row>
    <row r="298" spans="1:34">
      <c r="A298" t="s">
        <v>785</v>
      </c>
      <c r="B298" t="s">
        <v>259</v>
      </c>
      <c r="C298" t="b">
        <v>0</v>
      </c>
      <c r="D298" t="b">
        <v>0</v>
      </c>
      <c r="E298" t="s">
        <v>1473</v>
      </c>
      <c r="F298" t="s">
        <v>82</v>
      </c>
      <c r="G298" t="s">
        <v>81</v>
      </c>
      <c r="H298">
        <v>24</v>
      </c>
      <c r="I298">
        <v>27</v>
      </c>
      <c r="J298">
        <v>234</v>
      </c>
      <c r="K298">
        <v>7568.45</v>
      </c>
      <c r="L298">
        <v>342.85</v>
      </c>
      <c r="M298">
        <v>18.26</v>
      </c>
      <c r="N298">
        <v>7207.34</v>
      </c>
      <c r="O298">
        <v>2196.5</v>
      </c>
      <c r="P298">
        <v>5010.84</v>
      </c>
      <c r="Q298">
        <v>51.08</v>
      </c>
      <c r="R298">
        <v>211.4</v>
      </c>
      <c r="S298">
        <v>450</v>
      </c>
      <c r="T298">
        <v>147</v>
      </c>
      <c r="U298">
        <v>8</v>
      </c>
      <c r="V298">
        <v>87</v>
      </c>
      <c r="W298">
        <v>29</v>
      </c>
      <c r="X298">
        <v>30.8</v>
      </c>
      <c r="Y298">
        <v>1.92</v>
      </c>
      <c r="Z298">
        <v>69.52</v>
      </c>
      <c r="AA298">
        <v>2000</v>
      </c>
      <c r="AB298">
        <v>1150.68</v>
      </c>
      <c r="AC298">
        <v>239.62</v>
      </c>
      <c r="AD298">
        <v>110</v>
      </c>
      <c r="AE298">
        <v>219.52</v>
      </c>
      <c r="AF298">
        <v>3719.82</v>
      </c>
      <c r="AG298">
        <v>1028.54</v>
      </c>
      <c r="AH298">
        <v>14.27</v>
      </c>
    </row>
    <row r="299" spans="1:34">
      <c r="A299" t="s">
        <v>786</v>
      </c>
      <c r="B299" t="s">
        <v>260</v>
      </c>
      <c r="C299" t="b">
        <v>0</v>
      </c>
      <c r="D299" t="b">
        <v>0</v>
      </c>
      <c r="E299" t="s">
        <v>1473</v>
      </c>
      <c r="F299" t="s">
        <v>82</v>
      </c>
      <c r="G299" t="s">
        <v>81</v>
      </c>
      <c r="H299">
        <v>24</v>
      </c>
      <c r="I299">
        <v>28</v>
      </c>
      <c r="J299">
        <v>266</v>
      </c>
      <c r="K299">
        <v>7367.55</v>
      </c>
      <c r="L299">
        <v>171.29</v>
      </c>
      <c r="M299">
        <v>0</v>
      </c>
      <c r="N299">
        <v>7196.26</v>
      </c>
      <c r="O299">
        <v>2030.45</v>
      </c>
      <c r="P299">
        <v>5165.81</v>
      </c>
      <c r="Q299">
        <v>59.36</v>
      </c>
      <c r="R299">
        <v>175.27</v>
      </c>
      <c r="S299">
        <v>438</v>
      </c>
      <c r="T299">
        <v>166</v>
      </c>
      <c r="U299">
        <v>10</v>
      </c>
      <c r="V299">
        <v>100</v>
      </c>
      <c r="W299">
        <v>21</v>
      </c>
      <c r="X299">
        <v>27.05</v>
      </c>
      <c r="Y299">
        <v>1.65</v>
      </c>
      <c r="Z299">
        <v>71.78</v>
      </c>
      <c r="AA299">
        <v>2000</v>
      </c>
      <c r="AB299">
        <v>1150.68</v>
      </c>
      <c r="AC299">
        <v>219.25</v>
      </c>
      <c r="AD299">
        <v>110</v>
      </c>
      <c r="AE299">
        <v>186.27</v>
      </c>
      <c r="AF299">
        <v>3666.2</v>
      </c>
      <c r="AG299">
        <v>1264.98</v>
      </c>
      <c r="AH299">
        <v>17.58</v>
      </c>
    </row>
    <row r="300" spans="1:34">
      <c r="A300" t="s">
        <v>787</v>
      </c>
      <c r="B300" t="s">
        <v>261</v>
      </c>
      <c r="C300" t="b">
        <v>0</v>
      </c>
      <c r="D300" t="b">
        <v>0</v>
      </c>
      <c r="E300" t="s">
        <v>1473</v>
      </c>
      <c r="F300" t="s">
        <v>82</v>
      </c>
      <c r="G300" t="s">
        <v>1477</v>
      </c>
      <c r="H300">
        <v>24.6</v>
      </c>
      <c r="I300">
        <v>0</v>
      </c>
      <c r="J300">
        <v>278</v>
      </c>
      <c r="K300">
        <v>10190.02</v>
      </c>
      <c r="L300">
        <v>241.71</v>
      </c>
      <c r="M300">
        <v>65.22</v>
      </c>
      <c r="N300">
        <v>9883.09</v>
      </c>
      <c r="O300">
        <v>2742.85</v>
      </c>
      <c r="P300">
        <v>7140.24</v>
      </c>
      <c r="Q300">
        <v>72.56999999999999</v>
      </c>
      <c r="R300">
        <v>353.15</v>
      </c>
      <c r="S300">
        <v>595</v>
      </c>
      <c r="T300">
        <v>168</v>
      </c>
      <c r="U300">
        <v>8</v>
      </c>
      <c r="V300">
        <v>110</v>
      </c>
      <c r="W300">
        <v>34</v>
      </c>
      <c r="X300">
        <v>35.55</v>
      </c>
      <c r="Y300">
        <v>2.14</v>
      </c>
      <c r="Z300">
        <v>72.25</v>
      </c>
      <c r="AA300">
        <v>2000</v>
      </c>
      <c r="AB300">
        <v>1150.68</v>
      </c>
      <c r="AC300">
        <v>226.08</v>
      </c>
      <c r="AD300">
        <v>110</v>
      </c>
      <c r="AE300">
        <v>193.73</v>
      </c>
      <c r="AF300">
        <v>3680.49</v>
      </c>
      <c r="AG300">
        <v>3034.03</v>
      </c>
      <c r="AH300">
        <v>30.7</v>
      </c>
    </row>
    <row r="301" spans="1:34">
      <c r="A301" t="s">
        <v>788</v>
      </c>
      <c r="B301" t="s">
        <v>262</v>
      </c>
      <c r="C301" t="b">
        <v>1</v>
      </c>
      <c r="D301" t="b">
        <v>0</v>
      </c>
      <c r="E301" t="s">
        <v>1473</v>
      </c>
      <c r="F301" t="s">
        <v>82</v>
      </c>
      <c r="G301" t="s">
        <v>1477</v>
      </c>
      <c r="H301">
        <v>23.6</v>
      </c>
      <c r="I301">
        <v>1</v>
      </c>
      <c r="J301">
        <v>262</v>
      </c>
      <c r="K301">
        <v>10884.06</v>
      </c>
      <c r="L301">
        <v>166.07</v>
      </c>
      <c r="M301">
        <v>41.74</v>
      </c>
      <c r="N301">
        <v>10676.25</v>
      </c>
      <c r="O301">
        <v>3011.15</v>
      </c>
      <c r="P301">
        <v>7665.1</v>
      </c>
      <c r="Q301">
        <v>74.84</v>
      </c>
      <c r="R301">
        <v>517.49</v>
      </c>
      <c r="S301">
        <v>648</v>
      </c>
      <c r="T301">
        <v>178</v>
      </c>
      <c r="U301">
        <v>12</v>
      </c>
      <c r="V301">
        <v>84</v>
      </c>
      <c r="W301">
        <v>53</v>
      </c>
      <c r="X301">
        <v>40.75</v>
      </c>
      <c r="Y301">
        <v>2.47</v>
      </c>
      <c r="Z301">
        <v>71.8</v>
      </c>
      <c r="AA301">
        <v>2000</v>
      </c>
      <c r="AB301">
        <v>1150.68</v>
      </c>
      <c r="AC301">
        <v>224.64</v>
      </c>
      <c r="AD301">
        <v>110</v>
      </c>
      <c r="AE301">
        <v>195.25</v>
      </c>
      <c r="AF301">
        <v>3680.57</v>
      </c>
      <c r="AG301">
        <v>3392.2</v>
      </c>
      <c r="AH301">
        <v>31.77</v>
      </c>
    </row>
    <row r="302" spans="1:34">
      <c r="A302" t="s">
        <v>789</v>
      </c>
      <c r="B302" t="s">
        <v>263</v>
      </c>
      <c r="C302" t="b">
        <v>1</v>
      </c>
      <c r="D302" t="b">
        <v>0</v>
      </c>
      <c r="E302" t="s">
        <v>1473</v>
      </c>
      <c r="F302" t="s">
        <v>82</v>
      </c>
      <c r="G302" t="s">
        <v>1477</v>
      </c>
      <c r="H302">
        <v>22.9</v>
      </c>
      <c r="I302">
        <v>2</v>
      </c>
      <c r="J302">
        <v>286</v>
      </c>
      <c r="K302">
        <v>10750.15</v>
      </c>
      <c r="L302">
        <v>260.85</v>
      </c>
      <c r="M302">
        <v>33.04</v>
      </c>
      <c r="N302">
        <v>10456.26</v>
      </c>
      <c r="O302">
        <v>2924.55</v>
      </c>
      <c r="P302">
        <v>7531.71</v>
      </c>
      <c r="Q302">
        <v>79.25</v>
      </c>
      <c r="R302">
        <v>378.03</v>
      </c>
      <c r="S302">
        <v>630</v>
      </c>
      <c r="T302">
        <v>186</v>
      </c>
      <c r="U302">
        <v>16</v>
      </c>
      <c r="V302">
        <v>100</v>
      </c>
      <c r="W302">
        <v>43</v>
      </c>
      <c r="X302">
        <v>36.56</v>
      </c>
      <c r="Y302">
        <v>2.2</v>
      </c>
      <c r="Z302">
        <v>72.03</v>
      </c>
      <c r="AA302">
        <v>2000</v>
      </c>
      <c r="AB302">
        <v>1150.68</v>
      </c>
      <c r="AC302">
        <v>221.38</v>
      </c>
      <c r="AD302">
        <v>110</v>
      </c>
      <c r="AE302">
        <v>178.23</v>
      </c>
      <c r="AF302">
        <v>3660.29</v>
      </c>
      <c r="AG302">
        <v>3414.14</v>
      </c>
      <c r="AH302">
        <v>32.65</v>
      </c>
    </row>
    <row r="303" spans="1:34">
      <c r="A303" t="s">
        <v>408</v>
      </c>
      <c r="B303" t="s">
        <v>75</v>
      </c>
      <c r="C303" t="b">
        <v>0</v>
      </c>
      <c r="D303" t="b">
        <v>0</v>
      </c>
      <c r="E303" t="s">
        <v>1473</v>
      </c>
      <c r="F303" t="s">
        <v>82</v>
      </c>
      <c r="G303" t="s">
        <v>1477</v>
      </c>
      <c r="H303">
        <v>20.6</v>
      </c>
      <c r="I303">
        <v>3</v>
      </c>
      <c r="J303">
        <v>241</v>
      </c>
      <c r="K303">
        <v>6617.96</v>
      </c>
      <c r="L303">
        <v>101.74</v>
      </c>
      <c r="M303">
        <v>0</v>
      </c>
      <c r="N303">
        <v>6516.22</v>
      </c>
      <c r="O303">
        <v>1790.75</v>
      </c>
      <c r="P303">
        <v>4725.47</v>
      </c>
      <c r="Q303">
        <v>48.02</v>
      </c>
      <c r="R303">
        <v>277.21</v>
      </c>
      <c r="S303">
        <v>398</v>
      </c>
      <c r="T303">
        <v>154</v>
      </c>
      <c r="U303">
        <v>14</v>
      </c>
      <c r="V303">
        <v>87</v>
      </c>
      <c r="W303">
        <v>34</v>
      </c>
      <c r="X303">
        <v>27.04</v>
      </c>
      <c r="Y303">
        <v>1.65</v>
      </c>
      <c r="Z303">
        <v>72.52</v>
      </c>
      <c r="AA303">
        <v>2000</v>
      </c>
      <c r="AB303">
        <v>1150.68</v>
      </c>
      <c r="AC303">
        <v>187.65</v>
      </c>
      <c r="AD303">
        <v>110</v>
      </c>
      <c r="AE303">
        <v>208.41</v>
      </c>
      <c r="AF303">
        <v>3656.74</v>
      </c>
      <c r="AG303">
        <v>743.5</v>
      </c>
      <c r="AH303">
        <v>11.41</v>
      </c>
    </row>
    <row r="304" spans="1:34">
      <c r="A304" t="s">
        <v>790</v>
      </c>
      <c r="B304" t="s">
        <v>258</v>
      </c>
      <c r="C304" t="b">
        <v>0</v>
      </c>
      <c r="D304" t="b">
        <v>0</v>
      </c>
      <c r="E304" t="s">
        <v>1473</v>
      </c>
      <c r="F304" t="s">
        <v>82</v>
      </c>
      <c r="G304" t="s">
        <v>1477</v>
      </c>
      <c r="H304">
        <v>20.8</v>
      </c>
      <c r="I304">
        <v>4</v>
      </c>
      <c r="J304">
        <v>215</v>
      </c>
      <c r="K304">
        <v>6192.81</v>
      </c>
      <c r="L304">
        <v>135.65</v>
      </c>
      <c r="M304">
        <v>18.26</v>
      </c>
      <c r="N304">
        <v>6038.9</v>
      </c>
      <c r="O304">
        <v>1733.6</v>
      </c>
      <c r="P304">
        <v>4305.3</v>
      </c>
      <c r="Q304">
        <v>48.5</v>
      </c>
      <c r="R304">
        <v>157.25</v>
      </c>
      <c r="S304">
        <v>378</v>
      </c>
      <c r="T304">
        <v>124</v>
      </c>
      <c r="U304">
        <v>7</v>
      </c>
      <c r="V304">
        <v>91</v>
      </c>
      <c r="W304">
        <v>26</v>
      </c>
      <c r="X304">
        <v>28.09</v>
      </c>
      <c r="Y304">
        <v>1.76</v>
      </c>
      <c r="Z304">
        <v>71.29000000000001</v>
      </c>
      <c r="AA304">
        <v>2000</v>
      </c>
      <c r="AB304">
        <v>1150.68</v>
      </c>
      <c r="AC304">
        <v>190.13</v>
      </c>
      <c r="AD304">
        <v>110</v>
      </c>
      <c r="AE304">
        <v>198.01</v>
      </c>
      <c r="AF304">
        <v>3648.82</v>
      </c>
      <c r="AG304">
        <v>450.73</v>
      </c>
      <c r="AH304">
        <v>7.46</v>
      </c>
    </row>
    <row r="305" spans="1:34">
      <c r="A305" t="s">
        <v>791</v>
      </c>
      <c r="B305" t="s">
        <v>259</v>
      </c>
      <c r="C305" t="b">
        <v>0</v>
      </c>
      <c r="D305" t="b">
        <v>0</v>
      </c>
      <c r="E305" t="s">
        <v>1473</v>
      </c>
      <c r="F305" t="s">
        <v>82</v>
      </c>
      <c r="G305" t="s">
        <v>81</v>
      </c>
      <c r="H305">
        <v>20.8</v>
      </c>
      <c r="I305">
        <v>5</v>
      </c>
      <c r="J305">
        <v>236</v>
      </c>
      <c r="K305">
        <v>6830.19</v>
      </c>
      <c r="L305">
        <v>284.33</v>
      </c>
      <c r="M305">
        <v>18.26</v>
      </c>
      <c r="N305">
        <v>6527.6</v>
      </c>
      <c r="O305">
        <v>1925.8</v>
      </c>
      <c r="P305">
        <v>4601.8</v>
      </c>
      <c r="Q305">
        <v>52.29</v>
      </c>
      <c r="R305">
        <v>198.78</v>
      </c>
      <c r="S305">
        <v>411</v>
      </c>
      <c r="T305">
        <v>149</v>
      </c>
      <c r="U305">
        <v>17</v>
      </c>
      <c r="V305">
        <v>87</v>
      </c>
      <c r="W305">
        <v>21</v>
      </c>
      <c r="X305">
        <v>27.66</v>
      </c>
      <c r="Y305">
        <v>1.74</v>
      </c>
      <c r="Z305">
        <v>70.5</v>
      </c>
      <c r="AA305">
        <v>2000</v>
      </c>
      <c r="AB305">
        <v>1150.68</v>
      </c>
      <c r="AC305">
        <v>215.46</v>
      </c>
      <c r="AD305">
        <v>110</v>
      </c>
      <c r="AE305">
        <v>128.75</v>
      </c>
      <c r="AF305">
        <v>3604.89</v>
      </c>
      <c r="AG305">
        <v>745.84</v>
      </c>
      <c r="AH305">
        <v>11.43</v>
      </c>
    </row>
    <row r="306" spans="1:34">
      <c r="A306" t="s">
        <v>792</v>
      </c>
      <c r="B306" t="s">
        <v>260</v>
      </c>
      <c r="C306" t="b">
        <v>0</v>
      </c>
      <c r="D306" t="b">
        <v>0</v>
      </c>
      <c r="E306" t="s">
        <v>1473</v>
      </c>
      <c r="F306" t="s">
        <v>82</v>
      </c>
      <c r="G306" t="s">
        <v>81</v>
      </c>
      <c r="H306">
        <v>20.2</v>
      </c>
      <c r="I306">
        <v>6</v>
      </c>
      <c r="J306">
        <v>271</v>
      </c>
      <c r="K306">
        <v>9832.67</v>
      </c>
      <c r="L306">
        <v>356.85</v>
      </c>
      <c r="M306">
        <v>19.13</v>
      </c>
      <c r="N306">
        <v>9456.690000000001</v>
      </c>
      <c r="O306">
        <v>2825.65</v>
      </c>
      <c r="P306">
        <v>6631.04</v>
      </c>
      <c r="Q306">
        <v>66.92</v>
      </c>
      <c r="R306">
        <v>334.77</v>
      </c>
      <c r="S306">
        <v>582</v>
      </c>
      <c r="T306">
        <v>186</v>
      </c>
      <c r="U306">
        <v>12</v>
      </c>
      <c r="V306">
        <v>85</v>
      </c>
      <c r="W306">
        <v>34</v>
      </c>
      <c r="X306">
        <v>34.9</v>
      </c>
      <c r="Y306">
        <v>2.15</v>
      </c>
      <c r="Z306">
        <v>70.12</v>
      </c>
      <c r="AA306">
        <v>2066.67</v>
      </c>
      <c r="AB306">
        <v>1150.68</v>
      </c>
      <c r="AC306">
        <v>176.57</v>
      </c>
      <c r="AD306">
        <v>110</v>
      </c>
      <c r="AE306">
        <v>160.21</v>
      </c>
      <c r="AF306">
        <v>3664.13</v>
      </c>
      <c r="AG306">
        <v>2565.22</v>
      </c>
      <c r="AH306">
        <v>27.13</v>
      </c>
    </row>
    <row r="307" spans="1:34">
      <c r="A307" t="s">
        <v>793</v>
      </c>
      <c r="B307" t="s">
        <v>261</v>
      </c>
      <c r="C307" t="b">
        <v>0</v>
      </c>
      <c r="D307" t="b">
        <v>0</v>
      </c>
      <c r="E307" t="s">
        <v>1473</v>
      </c>
      <c r="F307" t="s">
        <v>82</v>
      </c>
      <c r="G307" t="s">
        <v>81</v>
      </c>
      <c r="H307">
        <v>21.5</v>
      </c>
      <c r="I307">
        <v>7</v>
      </c>
      <c r="J307">
        <v>246</v>
      </c>
      <c r="K307">
        <v>8190.2</v>
      </c>
      <c r="L307">
        <v>246.08</v>
      </c>
      <c r="M307">
        <v>0</v>
      </c>
      <c r="N307">
        <v>7944.12</v>
      </c>
      <c r="O307">
        <v>2170.35</v>
      </c>
      <c r="P307">
        <v>5773.77</v>
      </c>
      <c r="Q307">
        <v>65.06</v>
      </c>
      <c r="R307">
        <v>265.57</v>
      </c>
      <c r="S307">
        <v>492</v>
      </c>
      <c r="T307">
        <v>146</v>
      </c>
      <c r="U307">
        <v>16</v>
      </c>
      <c r="V307">
        <v>100</v>
      </c>
      <c r="W307">
        <v>27</v>
      </c>
      <c r="X307">
        <v>32.29</v>
      </c>
      <c r="Y307">
        <v>2</v>
      </c>
      <c r="Z307">
        <v>72.68000000000001</v>
      </c>
      <c r="AA307">
        <v>2066.67</v>
      </c>
      <c r="AB307">
        <v>1150.68</v>
      </c>
      <c r="AC307">
        <v>207.71</v>
      </c>
      <c r="AD307">
        <v>110</v>
      </c>
      <c r="AE307">
        <v>198.79</v>
      </c>
      <c r="AF307">
        <v>3733.85</v>
      </c>
      <c r="AG307">
        <v>1709.29</v>
      </c>
      <c r="AH307">
        <v>21.52</v>
      </c>
    </row>
    <row r="308" spans="1:34">
      <c r="A308" t="s">
        <v>794</v>
      </c>
      <c r="B308" t="s">
        <v>262</v>
      </c>
      <c r="C308" t="b">
        <v>1</v>
      </c>
      <c r="D308" t="b">
        <v>0</v>
      </c>
      <c r="E308" t="s">
        <v>1473</v>
      </c>
      <c r="F308" t="s">
        <v>82</v>
      </c>
      <c r="G308" t="s">
        <v>81</v>
      </c>
      <c r="H308">
        <v>20.3</v>
      </c>
      <c r="I308">
        <v>8</v>
      </c>
      <c r="J308">
        <v>293</v>
      </c>
      <c r="K308">
        <v>11178.04</v>
      </c>
      <c r="L308">
        <v>254.76</v>
      </c>
      <c r="M308">
        <v>43.48</v>
      </c>
      <c r="N308">
        <v>10879.8</v>
      </c>
      <c r="O308">
        <v>3129.65</v>
      </c>
      <c r="P308">
        <v>7750.15</v>
      </c>
      <c r="Q308">
        <v>82.26000000000001</v>
      </c>
      <c r="R308">
        <v>416.27</v>
      </c>
      <c r="S308">
        <v>654</v>
      </c>
      <c r="T308">
        <v>174</v>
      </c>
      <c r="U308">
        <v>6</v>
      </c>
      <c r="V308">
        <v>119</v>
      </c>
      <c r="W308">
        <v>47</v>
      </c>
      <c r="X308">
        <v>37.13</v>
      </c>
      <c r="Y308">
        <v>2.23</v>
      </c>
      <c r="Z308">
        <v>71.23</v>
      </c>
      <c r="AA308">
        <v>2066.67</v>
      </c>
      <c r="AB308">
        <v>1150.68</v>
      </c>
      <c r="AC308">
        <v>191.96</v>
      </c>
      <c r="AD308">
        <v>110</v>
      </c>
      <c r="AE308">
        <v>210.15</v>
      </c>
      <c r="AF308">
        <v>3729.46</v>
      </c>
      <c r="AG308">
        <v>3522.16</v>
      </c>
      <c r="AH308">
        <v>32.37</v>
      </c>
    </row>
    <row r="309" spans="1:34">
      <c r="A309" t="s">
        <v>795</v>
      </c>
      <c r="B309" t="s">
        <v>263</v>
      </c>
      <c r="C309" t="b">
        <v>1</v>
      </c>
      <c r="D309" t="b">
        <v>0</v>
      </c>
      <c r="E309" t="s">
        <v>1473</v>
      </c>
      <c r="F309" t="s">
        <v>82</v>
      </c>
      <c r="G309" t="s">
        <v>81</v>
      </c>
      <c r="H309">
        <v>21.2</v>
      </c>
      <c r="I309">
        <v>9</v>
      </c>
      <c r="J309">
        <v>226</v>
      </c>
      <c r="K309">
        <v>8864.059999999999</v>
      </c>
      <c r="L309">
        <v>103.46</v>
      </c>
      <c r="M309">
        <v>39.13</v>
      </c>
      <c r="N309">
        <v>8721.469999999999</v>
      </c>
      <c r="O309">
        <v>2456.15</v>
      </c>
      <c r="P309">
        <v>6265.32</v>
      </c>
      <c r="Q309">
        <v>76.18000000000001</v>
      </c>
      <c r="R309">
        <v>238.19</v>
      </c>
      <c r="S309">
        <v>525</v>
      </c>
      <c r="T309">
        <v>144</v>
      </c>
      <c r="U309">
        <v>8</v>
      </c>
      <c r="V309">
        <v>82</v>
      </c>
      <c r="W309">
        <v>29</v>
      </c>
      <c r="X309">
        <v>38.59</v>
      </c>
      <c r="Y309">
        <v>2.32</v>
      </c>
      <c r="Z309">
        <v>71.84</v>
      </c>
      <c r="AA309">
        <v>2066.67</v>
      </c>
      <c r="AB309">
        <v>1150.68</v>
      </c>
      <c r="AC309">
        <v>206.12</v>
      </c>
      <c r="AD309">
        <v>110</v>
      </c>
      <c r="AE309">
        <v>177.69</v>
      </c>
      <c r="AF309">
        <v>3711.16</v>
      </c>
      <c r="AG309">
        <v>2239.79</v>
      </c>
      <c r="AH309">
        <v>25.68</v>
      </c>
    </row>
    <row r="310" spans="1:34">
      <c r="A310" t="s">
        <v>409</v>
      </c>
      <c r="B310" t="s">
        <v>75</v>
      </c>
      <c r="C310" t="b">
        <v>0</v>
      </c>
      <c r="D310" t="b">
        <v>0</v>
      </c>
      <c r="E310" t="s">
        <v>1473</v>
      </c>
      <c r="F310" t="s">
        <v>1474</v>
      </c>
      <c r="G310" t="s">
        <v>81</v>
      </c>
      <c r="H310">
        <v>20.8</v>
      </c>
      <c r="I310">
        <v>10</v>
      </c>
      <c r="J310">
        <v>257</v>
      </c>
      <c r="K310">
        <v>7891.87</v>
      </c>
      <c r="L310">
        <v>247.8</v>
      </c>
      <c r="M310">
        <v>90.44</v>
      </c>
      <c r="N310">
        <v>7553.63</v>
      </c>
      <c r="O310">
        <v>2146.75</v>
      </c>
      <c r="P310">
        <v>5406.88</v>
      </c>
      <c r="Q310">
        <v>59.69</v>
      </c>
      <c r="R310">
        <v>253.09</v>
      </c>
      <c r="S310">
        <v>478</v>
      </c>
      <c r="T310">
        <v>153</v>
      </c>
      <c r="U310">
        <v>11</v>
      </c>
      <c r="V310">
        <v>104</v>
      </c>
      <c r="W310">
        <v>31</v>
      </c>
      <c r="X310">
        <v>29.39</v>
      </c>
      <c r="Y310">
        <v>1.86</v>
      </c>
      <c r="Z310">
        <v>71.58</v>
      </c>
      <c r="AA310">
        <v>2066.67</v>
      </c>
      <c r="AB310">
        <v>1150.68</v>
      </c>
      <c r="AC310">
        <v>190.09</v>
      </c>
      <c r="AD310">
        <v>110</v>
      </c>
      <c r="AE310">
        <v>204.64</v>
      </c>
      <c r="AF310">
        <v>3722.08</v>
      </c>
      <c r="AG310">
        <v>1372.02</v>
      </c>
      <c r="AH310">
        <v>18.16</v>
      </c>
    </row>
    <row r="311" spans="1:34">
      <c r="A311" t="s">
        <v>796</v>
      </c>
      <c r="B311" t="s">
        <v>258</v>
      </c>
      <c r="C311" t="b">
        <v>0</v>
      </c>
      <c r="D311" t="b">
        <v>0</v>
      </c>
      <c r="E311" t="s">
        <v>1473</v>
      </c>
      <c r="F311" t="s">
        <v>1474</v>
      </c>
      <c r="G311" t="s">
        <v>81</v>
      </c>
      <c r="H311">
        <v>21.1</v>
      </c>
      <c r="I311">
        <v>11</v>
      </c>
      <c r="J311">
        <v>242</v>
      </c>
      <c r="K311">
        <v>6885.04</v>
      </c>
      <c r="L311">
        <v>120.86</v>
      </c>
      <c r="M311">
        <v>21.74</v>
      </c>
      <c r="N311">
        <v>6742.44</v>
      </c>
      <c r="O311">
        <v>1921.2</v>
      </c>
      <c r="P311">
        <v>4821.24</v>
      </c>
      <c r="Q311">
        <v>52.97</v>
      </c>
      <c r="R311">
        <v>203.96</v>
      </c>
      <c r="S311">
        <v>411</v>
      </c>
      <c r="T311">
        <v>150</v>
      </c>
      <c r="U311">
        <v>6</v>
      </c>
      <c r="V311">
        <v>92</v>
      </c>
      <c r="W311">
        <v>24</v>
      </c>
      <c r="X311">
        <v>27.86</v>
      </c>
      <c r="Y311">
        <v>1.7</v>
      </c>
      <c r="Z311">
        <v>71.51000000000001</v>
      </c>
      <c r="AA311">
        <v>2066.67</v>
      </c>
      <c r="AB311">
        <v>1150.68</v>
      </c>
      <c r="AC311">
        <v>198.69</v>
      </c>
      <c r="AD311">
        <v>110</v>
      </c>
      <c r="AE311">
        <v>141.92</v>
      </c>
      <c r="AF311">
        <v>3667.96</v>
      </c>
      <c r="AG311">
        <v>896.35</v>
      </c>
      <c r="AH311">
        <v>13.29</v>
      </c>
    </row>
    <row r="312" spans="1:34">
      <c r="A312" t="s">
        <v>797</v>
      </c>
      <c r="B312" t="s">
        <v>259</v>
      </c>
      <c r="C312" t="b">
        <v>0</v>
      </c>
      <c r="D312" t="b">
        <v>0</v>
      </c>
      <c r="E312" t="s">
        <v>1473</v>
      </c>
      <c r="F312" t="s">
        <v>1474</v>
      </c>
      <c r="G312" t="s">
        <v>81</v>
      </c>
      <c r="H312">
        <v>20.9</v>
      </c>
      <c r="I312">
        <v>12</v>
      </c>
      <c r="J312">
        <v>255</v>
      </c>
      <c r="K312">
        <v>7238.01</v>
      </c>
      <c r="L312">
        <v>58.25</v>
      </c>
      <c r="M312">
        <v>76.52</v>
      </c>
      <c r="N312">
        <v>7103.24</v>
      </c>
      <c r="O312">
        <v>1982.7</v>
      </c>
      <c r="P312">
        <v>5120.54</v>
      </c>
      <c r="Q312">
        <v>53.87</v>
      </c>
      <c r="R312">
        <v>275.9</v>
      </c>
      <c r="S312">
        <v>434</v>
      </c>
      <c r="T312">
        <v>151</v>
      </c>
      <c r="U312">
        <v>10</v>
      </c>
      <c r="V312">
        <v>104</v>
      </c>
      <c r="W312">
        <v>33</v>
      </c>
      <c r="X312">
        <v>27.86</v>
      </c>
      <c r="Y312">
        <v>1.7</v>
      </c>
      <c r="Z312">
        <v>72.09</v>
      </c>
      <c r="AA312">
        <v>2066.67</v>
      </c>
      <c r="AB312">
        <v>1150.68</v>
      </c>
      <c r="AC312">
        <v>218.53</v>
      </c>
      <c r="AD312">
        <v>110</v>
      </c>
      <c r="AE312">
        <v>182.75</v>
      </c>
      <c r="AF312">
        <v>3728.63</v>
      </c>
      <c r="AG312">
        <v>1062.14</v>
      </c>
      <c r="AH312">
        <v>14.95</v>
      </c>
    </row>
    <row r="313" spans="1:34">
      <c r="A313" t="s">
        <v>798</v>
      </c>
      <c r="B313" t="s">
        <v>260</v>
      </c>
      <c r="C313" t="b">
        <v>0</v>
      </c>
      <c r="D313" t="b">
        <v>0</v>
      </c>
      <c r="E313" t="s">
        <v>1473</v>
      </c>
      <c r="F313" t="s">
        <v>1474</v>
      </c>
      <c r="G313" t="s">
        <v>81</v>
      </c>
      <c r="H313">
        <v>21.5</v>
      </c>
      <c r="I313">
        <v>13</v>
      </c>
      <c r="J313">
        <v>226</v>
      </c>
      <c r="K313">
        <v>6247.57</v>
      </c>
      <c r="L313">
        <v>103.47</v>
      </c>
      <c r="M313">
        <v>41.74</v>
      </c>
      <c r="N313">
        <v>6102.36</v>
      </c>
      <c r="O313">
        <v>1692.05</v>
      </c>
      <c r="P313">
        <v>4410.31</v>
      </c>
      <c r="Q313">
        <v>46.69</v>
      </c>
      <c r="R313">
        <v>207.4</v>
      </c>
      <c r="S313">
        <v>377</v>
      </c>
      <c r="T313">
        <v>133</v>
      </c>
      <c r="U313">
        <v>3</v>
      </c>
      <c r="V313">
        <v>93</v>
      </c>
      <c r="W313">
        <v>23</v>
      </c>
      <c r="X313">
        <v>27</v>
      </c>
      <c r="Y313">
        <v>1.67</v>
      </c>
      <c r="Z313">
        <v>72.27</v>
      </c>
      <c r="AA313">
        <v>2066.67</v>
      </c>
      <c r="AB313">
        <v>1150.68</v>
      </c>
      <c r="AC313">
        <v>194.56</v>
      </c>
      <c r="AD313">
        <v>110</v>
      </c>
      <c r="AE313">
        <v>208.87</v>
      </c>
      <c r="AF313">
        <v>3730.78</v>
      </c>
      <c r="AG313">
        <v>425.44</v>
      </c>
      <c r="AH313">
        <v>6.97</v>
      </c>
    </row>
    <row r="314" spans="1:34">
      <c r="A314" t="s">
        <v>799</v>
      </c>
      <c r="B314" t="s">
        <v>261</v>
      </c>
      <c r="C314" t="b">
        <v>0</v>
      </c>
      <c r="D314" t="b">
        <v>0</v>
      </c>
      <c r="E314" t="s">
        <v>1473</v>
      </c>
      <c r="F314" t="s">
        <v>1474</v>
      </c>
      <c r="G314" t="s">
        <v>81</v>
      </c>
      <c r="H314">
        <v>21.8</v>
      </c>
      <c r="I314">
        <v>14</v>
      </c>
      <c r="J314">
        <v>321</v>
      </c>
      <c r="K314">
        <v>10203.13</v>
      </c>
      <c r="L314">
        <v>334.75</v>
      </c>
      <c r="M314">
        <v>38.26</v>
      </c>
      <c r="N314">
        <v>9830.120000000001</v>
      </c>
      <c r="O314">
        <v>2842.1</v>
      </c>
      <c r="P314">
        <v>6988.02</v>
      </c>
      <c r="Q314">
        <v>78.45</v>
      </c>
      <c r="R314">
        <v>368.61</v>
      </c>
      <c r="S314">
        <v>601</v>
      </c>
      <c r="T314">
        <v>208</v>
      </c>
      <c r="U314">
        <v>14</v>
      </c>
      <c r="V314">
        <v>113</v>
      </c>
      <c r="W314">
        <v>47</v>
      </c>
      <c r="X314">
        <v>30.62</v>
      </c>
      <c r="Y314">
        <v>1.87</v>
      </c>
      <c r="Z314">
        <v>71.09</v>
      </c>
      <c r="AA314">
        <v>2066.67</v>
      </c>
      <c r="AB314">
        <v>1150.68</v>
      </c>
      <c r="AC314">
        <v>200.24</v>
      </c>
      <c r="AD314">
        <v>110</v>
      </c>
      <c r="AE314">
        <v>168.05</v>
      </c>
      <c r="AF314">
        <v>3695.64</v>
      </c>
      <c r="AG314">
        <v>2845.32</v>
      </c>
      <c r="AH314">
        <v>28.94</v>
      </c>
    </row>
    <row r="315" spans="1:34">
      <c r="A315" t="s">
        <v>800</v>
      </c>
      <c r="B315" t="s">
        <v>262</v>
      </c>
      <c r="C315" t="b">
        <v>1</v>
      </c>
      <c r="D315" t="b">
        <v>0</v>
      </c>
      <c r="E315" t="s">
        <v>1473</v>
      </c>
      <c r="F315" t="s">
        <v>1474</v>
      </c>
      <c r="G315" t="s">
        <v>81</v>
      </c>
      <c r="H315">
        <v>20.5</v>
      </c>
      <c r="I315">
        <v>15</v>
      </c>
      <c r="J315">
        <v>232</v>
      </c>
      <c r="K315">
        <v>8698.969999999999</v>
      </c>
      <c r="L315">
        <v>359.99</v>
      </c>
      <c r="M315">
        <v>37.39</v>
      </c>
      <c r="N315">
        <v>8301.59</v>
      </c>
      <c r="O315">
        <v>2465.25</v>
      </c>
      <c r="P315">
        <v>5836.34</v>
      </c>
      <c r="Q315">
        <v>66.20999999999999</v>
      </c>
      <c r="R315">
        <v>398.64</v>
      </c>
      <c r="S315">
        <v>519</v>
      </c>
      <c r="T315">
        <v>153</v>
      </c>
      <c r="U315">
        <v>10</v>
      </c>
      <c r="V315">
        <v>79</v>
      </c>
      <c r="W315">
        <v>42</v>
      </c>
      <c r="X315">
        <v>35.78</v>
      </c>
      <c r="Y315">
        <v>2.24</v>
      </c>
      <c r="Z315">
        <v>70.3</v>
      </c>
      <c r="AA315">
        <v>2066.67</v>
      </c>
      <c r="AB315">
        <v>1150.68</v>
      </c>
      <c r="AC315">
        <v>213.1</v>
      </c>
      <c r="AD315">
        <v>110</v>
      </c>
      <c r="AE315">
        <v>192.26</v>
      </c>
      <c r="AF315">
        <v>3732.71</v>
      </c>
      <c r="AG315">
        <v>1638.78</v>
      </c>
      <c r="AH315">
        <v>19.74</v>
      </c>
    </row>
    <row r="316" spans="1:34">
      <c r="A316" t="s">
        <v>801</v>
      </c>
      <c r="B316" t="s">
        <v>263</v>
      </c>
      <c r="C316" t="b">
        <v>1</v>
      </c>
      <c r="D316" t="b">
        <v>0</v>
      </c>
      <c r="E316" t="s">
        <v>1473</v>
      </c>
      <c r="F316" t="s">
        <v>1474</v>
      </c>
      <c r="G316" t="s">
        <v>81</v>
      </c>
      <c r="H316">
        <v>20.9</v>
      </c>
      <c r="I316">
        <v>16</v>
      </c>
      <c r="J316">
        <v>260</v>
      </c>
      <c r="K316">
        <v>8923.1</v>
      </c>
      <c r="L316">
        <v>306.06</v>
      </c>
      <c r="M316">
        <v>32.17</v>
      </c>
      <c r="N316">
        <v>8584.870000000001</v>
      </c>
      <c r="O316">
        <v>2447.5</v>
      </c>
      <c r="P316">
        <v>6137.37</v>
      </c>
      <c r="Q316">
        <v>68.01000000000001</v>
      </c>
      <c r="R316">
        <v>281.96</v>
      </c>
      <c r="S316">
        <v>531</v>
      </c>
      <c r="T316">
        <v>177</v>
      </c>
      <c r="U316">
        <v>12</v>
      </c>
      <c r="V316">
        <v>83</v>
      </c>
      <c r="W316">
        <v>33</v>
      </c>
      <c r="X316">
        <v>33.02</v>
      </c>
      <c r="Y316">
        <v>2.04</v>
      </c>
      <c r="Z316">
        <v>71.48999999999999</v>
      </c>
      <c r="AA316">
        <v>2066.67</v>
      </c>
      <c r="AB316">
        <v>1150.68</v>
      </c>
      <c r="AC316">
        <v>175.87</v>
      </c>
      <c r="AD316">
        <v>110</v>
      </c>
      <c r="AE316">
        <v>181.82</v>
      </c>
      <c r="AF316">
        <v>3685.04</v>
      </c>
      <c r="AG316">
        <v>2102.36</v>
      </c>
      <c r="AH316">
        <v>24.49</v>
      </c>
    </row>
    <row r="317" spans="1:34">
      <c r="A317" t="s">
        <v>410</v>
      </c>
      <c r="B317" t="s">
        <v>75</v>
      </c>
      <c r="C317" t="b">
        <v>0</v>
      </c>
      <c r="D317" t="b">
        <v>0</v>
      </c>
      <c r="E317" t="s">
        <v>1473</v>
      </c>
      <c r="F317" t="s">
        <v>1474</v>
      </c>
      <c r="G317" t="s">
        <v>81</v>
      </c>
      <c r="H317">
        <v>20.9</v>
      </c>
      <c r="I317">
        <v>17</v>
      </c>
      <c r="J317">
        <v>234</v>
      </c>
      <c r="K317">
        <v>6695.35</v>
      </c>
      <c r="L317">
        <v>163.47</v>
      </c>
      <c r="M317">
        <v>6.96</v>
      </c>
      <c r="N317">
        <v>6524.92</v>
      </c>
      <c r="O317">
        <v>1800.5</v>
      </c>
      <c r="P317">
        <v>4724.42</v>
      </c>
      <c r="Q317">
        <v>49.72</v>
      </c>
      <c r="R317">
        <v>281.57</v>
      </c>
      <c r="S317">
        <v>412</v>
      </c>
      <c r="T317">
        <v>166</v>
      </c>
      <c r="U317">
        <v>6</v>
      </c>
      <c r="V317">
        <v>68</v>
      </c>
      <c r="W317">
        <v>33</v>
      </c>
      <c r="X317">
        <v>27.88</v>
      </c>
      <c r="Y317">
        <v>1.76</v>
      </c>
      <c r="Z317">
        <v>72.41</v>
      </c>
      <c r="AA317">
        <v>2066.67</v>
      </c>
      <c r="AB317">
        <v>1150.68</v>
      </c>
      <c r="AC317">
        <v>225.71</v>
      </c>
      <c r="AD317">
        <v>110</v>
      </c>
      <c r="AE317">
        <v>181.55</v>
      </c>
      <c r="AF317">
        <v>3734.61</v>
      </c>
      <c r="AG317">
        <v>658.52</v>
      </c>
      <c r="AH317">
        <v>10.09</v>
      </c>
    </row>
    <row r="318" spans="1:34">
      <c r="A318" t="s">
        <v>802</v>
      </c>
      <c r="B318" t="s">
        <v>258</v>
      </c>
      <c r="C318" t="b">
        <v>0</v>
      </c>
      <c r="D318" t="b">
        <v>0</v>
      </c>
      <c r="E318" t="s">
        <v>1473</v>
      </c>
      <c r="F318" t="s">
        <v>1474</v>
      </c>
      <c r="G318" t="s">
        <v>81</v>
      </c>
      <c r="H318">
        <v>21.2</v>
      </c>
      <c r="I318">
        <v>18</v>
      </c>
      <c r="J318">
        <v>262</v>
      </c>
      <c r="K318">
        <v>7369.28</v>
      </c>
      <c r="L318">
        <v>286.07</v>
      </c>
      <c r="M318">
        <v>0</v>
      </c>
      <c r="N318">
        <v>7083.21</v>
      </c>
      <c r="O318">
        <v>2065.2</v>
      </c>
      <c r="P318">
        <v>5018.01</v>
      </c>
      <c r="Q318">
        <v>55.02</v>
      </c>
      <c r="R318">
        <v>212.95</v>
      </c>
      <c r="S318">
        <v>435</v>
      </c>
      <c r="T318">
        <v>170</v>
      </c>
      <c r="U318">
        <v>5</v>
      </c>
      <c r="V318">
        <v>92</v>
      </c>
      <c r="W318">
        <v>24</v>
      </c>
      <c r="X318">
        <v>27.04</v>
      </c>
      <c r="Y318">
        <v>1.66</v>
      </c>
      <c r="Z318">
        <v>70.84</v>
      </c>
      <c r="AA318">
        <v>2066.67</v>
      </c>
      <c r="AB318">
        <v>1150.68</v>
      </c>
      <c r="AC318">
        <v>201.96</v>
      </c>
      <c r="AD318">
        <v>110</v>
      </c>
      <c r="AE318">
        <v>198.51</v>
      </c>
      <c r="AF318">
        <v>3727.82</v>
      </c>
      <c r="AG318">
        <v>1022.22</v>
      </c>
      <c r="AH318">
        <v>14.43</v>
      </c>
    </row>
    <row r="319" spans="1:34">
      <c r="A319" t="s">
        <v>803</v>
      </c>
      <c r="B319" t="s">
        <v>259</v>
      </c>
      <c r="C319" t="b">
        <v>0</v>
      </c>
      <c r="D319" t="b">
        <v>0</v>
      </c>
      <c r="E319" t="s">
        <v>1473</v>
      </c>
      <c r="F319" t="s">
        <v>1474</v>
      </c>
      <c r="G319" t="s">
        <v>81</v>
      </c>
      <c r="H319">
        <v>21.4</v>
      </c>
      <c r="I319">
        <v>19</v>
      </c>
      <c r="J319">
        <v>249</v>
      </c>
      <c r="K319">
        <v>7267.49</v>
      </c>
      <c r="L319">
        <v>257.36</v>
      </c>
      <c r="M319">
        <v>30.43</v>
      </c>
      <c r="N319">
        <v>6979.7</v>
      </c>
      <c r="O319">
        <v>2007.6</v>
      </c>
      <c r="P319">
        <v>4972.1</v>
      </c>
      <c r="Q319">
        <v>50.03</v>
      </c>
      <c r="R319">
        <v>249.26</v>
      </c>
      <c r="S319">
        <v>440</v>
      </c>
      <c r="T319">
        <v>158</v>
      </c>
      <c r="U319">
        <v>10</v>
      </c>
      <c r="V319">
        <v>91</v>
      </c>
      <c r="W319">
        <v>32</v>
      </c>
      <c r="X319">
        <v>28.03</v>
      </c>
      <c r="Y319">
        <v>1.77</v>
      </c>
      <c r="Z319">
        <v>71.23999999999999</v>
      </c>
      <c r="AA319">
        <v>2066.67</v>
      </c>
      <c r="AB319">
        <v>1150.68</v>
      </c>
      <c r="AC319">
        <v>203.06</v>
      </c>
      <c r="AD319">
        <v>110</v>
      </c>
      <c r="AE319">
        <v>150.03</v>
      </c>
      <c r="AF319">
        <v>3680.44</v>
      </c>
      <c r="AG319">
        <v>992.37</v>
      </c>
      <c r="AH319">
        <v>14.22</v>
      </c>
    </row>
    <row r="320" spans="1:34">
      <c r="A320" t="s">
        <v>804</v>
      </c>
      <c r="B320" t="s">
        <v>260</v>
      </c>
      <c r="C320" t="b">
        <v>0</v>
      </c>
      <c r="D320" t="b">
        <v>0</v>
      </c>
      <c r="E320" t="s">
        <v>1473</v>
      </c>
      <c r="F320" t="s">
        <v>1474</v>
      </c>
      <c r="G320" t="s">
        <v>81</v>
      </c>
      <c r="H320">
        <v>20.9</v>
      </c>
      <c r="I320">
        <v>20</v>
      </c>
      <c r="J320">
        <v>244</v>
      </c>
      <c r="K320">
        <v>7557.04</v>
      </c>
      <c r="L320">
        <v>227.81</v>
      </c>
      <c r="M320">
        <v>10.43</v>
      </c>
      <c r="N320">
        <v>7318.8</v>
      </c>
      <c r="O320">
        <v>2028.95</v>
      </c>
      <c r="P320">
        <v>5289.85</v>
      </c>
      <c r="Q320">
        <v>51.74</v>
      </c>
      <c r="R320">
        <v>375.34</v>
      </c>
      <c r="S320">
        <v>462</v>
      </c>
      <c r="T320">
        <v>175</v>
      </c>
      <c r="U320">
        <v>11</v>
      </c>
      <c r="V320">
        <v>69</v>
      </c>
      <c r="W320">
        <v>43</v>
      </c>
      <c r="X320">
        <v>30</v>
      </c>
      <c r="Y320">
        <v>1.89</v>
      </c>
      <c r="Z320">
        <v>72.28</v>
      </c>
      <c r="AA320">
        <v>2066.67</v>
      </c>
      <c r="AB320">
        <v>1150.68</v>
      </c>
      <c r="AC320">
        <v>223.69</v>
      </c>
      <c r="AD320">
        <v>110</v>
      </c>
      <c r="AE320">
        <v>187.51</v>
      </c>
      <c r="AF320">
        <v>3738.55</v>
      </c>
      <c r="AG320">
        <v>1124.22</v>
      </c>
      <c r="AH320">
        <v>15.36</v>
      </c>
    </row>
    <row r="321" spans="1:34">
      <c r="A321" t="s">
        <v>805</v>
      </c>
      <c r="B321" t="s">
        <v>261</v>
      </c>
      <c r="C321" t="b">
        <v>0</v>
      </c>
      <c r="D321" t="b">
        <v>0</v>
      </c>
      <c r="E321" t="s">
        <v>1473</v>
      </c>
      <c r="F321" t="s">
        <v>1474</v>
      </c>
      <c r="G321" t="s">
        <v>81</v>
      </c>
      <c r="H321">
        <v>19.2</v>
      </c>
      <c r="I321">
        <v>21</v>
      </c>
      <c r="J321">
        <v>299</v>
      </c>
      <c r="K321">
        <v>9755.370000000001</v>
      </c>
      <c r="L321">
        <v>148.7</v>
      </c>
      <c r="M321">
        <v>36.52</v>
      </c>
      <c r="N321">
        <v>9570.15</v>
      </c>
      <c r="O321">
        <v>2694.55</v>
      </c>
      <c r="P321">
        <v>6875.6</v>
      </c>
      <c r="Q321">
        <v>75.01000000000001</v>
      </c>
      <c r="R321">
        <v>399.85</v>
      </c>
      <c r="S321">
        <v>574</v>
      </c>
      <c r="T321">
        <v>182</v>
      </c>
      <c r="U321">
        <v>7</v>
      </c>
      <c r="V321">
        <v>117</v>
      </c>
      <c r="W321">
        <v>46</v>
      </c>
      <c r="X321">
        <v>32.01</v>
      </c>
      <c r="Y321">
        <v>1.92</v>
      </c>
      <c r="Z321">
        <v>71.84</v>
      </c>
      <c r="AA321">
        <v>2066.67</v>
      </c>
      <c r="AB321">
        <v>1150.68</v>
      </c>
      <c r="AC321">
        <v>232.83</v>
      </c>
      <c r="AD321">
        <v>110</v>
      </c>
      <c r="AE321">
        <v>194.91</v>
      </c>
      <c r="AF321">
        <v>3755.09</v>
      </c>
      <c r="AG321">
        <v>2645.65</v>
      </c>
      <c r="AH321">
        <v>27.64</v>
      </c>
    </row>
    <row r="322" spans="1:34">
      <c r="A322" t="s">
        <v>806</v>
      </c>
      <c r="B322" t="s">
        <v>262</v>
      </c>
      <c r="C322" t="b">
        <v>1</v>
      </c>
      <c r="D322" t="b">
        <v>0</v>
      </c>
      <c r="E322" t="s">
        <v>1473</v>
      </c>
      <c r="F322" t="s">
        <v>1475</v>
      </c>
      <c r="G322" t="s">
        <v>81</v>
      </c>
      <c r="H322">
        <v>18.6</v>
      </c>
      <c r="I322">
        <v>22</v>
      </c>
      <c r="J322">
        <v>237</v>
      </c>
      <c r="K322">
        <v>9257.959999999999</v>
      </c>
      <c r="L322">
        <v>120.87</v>
      </c>
      <c r="M322">
        <v>18.26</v>
      </c>
      <c r="N322">
        <v>9118.83</v>
      </c>
      <c r="O322">
        <v>2557.7</v>
      </c>
      <c r="P322">
        <v>6561.13</v>
      </c>
      <c r="Q322">
        <v>80.72</v>
      </c>
      <c r="R322">
        <v>320.6</v>
      </c>
      <c r="S322">
        <v>554</v>
      </c>
      <c r="T322">
        <v>152</v>
      </c>
      <c r="U322">
        <v>11</v>
      </c>
      <c r="V322">
        <v>85</v>
      </c>
      <c r="W322">
        <v>33</v>
      </c>
      <c r="X322">
        <v>38.48</v>
      </c>
      <c r="Y322">
        <v>2.34</v>
      </c>
      <c r="Z322">
        <v>71.95</v>
      </c>
      <c r="AA322">
        <v>2066.67</v>
      </c>
      <c r="AB322">
        <v>1150.68</v>
      </c>
      <c r="AC322">
        <v>185.69</v>
      </c>
      <c r="AD322">
        <v>110</v>
      </c>
      <c r="AE322">
        <v>160.64</v>
      </c>
      <c r="AF322">
        <v>3673.68</v>
      </c>
      <c r="AG322">
        <v>2486.13</v>
      </c>
      <c r="AH322">
        <v>27.26</v>
      </c>
    </row>
    <row r="323" spans="1:34">
      <c r="A323" t="s">
        <v>807</v>
      </c>
      <c r="B323" t="s">
        <v>263</v>
      </c>
      <c r="C323" t="b">
        <v>1</v>
      </c>
      <c r="D323" t="b">
        <v>0</v>
      </c>
      <c r="E323" t="s">
        <v>1473</v>
      </c>
      <c r="F323" t="s">
        <v>1475</v>
      </c>
      <c r="G323" t="s">
        <v>81</v>
      </c>
      <c r="H323">
        <v>20.8</v>
      </c>
      <c r="I323">
        <v>23</v>
      </c>
      <c r="J323">
        <v>193</v>
      </c>
      <c r="K323">
        <v>6892.91</v>
      </c>
      <c r="L323">
        <v>201.74</v>
      </c>
      <c r="M323">
        <v>43.47</v>
      </c>
      <c r="N323">
        <v>6647.7</v>
      </c>
      <c r="O323">
        <v>1967.2</v>
      </c>
      <c r="P323">
        <v>4680.5</v>
      </c>
      <c r="Q323">
        <v>50.76</v>
      </c>
      <c r="R323">
        <v>261.33</v>
      </c>
      <c r="S323">
        <v>409</v>
      </c>
      <c r="T323">
        <v>114</v>
      </c>
      <c r="U323">
        <v>8</v>
      </c>
      <c r="V323">
        <v>79</v>
      </c>
      <c r="W323">
        <v>29</v>
      </c>
      <c r="X323">
        <v>34.44</v>
      </c>
      <c r="Y323">
        <v>2.12</v>
      </c>
      <c r="Z323">
        <v>70.41</v>
      </c>
      <c r="AA323">
        <v>2066.67</v>
      </c>
      <c r="AB323">
        <v>1150.68</v>
      </c>
      <c r="AC323">
        <v>213.49</v>
      </c>
      <c r="AD323">
        <v>110</v>
      </c>
      <c r="AE323">
        <v>219.97</v>
      </c>
      <c r="AF323">
        <v>3760.81</v>
      </c>
      <c r="AG323">
        <v>607.6</v>
      </c>
      <c r="AH323">
        <v>9.140000000000001</v>
      </c>
    </row>
    <row r="324" spans="1:34">
      <c r="A324" t="s">
        <v>411</v>
      </c>
      <c r="B324" t="s">
        <v>75</v>
      </c>
      <c r="C324" t="b">
        <v>0</v>
      </c>
      <c r="D324" t="b">
        <v>0</v>
      </c>
      <c r="E324" t="s">
        <v>1473</v>
      </c>
      <c r="F324" t="s">
        <v>1475</v>
      </c>
      <c r="G324" t="s">
        <v>81</v>
      </c>
      <c r="H324">
        <v>20.8</v>
      </c>
      <c r="I324">
        <v>24</v>
      </c>
      <c r="J324">
        <v>196</v>
      </c>
      <c r="K324">
        <v>5380.66</v>
      </c>
      <c r="L324">
        <v>170.42</v>
      </c>
      <c r="M324">
        <v>26.95</v>
      </c>
      <c r="N324">
        <v>5183.29</v>
      </c>
      <c r="O324">
        <v>1510.05</v>
      </c>
      <c r="P324">
        <v>3673.24</v>
      </c>
      <c r="Q324">
        <v>45.61</v>
      </c>
      <c r="R324">
        <v>126.25</v>
      </c>
      <c r="S324">
        <v>319</v>
      </c>
      <c r="T324">
        <v>118</v>
      </c>
      <c r="U324">
        <v>6</v>
      </c>
      <c r="V324">
        <v>78</v>
      </c>
      <c r="W324">
        <v>16</v>
      </c>
      <c r="X324">
        <v>26.45</v>
      </c>
      <c r="Y324">
        <v>1.63</v>
      </c>
      <c r="Z324">
        <v>70.87</v>
      </c>
      <c r="AA324">
        <v>2066.67</v>
      </c>
      <c r="AB324">
        <v>1150.68</v>
      </c>
      <c r="AC324">
        <v>196.04</v>
      </c>
      <c r="AD324">
        <v>110</v>
      </c>
      <c r="AE324">
        <v>202.18</v>
      </c>
      <c r="AF324">
        <v>3725.57</v>
      </c>
      <c r="AG324">
        <v>-224.19</v>
      </c>
      <c r="AH324">
        <v>-4.33</v>
      </c>
    </row>
    <row r="325" spans="1:34">
      <c r="A325" t="s">
        <v>808</v>
      </c>
      <c r="B325" t="s">
        <v>258</v>
      </c>
      <c r="C325" t="b">
        <v>0</v>
      </c>
      <c r="D325" t="b">
        <v>0</v>
      </c>
      <c r="E325" t="s">
        <v>1473</v>
      </c>
      <c r="F325" t="s">
        <v>1475</v>
      </c>
      <c r="G325" t="s">
        <v>81</v>
      </c>
      <c r="H325">
        <v>18.3</v>
      </c>
      <c r="I325">
        <v>25</v>
      </c>
      <c r="J325">
        <v>191</v>
      </c>
      <c r="K325">
        <v>5615.46</v>
      </c>
      <c r="L325">
        <v>171.3</v>
      </c>
      <c r="M325">
        <v>19.13</v>
      </c>
      <c r="N325">
        <v>5425.03</v>
      </c>
      <c r="O325">
        <v>1530.55</v>
      </c>
      <c r="P325">
        <v>3894.48</v>
      </c>
      <c r="Q325">
        <v>40.93</v>
      </c>
      <c r="R325">
        <v>258.07</v>
      </c>
      <c r="S325">
        <v>338</v>
      </c>
      <c r="T325">
        <v>117</v>
      </c>
      <c r="U325">
        <v>4</v>
      </c>
      <c r="V325">
        <v>74</v>
      </c>
      <c r="W325">
        <v>32</v>
      </c>
      <c r="X325">
        <v>28.4</v>
      </c>
      <c r="Y325">
        <v>1.77</v>
      </c>
      <c r="Z325">
        <v>71.79000000000001</v>
      </c>
      <c r="AA325">
        <v>2066.67</v>
      </c>
      <c r="AB325">
        <v>1150.68</v>
      </c>
      <c r="AC325">
        <v>199.08</v>
      </c>
      <c r="AD325">
        <v>110</v>
      </c>
      <c r="AE325">
        <v>173.52</v>
      </c>
      <c r="AF325">
        <v>3699.95</v>
      </c>
      <c r="AG325">
        <v>-104.47</v>
      </c>
      <c r="AH325">
        <v>-1.93</v>
      </c>
    </row>
    <row r="326" spans="1:34">
      <c r="A326" t="s">
        <v>809</v>
      </c>
      <c r="B326" t="s">
        <v>259</v>
      </c>
      <c r="C326" t="b">
        <v>0</v>
      </c>
      <c r="D326" t="b">
        <v>0</v>
      </c>
      <c r="E326" t="s">
        <v>1473</v>
      </c>
      <c r="F326" t="s">
        <v>1475</v>
      </c>
      <c r="G326" t="s">
        <v>81</v>
      </c>
      <c r="H326">
        <v>20.2</v>
      </c>
      <c r="I326">
        <v>26</v>
      </c>
      <c r="J326">
        <v>197</v>
      </c>
      <c r="K326">
        <v>5451.94</v>
      </c>
      <c r="L326">
        <v>92.17</v>
      </c>
      <c r="M326">
        <v>0</v>
      </c>
      <c r="N326">
        <v>5359.77</v>
      </c>
      <c r="O326">
        <v>1543.45</v>
      </c>
      <c r="P326">
        <v>3816.32</v>
      </c>
      <c r="Q326">
        <v>36.35</v>
      </c>
      <c r="R326">
        <v>268.4</v>
      </c>
      <c r="S326">
        <v>326</v>
      </c>
      <c r="T326">
        <v>127</v>
      </c>
      <c r="U326">
        <v>8</v>
      </c>
      <c r="V326">
        <v>70</v>
      </c>
      <c r="W326">
        <v>32</v>
      </c>
      <c r="X326">
        <v>27.21</v>
      </c>
      <c r="Y326">
        <v>1.65</v>
      </c>
      <c r="Z326">
        <v>71.2</v>
      </c>
      <c r="AA326">
        <v>2066.67</v>
      </c>
      <c r="AB326">
        <v>1150.68</v>
      </c>
      <c r="AC326">
        <v>206.05</v>
      </c>
      <c r="AD326">
        <v>110</v>
      </c>
      <c r="AE326">
        <v>206.66</v>
      </c>
      <c r="AF326">
        <v>3740.06</v>
      </c>
      <c r="AG326">
        <v>-228.49</v>
      </c>
      <c r="AH326">
        <v>-4.26</v>
      </c>
    </row>
    <row r="327" spans="1:34">
      <c r="A327" t="s">
        <v>810</v>
      </c>
      <c r="B327" t="s">
        <v>260</v>
      </c>
      <c r="C327" t="b">
        <v>0</v>
      </c>
      <c r="D327" t="b">
        <v>0</v>
      </c>
      <c r="E327" t="s">
        <v>1473</v>
      </c>
      <c r="F327" t="s">
        <v>1475</v>
      </c>
      <c r="G327" t="s">
        <v>304</v>
      </c>
      <c r="H327">
        <v>17.7</v>
      </c>
      <c r="I327">
        <v>27</v>
      </c>
      <c r="J327">
        <v>219</v>
      </c>
      <c r="K327">
        <v>6768.45</v>
      </c>
      <c r="L327">
        <v>1470.38</v>
      </c>
      <c r="M327">
        <v>41.74</v>
      </c>
      <c r="N327">
        <v>5256.33</v>
      </c>
      <c r="O327">
        <v>1924.3</v>
      </c>
      <c r="P327">
        <v>3332.03</v>
      </c>
      <c r="Q327">
        <v>38.19</v>
      </c>
      <c r="R327">
        <v>262.56</v>
      </c>
      <c r="S327">
        <v>408</v>
      </c>
      <c r="T327">
        <v>138</v>
      </c>
      <c r="U327">
        <v>21</v>
      </c>
      <c r="V327">
        <v>81</v>
      </c>
      <c r="W327">
        <v>36</v>
      </c>
      <c r="X327">
        <v>24</v>
      </c>
      <c r="Y327">
        <v>1.86</v>
      </c>
      <c r="Z327">
        <v>63.39</v>
      </c>
      <c r="AA327">
        <v>2416.67</v>
      </c>
      <c r="AB327">
        <v>1150.68</v>
      </c>
      <c r="AC327">
        <v>209.54</v>
      </c>
      <c r="AD327">
        <v>1310</v>
      </c>
      <c r="AE327">
        <v>160.74</v>
      </c>
      <c r="AF327">
        <v>5247.63</v>
      </c>
      <c r="AG327">
        <v>-2216.35</v>
      </c>
      <c r="AH327">
        <v>-42.17</v>
      </c>
    </row>
    <row r="328" spans="1:34">
      <c r="A328" t="s">
        <v>811</v>
      </c>
      <c r="B328" t="s">
        <v>261</v>
      </c>
      <c r="C328" t="b">
        <v>0</v>
      </c>
      <c r="D328" t="b">
        <v>0</v>
      </c>
      <c r="E328" t="s">
        <v>1473</v>
      </c>
      <c r="F328" t="s">
        <v>1475</v>
      </c>
      <c r="G328" t="s">
        <v>304</v>
      </c>
      <c r="H328">
        <v>18.4</v>
      </c>
      <c r="I328">
        <v>28</v>
      </c>
      <c r="J328">
        <v>355</v>
      </c>
      <c r="K328">
        <v>11881.51</v>
      </c>
      <c r="L328">
        <v>2613.18</v>
      </c>
      <c r="M328">
        <v>94.59999999999999</v>
      </c>
      <c r="N328">
        <v>9173.73</v>
      </c>
      <c r="O328">
        <v>3296.35</v>
      </c>
      <c r="P328">
        <v>5877.38</v>
      </c>
      <c r="Q328">
        <v>69.95</v>
      </c>
      <c r="R328">
        <v>331.61</v>
      </c>
      <c r="S328">
        <v>707</v>
      </c>
      <c r="T328">
        <v>230</v>
      </c>
      <c r="U328">
        <v>29</v>
      </c>
      <c r="V328">
        <v>125</v>
      </c>
      <c r="W328">
        <v>52</v>
      </c>
      <c r="X328">
        <v>25.84</v>
      </c>
      <c r="Y328">
        <v>1.99</v>
      </c>
      <c r="Z328">
        <v>64.06999999999999</v>
      </c>
      <c r="AA328">
        <v>2416.67</v>
      </c>
      <c r="AB328">
        <v>1150.68</v>
      </c>
      <c r="AC328">
        <v>185.99</v>
      </c>
      <c r="AD328">
        <v>1310</v>
      </c>
      <c r="AE328">
        <v>193.25</v>
      </c>
      <c r="AF328">
        <v>5256.59</v>
      </c>
      <c r="AG328">
        <v>219.23</v>
      </c>
      <c r="AH328">
        <v>2.39</v>
      </c>
    </row>
    <row r="329" spans="1:34">
      <c r="A329" t="s">
        <v>812</v>
      </c>
      <c r="B329" t="s">
        <v>262</v>
      </c>
      <c r="C329" t="b">
        <v>1</v>
      </c>
      <c r="D329" t="b">
        <v>0</v>
      </c>
      <c r="E329" t="s">
        <v>1473</v>
      </c>
      <c r="F329" t="s">
        <v>1475</v>
      </c>
      <c r="G329" t="s">
        <v>304</v>
      </c>
      <c r="H329">
        <v>18.4</v>
      </c>
      <c r="I329">
        <v>29</v>
      </c>
      <c r="J329">
        <v>273</v>
      </c>
      <c r="K329">
        <v>10817.91</v>
      </c>
      <c r="L329">
        <v>2323.42</v>
      </c>
      <c r="M329">
        <v>45.91</v>
      </c>
      <c r="N329">
        <v>8448.58</v>
      </c>
      <c r="O329">
        <v>2953.15</v>
      </c>
      <c r="P329">
        <v>5495.43</v>
      </c>
      <c r="Q329">
        <v>64.56</v>
      </c>
      <c r="R329">
        <v>412.53</v>
      </c>
      <c r="S329">
        <v>652</v>
      </c>
      <c r="T329">
        <v>182</v>
      </c>
      <c r="U329">
        <v>38</v>
      </c>
      <c r="V329">
        <v>91</v>
      </c>
      <c r="W329">
        <v>47</v>
      </c>
      <c r="X329">
        <v>30.95</v>
      </c>
      <c r="Y329">
        <v>2.39</v>
      </c>
      <c r="Z329">
        <v>65.05</v>
      </c>
      <c r="AA329">
        <v>2416.67</v>
      </c>
      <c r="AB329">
        <v>1150.68</v>
      </c>
      <c r="AC329">
        <v>220.64</v>
      </c>
      <c r="AD329">
        <v>1310</v>
      </c>
      <c r="AE329">
        <v>192.49</v>
      </c>
      <c r="AF329">
        <v>5290.48</v>
      </c>
      <c r="AG329">
        <v>-272.14</v>
      </c>
      <c r="AH329">
        <v>-3.22</v>
      </c>
    </row>
    <row r="330" spans="1:34">
      <c r="A330" t="s">
        <v>813</v>
      </c>
      <c r="B330" t="s">
        <v>263</v>
      </c>
      <c r="C330" t="b">
        <v>1</v>
      </c>
      <c r="D330" t="b">
        <v>0</v>
      </c>
      <c r="E330" t="s">
        <v>1473</v>
      </c>
      <c r="F330" t="s">
        <v>1475</v>
      </c>
      <c r="G330" t="s">
        <v>304</v>
      </c>
      <c r="H330">
        <v>20</v>
      </c>
      <c r="I330">
        <v>30</v>
      </c>
      <c r="J330">
        <v>259</v>
      </c>
      <c r="K330">
        <v>9889.32</v>
      </c>
      <c r="L330">
        <v>2192.66</v>
      </c>
      <c r="M330">
        <v>0</v>
      </c>
      <c r="N330">
        <v>7696.66</v>
      </c>
      <c r="O330">
        <v>2708.9</v>
      </c>
      <c r="P330">
        <v>4987.76</v>
      </c>
      <c r="Q330">
        <v>56.78</v>
      </c>
      <c r="R330">
        <v>285.1</v>
      </c>
      <c r="S330">
        <v>589</v>
      </c>
      <c r="T330">
        <v>176</v>
      </c>
      <c r="U330">
        <v>32</v>
      </c>
      <c r="V330">
        <v>83</v>
      </c>
      <c r="W330">
        <v>38</v>
      </c>
      <c r="X330">
        <v>29.72</v>
      </c>
      <c r="Y330">
        <v>2.27</v>
      </c>
      <c r="Z330">
        <v>64.8</v>
      </c>
      <c r="AA330">
        <v>2416.67</v>
      </c>
      <c r="AB330">
        <v>1150.68</v>
      </c>
      <c r="AC330">
        <v>197.43</v>
      </c>
      <c r="AD330">
        <v>1310</v>
      </c>
      <c r="AE330">
        <v>167.61</v>
      </c>
      <c r="AF330">
        <v>5242.39</v>
      </c>
      <c r="AG330">
        <v>-596.51</v>
      </c>
      <c r="AH330">
        <v>-7.75</v>
      </c>
    </row>
    <row r="331" spans="1:34">
      <c r="A331" t="s">
        <v>412</v>
      </c>
      <c r="B331" t="s">
        <v>75</v>
      </c>
      <c r="C331" t="b">
        <v>0</v>
      </c>
      <c r="D331" t="b">
        <v>0</v>
      </c>
      <c r="E331" t="s">
        <v>1473</v>
      </c>
      <c r="F331" t="s">
        <v>82</v>
      </c>
      <c r="G331" t="s">
        <v>304</v>
      </c>
      <c r="H331">
        <v>19.4</v>
      </c>
      <c r="I331">
        <v>31</v>
      </c>
      <c r="J331">
        <v>248</v>
      </c>
      <c r="K331">
        <v>7343.15</v>
      </c>
      <c r="L331">
        <v>1653.47</v>
      </c>
      <c r="M331">
        <v>29.91</v>
      </c>
      <c r="N331">
        <v>5659.77</v>
      </c>
      <c r="O331">
        <v>1985.85</v>
      </c>
      <c r="P331">
        <v>3673.92</v>
      </c>
      <c r="Q331">
        <v>46.2</v>
      </c>
      <c r="R331">
        <v>206.14</v>
      </c>
      <c r="S331">
        <v>445</v>
      </c>
      <c r="T331">
        <v>154</v>
      </c>
      <c r="U331">
        <v>16</v>
      </c>
      <c r="V331">
        <v>94</v>
      </c>
      <c r="W331">
        <v>32</v>
      </c>
      <c r="X331">
        <v>22.82</v>
      </c>
      <c r="Y331">
        <v>1.79</v>
      </c>
      <c r="Z331">
        <v>64.91</v>
      </c>
      <c r="AA331">
        <v>2416.67</v>
      </c>
      <c r="AB331">
        <v>1150.68</v>
      </c>
      <c r="AC331">
        <v>219.39</v>
      </c>
      <c r="AD331">
        <v>1310</v>
      </c>
      <c r="AE331">
        <v>175.01</v>
      </c>
      <c r="AF331">
        <v>5271.75</v>
      </c>
      <c r="AG331">
        <v>-1850.17</v>
      </c>
      <c r="AH331">
        <v>-32.69</v>
      </c>
    </row>
    <row r="332" spans="1:34">
      <c r="A332" t="s">
        <v>814</v>
      </c>
      <c r="B332" t="s">
        <v>258</v>
      </c>
      <c r="C332" t="b">
        <v>0</v>
      </c>
      <c r="D332" t="b">
        <v>0</v>
      </c>
      <c r="E332" t="s">
        <v>1473</v>
      </c>
      <c r="F332" t="s">
        <v>82</v>
      </c>
      <c r="G332" t="s">
        <v>1496</v>
      </c>
      <c r="H332">
        <v>17.1</v>
      </c>
      <c r="I332">
        <v>0</v>
      </c>
      <c r="J332">
        <v>281</v>
      </c>
      <c r="K332">
        <v>8907.42</v>
      </c>
      <c r="L332">
        <v>1948.27</v>
      </c>
      <c r="M332">
        <v>18.78</v>
      </c>
      <c r="N332">
        <v>6940.37</v>
      </c>
      <c r="O332">
        <v>2432.55</v>
      </c>
      <c r="P332">
        <v>4507.82</v>
      </c>
      <c r="Q332">
        <v>40.33</v>
      </c>
      <c r="R332">
        <v>631.64</v>
      </c>
      <c r="S332">
        <v>536</v>
      </c>
      <c r="T332">
        <v>206</v>
      </c>
      <c r="U332">
        <v>19</v>
      </c>
      <c r="V332">
        <v>75</v>
      </c>
      <c r="W332">
        <v>80</v>
      </c>
      <c r="X332">
        <v>24.7</v>
      </c>
      <c r="Y332">
        <v>1.91</v>
      </c>
      <c r="Z332">
        <v>64.95</v>
      </c>
      <c r="AA332">
        <v>2416.67</v>
      </c>
      <c r="AB332">
        <v>1150.68</v>
      </c>
      <c r="AC332">
        <v>205.54</v>
      </c>
      <c r="AD332">
        <v>1310</v>
      </c>
      <c r="AE332">
        <v>203.79</v>
      </c>
      <c r="AF332">
        <v>5286.68</v>
      </c>
      <c r="AG332">
        <v>-1450.83</v>
      </c>
      <c r="AH332">
        <v>-20.9</v>
      </c>
    </row>
    <row r="333" spans="1:34">
      <c r="A333" t="s">
        <v>815</v>
      </c>
      <c r="B333" t="s">
        <v>259</v>
      </c>
      <c r="C333" t="b">
        <v>0</v>
      </c>
      <c r="D333" t="b">
        <v>0</v>
      </c>
      <c r="E333" t="s">
        <v>1473</v>
      </c>
      <c r="F333" t="s">
        <v>82</v>
      </c>
      <c r="G333" t="s">
        <v>1497</v>
      </c>
      <c r="H333">
        <v>20.9</v>
      </c>
      <c r="I333">
        <v>1</v>
      </c>
      <c r="J333">
        <v>251</v>
      </c>
      <c r="K333">
        <v>7503.23</v>
      </c>
      <c r="L333">
        <v>168.68</v>
      </c>
      <c r="M333">
        <v>0</v>
      </c>
      <c r="N333">
        <v>7334.55</v>
      </c>
      <c r="O333">
        <v>2081.7</v>
      </c>
      <c r="P333">
        <v>5252.85</v>
      </c>
      <c r="Q333">
        <v>53.81</v>
      </c>
      <c r="R333">
        <v>307.61</v>
      </c>
      <c r="S333">
        <v>453</v>
      </c>
      <c r="T333">
        <v>149</v>
      </c>
      <c r="U333">
        <v>10</v>
      </c>
      <c r="V333">
        <v>102</v>
      </c>
      <c r="W333">
        <v>35</v>
      </c>
      <c r="X333">
        <v>29.22</v>
      </c>
      <c r="Y333">
        <v>1.8</v>
      </c>
      <c r="Z333">
        <v>71.62</v>
      </c>
      <c r="AA333">
        <v>2066.67</v>
      </c>
      <c r="AB333">
        <v>1150.68</v>
      </c>
      <c r="AC333">
        <v>223.24</v>
      </c>
      <c r="AD333">
        <v>110</v>
      </c>
      <c r="AE333">
        <v>201.47</v>
      </c>
      <c r="AF333">
        <v>3752.06</v>
      </c>
      <c r="AG333">
        <v>1139.37</v>
      </c>
      <c r="AH333">
        <v>15.53</v>
      </c>
    </row>
    <row r="334" spans="1:34">
      <c r="A334" t="s">
        <v>816</v>
      </c>
      <c r="B334" t="s">
        <v>260</v>
      </c>
      <c r="C334" t="b">
        <v>0</v>
      </c>
      <c r="D334" t="b">
        <v>0</v>
      </c>
      <c r="E334" t="s">
        <v>1473</v>
      </c>
      <c r="F334" t="s">
        <v>82</v>
      </c>
      <c r="G334" t="s">
        <v>1497</v>
      </c>
      <c r="H334">
        <v>19.9</v>
      </c>
      <c r="I334">
        <v>2</v>
      </c>
      <c r="J334">
        <v>219</v>
      </c>
      <c r="K334">
        <v>6424.91</v>
      </c>
      <c r="L334">
        <v>278.23</v>
      </c>
      <c r="M334">
        <v>0</v>
      </c>
      <c r="N334">
        <v>6146.68</v>
      </c>
      <c r="O334">
        <v>1740.45</v>
      </c>
      <c r="P334">
        <v>4406.23</v>
      </c>
      <c r="Q334">
        <v>51.6</v>
      </c>
      <c r="R334">
        <v>136.39</v>
      </c>
      <c r="S334">
        <v>379</v>
      </c>
      <c r="T334">
        <v>130</v>
      </c>
      <c r="U334">
        <v>7</v>
      </c>
      <c r="V334">
        <v>89</v>
      </c>
      <c r="W334">
        <v>19</v>
      </c>
      <c r="X334">
        <v>28.07</v>
      </c>
      <c r="Y334">
        <v>1.73</v>
      </c>
      <c r="Z334">
        <v>71.68000000000001</v>
      </c>
      <c r="AA334">
        <v>2066.67</v>
      </c>
      <c r="AB334">
        <v>1150.68</v>
      </c>
      <c r="AC334">
        <v>224.02</v>
      </c>
      <c r="AD334">
        <v>110</v>
      </c>
      <c r="AE334">
        <v>227.44</v>
      </c>
      <c r="AF334">
        <v>3778.81</v>
      </c>
      <c r="AG334">
        <v>439.43</v>
      </c>
      <c r="AH334">
        <v>7.15</v>
      </c>
    </row>
    <row r="335" spans="1:34">
      <c r="A335" t="s">
        <v>817</v>
      </c>
      <c r="B335" t="s">
        <v>261</v>
      </c>
      <c r="C335" t="b">
        <v>0</v>
      </c>
      <c r="D335" t="b">
        <v>0</v>
      </c>
      <c r="E335" t="s">
        <v>1473</v>
      </c>
      <c r="F335" t="s">
        <v>82</v>
      </c>
      <c r="G335" t="s">
        <v>1497</v>
      </c>
      <c r="H335">
        <v>21.1</v>
      </c>
      <c r="I335">
        <v>3</v>
      </c>
      <c r="J335">
        <v>293</v>
      </c>
      <c r="K335">
        <v>9262.280000000001</v>
      </c>
      <c r="L335">
        <v>209.54</v>
      </c>
      <c r="M335">
        <v>39.13</v>
      </c>
      <c r="N335">
        <v>9013.610000000001</v>
      </c>
      <c r="O335">
        <v>2585.9</v>
      </c>
      <c r="P335">
        <v>6427.71</v>
      </c>
      <c r="Q335">
        <v>69.31999999999999</v>
      </c>
      <c r="R335">
        <v>373.84</v>
      </c>
      <c r="S335">
        <v>544</v>
      </c>
      <c r="T335">
        <v>175</v>
      </c>
      <c r="U335">
        <v>8</v>
      </c>
      <c r="V335">
        <v>118</v>
      </c>
      <c r="W335">
        <v>39</v>
      </c>
      <c r="X335">
        <v>30.76</v>
      </c>
      <c r="Y335">
        <v>1.86</v>
      </c>
      <c r="Z335">
        <v>71.31</v>
      </c>
      <c r="AA335">
        <v>2066.67</v>
      </c>
      <c r="AB335">
        <v>1150.68</v>
      </c>
      <c r="AC335">
        <v>220.62</v>
      </c>
      <c r="AD335">
        <v>110</v>
      </c>
      <c r="AE335">
        <v>224.17</v>
      </c>
      <c r="AF335">
        <v>3772.14</v>
      </c>
      <c r="AG335">
        <v>2212.41</v>
      </c>
      <c r="AH335">
        <v>24.55</v>
      </c>
    </row>
    <row r="336" spans="1:34">
      <c r="A336" t="s">
        <v>818</v>
      </c>
      <c r="B336" t="s">
        <v>262</v>
      </c>
      <c r="C336" t="b">
        <v>1</v>
      </c>
      <c r="D336" t="b">
        <v>0</v>
      </c>
      <c r="E336" t="s">
        <v>80</v>
      </c>
      <c r="F336" t="s">
        <v>82</v>
      </c>
      <c r="G336" t="s">
        <v>1497</v>
      </c>
      <c r="H336">
        <v>21.4</v>
      </c>
      <c r="I336">
        <v>4</v>
      </c>
      <c r="J336">
        <v>239</v>
      </c>
      <c r="K336">
        <v>8533.66</v>
      </c>
      <c r="L336">
        <v>305.18</v>
      </c>
      <c r="M336">
        <v>19.13</v>
      </c>
      <c r="N336">
        <v>8209.35</v>
      </c>
      <c r="O336">
        <v>2464.2</v>
      </c>
      <c r="P336">
        <v>5745.15</v>
      </c>
      <c r="Q336">
        <v>65.40000000000001</v>
      </c>
      <c r="R336">
        <v>323.28</v>
      </c>
      <c r="S336">
        <v>500</v>
      </c>
      <c r="T336">
        <v>135</v>
      </c>
      <c r="U336">
        <v>5</v>
      </c>
      <c r="V336">
        <v>104</v>
      </c>
      <c r="W336">
        <v>40</v>
      </c>
      <c r="X336">
        <v>34.35</v>
      </c>
      <c r="Y336">
        <v>2.09</v>
      </c>
      <c r="Z336">
        <v>69.98</v>
      </c>
      <c r="AA336">
        <v>2000</v>
      </c>
      <c r="AB336">
        <v>1150.68</v>
      </c>
      <c r="AC336">
        <v>220.39</v>
      </c>
      <c r="AD336">
        <v>110</v>
      </c>
      <c r="AE336">
        <v>181.13</v>
      </c>
      <c r="AF336">
        <v>3662.2</v>
      </c>
      <c r="AG336">
        <v>1694.27</v>
      </c>
      <c r="AH336">
        <v>20.64</v>
      </c>
    </row>
    <row r="337" spans="1:34">
      <c r="A337" t="s">
        <v>819</v>
      </c>
      <c r="B337" t="s">
        <v>263</v>
      </c>
      <c r="C337" t="b">
        <v>1</v>
      </c>
      <c r="D337" t="b">
        <v>0</v>
      </c>
      <c r="E337" t="s">
        <v>80</v>
      </c>
      <c r="F337" t="s">
        <v>82</v>
      </c>
      <c r="G337" t="s">
        <v>305</v>
      </c>
      <c r="H337">
        <v>20.3</v>
      </c>
      <c r="I337">
        <v>5</v>
      </c>
      <c r="J337">
        <v>218</v>
      </c>
      <c r="K337">
        <v>8475.530000000001</v>
      </c>
      <c r="L337">
        <v>362.58</v>
      </c>
      <c r="M337">
        <v>0</v>
      </c>
      <c r="N337">
        <v>8112.95</v>
      </c>
      <c r="O337">
        <v>2508.6</v>
      </c>
      <c r="P337">
        <v>5604.35</v>
      </c>
      <c r="Q337">
        <v>66.34</v>
      </c>
      <c r="R337">
        <v>215.6</v>
      </c>
      <c r="S337">
        <v>490</v>
      </c>
      <c r="T337">
        <v>143</v>
      </c>
      <c r="U337">
        <v>10</v>
      </c>
      <c r="V337">
        <v>75</v>
      </c>
      <c r="W337">
        <v>28</v>
      </c>
      <c r="X337">
        <v>37.22</v>
      </c>
      <c r="Y337">
        <v>2.25</v>
      </c>
      <c r="Z337">
        <v>69.08</v>
      </c>
      <c r="AA337">
        <v>2000</v>
      </c>
      <c r="AB337">
        <v>1150.68</v>
      </c>
      <c r="AC337">
        <v>202.12</v>
      </c>
      <c r="AD337">
        <v>110</v>
      </c>
      <c r="AE337">
        <v>192.64</v>
      </c>
      <c r="AF337">
        <v>3655.44</v>
      </c>
      <c r="AG337">
        <v>1666.97</v>
      </c>
      <c r="AH337">
        <v>20.55</v>
      </c>
    </row>
    <row r="338" spans="1:34">
      <c r="A338" t="s">
        <v>413</v>
      </c>
      <c r="B338" t="s">
        <v>75</v>
      </c>
      <c r="C338" t="b">
        <v>0</v>
      </c>
      <c r="D338" t="b">
        <v>0</v>
      </c>
      <c r="E338" t="s">
        <v>80</v>
      </c>
      <c r="F338" t="s">
        <v>82</v>
      </c>
      <c r="G338" t="s">
        <v>305</v>
      </c>
      <c r="H338">
        <v>20.1</v>
      </c>
      <c r="I338">
        <v>6</v>
      </c>
      <c r="J338">
        <v>269</v>
      </c>
      <c r="K338">
        <v>8149.23</v>
      </c>
      <c r="L338">
        <v>237.37</v>
      </c>
      <c r="M338">
        <v>0</v>
      </c>
      <c r="N338">
        <v>7911.86</v>
      </c>
      <c r="O338">
        <v>2271.85</v>
      </c>
      <c r="P338">
        <v>5640.01</v>
      </c>
      <c r="Q338">
        <v>62.77</v>
      </c>
      <c r="R338">
        <v>296.14</v>
      </c>
      <c r="S338">
        <v>482</v>
      </c>
      <c r="T338">
        <v>177</v>
      </c>
      <c r="U338">
        <v>9</v>
      </c>
      <c r="V338">
        <v>92</v>
      </c>
      <c r="W338">
        <v>35</v>
      </c>
      <c r="X338">
        <v>29.41</v>
      </c>
      <c r="Y338">
        <v>1.79</v>
      </c>
      <c r="Z338">
        <v>71.29000000000001</v>
      </c>
      <c r="AA338">
        <v>2000</v>
      </c>
      <c r="AB338">
        <v>1150.68</v>
      </c>
      <c r="AC338">
        <v>229.33</v>
      </c>
      <c r="AD338">
        <v>110</v>
      </c>
      <c r="AE338">
        <v>198.8</v>
      </c>
      <c r="AF338">
        <v>3688.81</v>
      </c>
      <c r="AG338">
        <v>1592.29</v>
      </c>
      <c r="AH338">
        <v>20.13</v>
      </c>
    </row>
    <row r="339" spans="1:34">
      <c r="A339" t="s">
        <v>820</v>
      </c>
      <c r="B339" t="s">
        <v>258</v>
      </c>
      <c r="C339" t="b">
        <v>0</v>
      </c>
      <c r="D339" t="b">
        <v>0</v>
      </c>
      <c r="E339" t="s">
        <v>80</v>
      </c>
      <c r="F339" t="s">
        <v>82</v>
      </c>
      <c r="G339" t="s">
        <v>305</v>
      </c>
      <c r="H339">
        <v>17.3</v>
      </c>
      <c r="I339">
        <v>7</v>
      </c>
      <c r="J339">
        <v>232</v>
      </c>
      <c r="K339">
        <v>6670.25</v>
      </c>
      <c r="L339">
        <v>186.07</v>
      </c>
      <c r="M339">
        <v>13.91</v>
      </c>
      <c r="N339">
        <v>6470.27</v>
      </c>
      <c r="O339">
        <v>1874.25</v>
      </c>
      <c r="P339">
        <v>4596.02</v>
      </c>
      <c r="Q339">
        <v>52.96</v>
      </c>
      <c r="R339">
        <v>282</v>
      </c>
      <c r="S339">
        <v>400</v>
      </c>
      <c r="T339">
        <v>144</v>
      </c>
      <c r="U339">
        <v>8</v>
      </c>
      <c r="V339">
        <v>88</v>
      </c>
      <c r="W339">
        <v>35</v>
      </c>
      <c r="X339">
        <v>27.89</v>
      </c>
      <c r="Y339">
        <v>1.72</v>
      </c>
      <c r="Z339">
        <v>71.03</v>
      </c>
      <c r="AA339">
        <v>2000</v>
      </c>
      <c r="AB339">
        <v>1150.68</v>
      </c>
      <c r="AC339">
        <v>185.57</v>
      </c>
      <c r="AD339">
        <v>110</v>
      </c>
      <c r="AE339">
        <v>226.19</v>
      </c>
      <c r="AF339">
        <v>3672.44</v>
      </c>
      <c r="AG339">
        <v>588.62</v>
      </c>
      <c r="AH339">
        <v>9.1</v>
      </c>
    </row>
    <row r="340" spans="1:34">
      <c r="A340" t="s">
        <v>821</v>
      </c>
      <c r="B340" t="s">
        <v>259</v>
      </c>
      <c r="C340" t="b">
        <v>0</v>
      </c>
      <c r="D340" t="b">
        <v>0</v>
      </c>
      <c r="E340" t="s">
        <v>80</v>
      </c>
      <c r="F340" t="s">
        <v>82</v>
      </c>
      <c r="G340" t="s">
        <v>81</v>
      </c>
      <c r="H340">
        <v>18.6</v>
      </c>
      <c r="I340">
        <v>8</v>
      </c>
      <c r="J340">
        <v>215</v>
      </c>
      <c r="K340">
        <v>6333.71</v>
      </c>
      <c r="L340">
        <v>189.55</v>
      </c>
      <c r="M340">
        <v>0</v>
      </c>
      <c r="N340">
        <v>6144.16</v>
      </c>
      <c r="O340">
        <v>1815.65</v>
      </c>
      <c r="P340">
        <v>4328.51</v>
      </c>
      <c r="Q340">
        <v>47.66</v>
      </c>
      <c r="R340">
        <v>249.47</v>
      </c>
      <c r="S340">
        <v>382</v>
      </c>
      <c r="T340">
        <v>133</v>
      </c>
      <c r="U340">
        <v>7</v>
      </c>
      <c r="V340">
        <v>82</v>
      </c>
      <c r="W340">
        <v>27</v>
      </c>
      <c r="X340">
        <v>28.58</v>
      </c>
      <c r="Y340">
        <v>1.78</v>
      </c>
      <c r="Z340">
        <v>70.45</v>
      </c>
      <c r="AA340">
        <v>2000</v>
      </c>
      <c r="AB340">
        <v>1150.68</v>
      </c>
      <c r="AC340">
        <v>231.11</v>
      </c>
      <c r="AD340">
        <v>110</v>
      </c>
      <c r="AE340">
        <v>210.77</v>
      </c>
      <c r="AF340">
        <v>3702.56</v>
      </c>
      <c r="AG340">
        <v>328.82</v>
      </c>
      <c r="AH340">
        <v>5.35</v>
      </c>
    </row>
    <row r="341" spans="1:34">
      <c r="A341" t="s">
        <v>822</v>
      </c>
      <c r="B341" t="s">
        <v>260</v>
      </c>
      <c r="C341" t="b">
        <v>0</v>
      </c>
      <c r="D341" t="b">
        <v>0</v>
      </c>
      <c r="E341" t="s">
        <v>80</v>
      </c>
      <c r="F341" t="s">
        <v>82</v>
      </c>
      <c r="G341" t="s">
        <v>81</v>
      </c>
      <c r="H341">
        <v>16.2</v>
      </c>
      <c r="I341">
        <v>9</v>
      </c>
      <c r="J341">
        <v>249</v>
      </c>
      <c r="K341">
        <v>7200.67</v>
      </c>
      <c r="L341">
        <v>194.76</v>
      </c>
      <c r="M341">
        <v>16.52</v>
      </c>
      <c r="N341">
        <v>6989.39</v>
      </c>
      <c r="O341">
        <v>1989.25</v>
      </c>
      <c r="P341">
        <v>5000.14</v>
      </c>
      <c r="Q341">
        <v>54.6</v>
      </c>
      <c r="R341">
        <v>170.26</v>
      </c>
      <c r="S341">
        <v>426</v>
      </c>
      <c r="T341">
        <v>154</v>
      </c>
      <c r="U341">
        <v>6</v>
      </c>
      <c r="V341">
        <v>95</v>
      </c>
      <c r="W341">
        <v>21</v>
      </c>
      <c r="X341">
        <v>28.07</v>
      </c>
      <c r="Y341">
        <v>1.71</v>
      </c>
      <c r="Z341">
        <v>71.54000000000001</v>
      </c>
      <c r="AA341">
        <v>2000</v>
      </c>
      <c r="AB341">
        <v>1150.68</v>
      </c>
      <c r="AC341">
        <v>220.46</v>
      </c>
      <c r="AD341">
        <v>110</v>
      </c>
      <c r="AE341">
        <v>197.18</v>
      </c>
      <c r="AF341">
        <v>3678.32</v>
      </c>
      <c r="AG341">
        <v>1096.96</v>
      </c>
      <c r="AH341">
        <v>15.69</v>
      </c>
    </row>
    <row r="342" spans="1:34">
      <c r="A342" t="s">
        <v>823</v>
      </c>
      <c r="B342" t="s">
        <v>261</v>
      </c>
      <c r="C342" t="b">
        <v>0</v>
      </c>
      <c r="D342" t="b">
        <v>0</v>
      </c>
      <c r="E342" t="s">
        <v>80</v>
      </c>
      <c r="F342" t="s">
        <v>82</v>
      </c>
      <c r="G342" t="s">
        <v>81</v>
      </c>
      <c r="H342">
        <v>15.1</v>
      </c>
      <c r="I342">
        <v>10</v>
      </c>
      <c r="J342">
        <v>281</v>
      </c>
      <c r="K342">
        <v>8804.07</v>
      </c>
      <c r="L342">
        <v>292.14</v>
      </c>
      <c r="M342">
        <v>58.26</v>
      </c>
      <c r="N342">
        <v>8453.67</v>
      </c>
      <c r="O342">
        <v>2426.3</v>
      </c>
      <c r="P342">
        <v>6027.37</v>
      </c>
      <c r="Q342">
        <v>75.61</v>
      </c>
      <c r="R342">
        <v>179.46</v>
      </c>
      <c r="S342">
        <v>518</v>
      </c>
      <c r="T342">
        <v>163</v>
      </c>
      <c r="U342">
        <v>10</v>
      </c>
      <c r="V342">
        <v>118</v>
      </c>
      <c r="W342">
        <v>26</v>
      </c>
      <c r="X342">
        <v>30.08</v>
      </c>
      <c r="Y342">
        <v>1.84</v>
      </c>
      <c r="Z342">
        <v>71.3</v>
      </c>
      <c r="AA342">
        <v>2000</v>
      </c>
      <c r="AB342">
        <v>1150.68</v>
      </c>
      <c r="AC342">
        <v>250.05</v>
      </c>
      <c r="AD342">
        <v>110</v>
      </c>
      <c r="AE342">
        <v>187</v>
      </c>
      <c r="AF342">
        <v>3697.73</v>
      </c>
      <c r="AG342">
        <v>2074.57</v>
      </c>
      <c r="AH342">
        <v>24.54</v>
      </c>
    </row>
    <row r="343" spans="1:34">
      <c r="A343" t="s">
        <v>824</v>
      </c>
      <c r="B343" t="s">
        <v>262</v>
      </c>
      <c r="C343" t="b">
        <v>1</v>
      </c>
      <c r="D343" t="b">
        <v>0</v>
      </c>
      <c r="E343" t="s">
        <v>80</v>
      </c>
      <c r="F343" t="s">
        <v>82</v>
      </c>
      <c r="G343" t="s">
        <v>81</v>
      </c>
      <c r="H343">
        <v>15.9</v>
      </c>
      <c r="I343">
        <v>11</v>
      </c>
      <c r="J343">
        <v>207</v>
      </c>
      <c r="K343">
        <v>8117.21</v>
      </c>
      <c r="L343">
        <v>166.08</v>
      </c>
      <c r="M343">
        <v>9.57</v>
      </c>
      <c r="N343">
        <v>7941.56</v>
      </c>
      <c r="O343">
        <v>2326.3</v>
      </c>
      <c r="P343">
        <v>5615.26</v>
      </c>
      <c r="Q343">
        <v>56.59</v>
      </c>
      <c r="R343">
        <v>338.74</v>
      </c>
      <c r="S343">
        <v>482</v>
      </c>
      <c r="T343">
        <v>129</v>
      </c>
      <c r="U343">
        <v>9</v>
      </c>
      <c r="V343">
        <v>78</v>
      </c>
      <c r="W343">
        <v>38</v>
      </c>
      <c r="X343">
        <v>38.37</v>
      </c>
      <c r="Y343">
        <v>2.33</v>
      </c>
      <c r="Z343">
        <v>70.70999999999999</v>
      </c>
      <c r="AA343">
        <v>2000</v>
      </c>
      <c r="AB343">
        <v>1150.68</v>
      </c>
      <c r="AC343">
        <v>207.75</v>
      </c>
      <c r="AD343">
        <v>110</v>
      </c>
      <c r="AE343">
        <v>158.05</v>
      </c>
      <c r="AF343">
        <v>3626.48</v>
      </c>
      <c r="AG343">
        <v>1593.45</v>
      </c>
      <c r="AH343">
        <v>20.06</v>
      </c>
    </row>
    <row r="344" spans="1:34">
      <c r="A344" t="s">
        <v>825</v>
      </c>
      <c r="B344" t="s">
        <v>263</v>
      </c>
      <c r="C344" t="b">
        <v>1</v>
      </c>
      <c r="D344" t="b">
        <v>0</v>
      </c>
      <c r="E344" t="s">
        <v>80</v>
      </c>
      <c r="F344" t="s">
        <v>82</v>
      </c>
      <c r="G344" t="s">
        <v>81</v>
      </c>
      <c r="H344">
        <v>14.9</v>
      </c>
      <c r="I344">
        <v>12</v>
      </c>
      <c r="J344">
        <v>231</v>
      </c>
      <c r="K344">
        <v>8578.950000000001</v>
      </c>
      <c r="L344">
        <v>199.11</v>
      </c>
      <c r="M344">
        <v>22.61</v>
      </c>
      <c r="N344">
        <v>8357.23</v>
      </c>
      <c r="O344">
        <v>2447.5</v>
      </c>
      <c r="P344">
        <v>5909.73</v>
      </c>
      <c r="Q344">
        <v>74.12</v>
      </c>
      <c r="R344">
        <v>198.54</v>
      </c>
      <c r="S344">
        <v>504</v>
      </c>
      <c r="T344">
        <v>134</v>
      </c>
      <c r="U344">
        <v>6</v>
      </c>
      <c r="V344">
        <v>97</v>
      </c>
      <c r="W344">
        <v>26</v>
      </c>
      <c r="X344">
        <v>36.18</v>
      </c>
      <c r="Y344">
        <v>2.18</v>
      </c>
      <c r="Z344">
        <v>70.70999999999999</v>
      </c>
      <c r="AA344">
        <v>2000</v>
      </c>
      <c r="AB344">
        <v>1150.68</v>
      </c>
      <c r="AC344">
        <v>223.83</v>
      </c>
      <c r="AD344">
        <v>110</v>
      </c>
      <c r="AE344">
        <v>174.59</v>
      </c>
      <c r="AF344">
        <v>3659.1</v>
      </c>
      <c r="AG344">
        <v>1977.97</v>
      </c>
      <c r="AH344">
        <v>23.67</v>
      </c>
    </row>
    <row r="345" spans="1:34">
      <c r="A345" t="s">
        <v>414</v>
      </c>
      <c r="B345" t="s">
        <v>75</v>
      </c>
      <c r="C345" t="b">
        <v>0</v>
      </c>
      <c r="D345" t="b">
        <v>0</v>
      </c>
      <c r="E345" t="s">
        <v>80</v>
      </c>
      <c r="F345" t="s">
        <v>82</v>
      </c>
      <c r="G345" t="s">
        <v>81</v>
      </c>
      <c r="H345">
        <v>15.8</v>
      </c>
      <c r="I345">
        <v>13</v>
      </c>
      <c r="J345">
        <v>240</v>
      </c>
      <c r="K345">
        <v>6462.33</v>
      </c>
      <c r="L345">
        <v>170.42</v>
      </c>
      <c r="M345">
        <v>40</v>
      </c>
      <c r="N345">
        <v>6251.91</v>
      </c>
      <c r="O345">
        <v>1822.95</v>
      </c>
      <c r="P345">
        <v>4428.96</v>
      </c>
      <c r="Q345">
        <v>45.32</v>
      </c>
      <c r="R345">
        <v>243.37</v>
      </c>
      <c r="S345">
        <v>391</v>
      </c>
      <c r="T345">
        <v>158</v>
      </c>
      <c r="U345">
        <v>10</v>
      </c>
      <c r="V345">
        <v>82</v>
      </c>
      <c r="W345">
        <v>31</v>
      </c>
      <c r="X345">
        <v>26.05</v>
      </c>
      <c r="Y345">
        <v>1.63</v>
      </c>
      <c r="Z345">
        <v>70.84</v>
      </c>
      <c r="AA345">
        <v>2000</v>
      </c>
      <c r="AB345">
        <v>1150.68</v>
      </c>
      <c r="AC345">
        <v>205.53</v>
      </c>
      <c r="AD345">
        <v>110</v>
      </c>
      <c r="AE345">
        <v>207.16</v>
      </c>
      <c r="AF345">
        <v>3673.37</v>
      </c>
      <c r="AG345">
        <v>466.9</v>
      </c>
      <c r="AH345">
        <v>7.47</v>
      </c>
    </row>
    <row r="346" spans="1:34">
      <c r="A346" t="s">
        <v>826</v>
      </c>
      <c r="B346" t="s">
        <v>258</v>
      </c>
      <c r="C346" t="b">
        <v>0</v>
      </c>
      <c r="D346" t="b">
        <v>0</v>
      </c>
      <c r="E346" t="s">
        <v>80</v>
      </c>
      <c r="F346" t="s">
        <v>82</v>
      </c>
      <c r="G346" t="s">
        <v>81</v>
      </c>
      <c r="H346">
        <v>17.1</v>
      </c>
      <c r="I346">
        <v>14</v>
      </c>
      <c r="J346">
        <v>247</v>
      </c>
      <c r="K346">
        <v>7525.87</v>
      </c>
      <c r="L346">
        <v>290.68</v>
      </c>
      <c r="M346">
        <v>17.39</v>
      </c>
      <c r="N346">
        <v>7217.8</v>
      </c>
      <c r="O346">
        <v>2139.7</v>
      </c>
      <c r="P346">
        <v>5078.1</v>
      </c>
      <c r="Q346">
        <v>49.57</v>
      </c>
      <c r="R346">
        <v>251.94</v>
      </c>
      <c r="S346">
        <v>456</v>
      </c>
      <c r="T346">
        <v>164</v>
      </c>
      <c r="U346">
        <v>5</v>
      </c>
      <c r="V346">
        <v>83</v>
      </c>
      <c r="W346">
        <v>30</v>
      </c>
      <c r="X346">
        <v>29.22</v>
      </c>
      <c r="Y346">
        <v>1.85</v>
      </c>
      <c r="Z346">
        <v>70.36</v>
      </c>
      <c r="AA346">
        <v>2000</v>
      </c>
      <c r="AB346">
        <v>1150.68</v>
      </c>
      <c r="AC346">
        <v>190.34</v>
      </c>
      <c r="AD346">
        <v>110</v>
      </c>
      <c r="AE346">
        <v>166.28</v>
      </c>
      <c r="AF346">
        <v>3617.3</v>
      </c>
      <c r="AG346">
        <v>1159.29</v>
      </c>
      <c r="AH346">
        <v>16.06</v>
      </c>
    </row>
    <row r="347" spans="1:34">
      <c r="A347" t="s">
        <v>827</v>
      </c>
      <c r="B347" t="s">
        <v>259</v>
      </c>
      <c r="C347" t="b">
        <v>0</v>
      </c>
      <c r="D347" t="b">
        <v>0</v>
      </c>
      <c r="E347" t="s">
        <v>80</v>
      </c>
      <c r="F347" t="s">
        <v>82</v>
      </c>
      <c r="G347" t="s">
        <v>81</v>
      </c>
      <c r="H347">
        <v>15.9</v>
      </c>
      <c r="I347">
        <v>15</v>
      </c>
      <c r="J347">
        <v>253</v>
      </c>
      <c r="K347">
        <v>7155.45</v>
      </c>
      <c r="L347">
        <v>183.46</v>
      </c>
      <c r="M347">
        <v>28.69</v>
      </c>
      <c r="N347">
        <v>6943.3</v>
      </c>
      <c r="O347">
        <v>1977.35</v>
      </c>
      <c r="P347">
        <v>4965.95</v>
      </c>
      <c r="Q347">
        <v>51.95</v>
      </c>
      <c r="R347">
        <v>277.75</v>
      </c>
      <c r="S347">
        <v>431</v>
      </c>
      <c r="T347">
        <v>169</v>
      </c>
      <c r="U347">
        <v>7</v>
      </c>
      <c r="V347">
        <v>84</v>
      </c>
      <c r="W347">
        <v>30</v>
      </c>
      <c r="X347">
        <v>27.44</v>
      </c>
      <c r="Y347">
        <v>1.7</v>
      </c>
      <c r="Z347">
        <v>71.52</v>
      </c>
      <c r="AA347">
        <v>2000</v>
      </c>
      <c r="AB347">
        <v>1150.68</v>
      </c>
      <c r="AC347">
        <v>223.5</v>
      </c>
      <c r="AD347">
        <v>110</v>
      </c>
      <c r="AE347">
        <v>165.14</v>
      </c>
      <c r="AF347">
        <v>3649.32</v>
      </c>
      <c r="AG347">
        <v>986.9299999999999</v>
      </c>
      <c r="AH347">
        <v>14.21</v>
      </c>
    </row>
    <row r="348" spans="1:34">
      <c r="A348" t="s">
        <v>828</v>
      </c>
      <c r="B348" t="s">
        <v>260</v>
      </c>
      <c r="C348" t="b">
        <v>0</v>
      </c>
      <c r="D348" t="b">
        <v>0</v>
      </c>
      <c r="E348" t="s">
        <v>80</v>
      </c>
      <c r="F348" t="s">
        <v>82</v>
      </c>
      <c r="G348" t="s">
        <v>81</v>
      </c>
      <c r="H348">
        <v>16.1</v>
      </c>
      <c r="I348">
        <v>16</v>
      </c>
      <c r="J348">
        <v>271</v>
      </c>
      <c r="K348">
        <v>8308.41</v>
      </c>
      <c r="L348">
        <v>204.34</v>
      </c>
      <c r="M348">
        <v>60.87</v>
      </c>
      <c r="N348">
        <v>8043.2</v>
      </c>
      <c r="O348">
        <v>2348.9</v>
      </c>
      <c r="P348">
        <v>5694.3</v>
      </c>
      <c r="Q348">
        <v>66.98</v>
      </c>
      <c r="R348">
        <v>188.59</v>
      </c>
      <c r="S348">
        <v>492</v>
      </c>
      <c r="T348">
        <v>178</v>
      </c>
      <c r="U348">
        <v>10</v>
      </c>
      <c r="V348">
        <v>93</v>
      </c>
      <c r="W348">
        <v>25</v>
      </c>
      <c r="X348">
        <v>29.68</v>
      </c>
      <c r="Y348">
        <v>1.82</v>
      </c>
      <c r="Z348">
        <v>70.8</v>
      </c>
      <c r="AA348">
        <v>2000</v>
      </c>
      <c r="AB348">
        <v>1150.68</v>
      </c>
      <c r="AC348">
        <v>219.8</v>
      </c>
      <c r="AD348">
        <v>110</v>
      </c>
      <c r="AE348">
        <v>160.16</v>
      </c>
      <c r="AF348">
        <v>3640.64</v>
      </c>
      <c r="AG348">
        <v>1798.09</v>
      </c>
      <c r="AH348">
        <v>22.36</v>
      </c>
    </row>
    <row r="349" spans="1:34">
      <c r="A349" t="s">
        <v>829</v>
      </c>
      <c r="B349" t="s">
        <v>261</v>
      </c>
      <c r="C349" t="b">
        <v>0</v>
      </c>
      <c r="D349" t="b">
        <v>0</v>
      </c>
      <c r="E349" t="s">
        <v>80</v>
      </c>
      <c r="F349" t="s">
        <v>82</v>
      </c>
      <c r="G349" t="s">
        <v>81</v>
      </c>
      <c r="H349">
        <v>15.5</v>
      </c>
      <c r="I349">
        <v>17</v>
      </c>
      <c r="J349">
        <v>359</v>
      </c>
      <c r="K349">
        <v>10650.9</v>
      </c>
      <c r="L349">
        <v>333.03</v>
      </c>
      <c r="M349">
        <v>51.3</v>
      </c>
      <c r="N349">
        <v>10266.57</v>
      </c>
      <c r="O349">
        <v>2987.45</v>
      </c>
      <c r="P349">
        <v>7279.12</v>
      </c>
      <c r="Q349">
        <v>89.44</v>
      </c>
      <c r="R349">
        <v>261.36</v>
      </c>
      <c r="S349">
        <v>629</v>
      </c>
      <c r="T349">
        <v>232</v>
      </c>
      <c r="U349">
        <v>24</v>
      </c>
      <c r="V349">
        <v>127</v>
      </c>
      <c r="W349">
        <v>30</v>
      </c>
      <c r="X349">
        <v>28.6</v>
      </c>
      <c r="Y349">
        <v>1.75</v>
      </c>
      <c r="Z349">
        <v>70.90000000000001</v>
      </c>
      <c r="AA349">
        <v>2000</v>
      </c>
      <c r="AB349">
        <v>1150.68</v>
      </c>
      <c r="AC349">
        <v>216.76</v>
      </c>
      <c r="AD349">
        <v>110</v>
      </c>
      <c r="AE349">
        <v>177.75</v>
      </c>
      <c r="AF349">
        <v>3655.19</v>
      </c>
      <c r="AG349">
        <v>3273.13</v>
      </c>
      <c r="AH349">
        <v>31.88</v>
      </c>
    </row>
    <row r="350" spans="1:34">
      <c r="A350" t="s">
        <v>830</v>
      </c>
      <c r="B350" t="s">
        <v>262</v>
      </c>
      <c r="C350" t="b">
        <v>1</v>
      </c>
      <c r="D350" t="b">
        <v>0</v>
      </c>
      <c r="E350" t="s">
        <v>80</v>
      </c>
      <c r="F350" t="s">
        <v>82</v>
      </c>
      <c r="G350" t="s">
        <v>81</v>
      </c>
      <c r="H350">
        <v>15.2</v>
      </c>
      <c r="I350">
        <v>18</v>
      </c>
      <c r="J350">
        <v>214</v>
      </c>
      <c r="K350">
        <v>7701.63</v>
      </c>
      <c r="L350">
        <v>233.05</v>
      </c>
      <c r="M350">
        <v>0</v>
      </c>
      <c r="N350">
        <v>7468.58</v>
      </c>
      <c r="O350">
        <v>2150.75</v>
      </c>
      <c r="P350">
        <v>5317.83</v>
      </c>
      <c r="Q350">
        <v>63.88</v>
      </c>
      <c r="R350">
        <v>226.14</v>
      </c>
      <c r="S350">
        <v>468</v>
      </c>
      <c r="T350">
        <v>139</v>
      </c>
      <c r="U350">
        <v>14</v>
      </c>
      <c r="V350">
        <v>75</v>
      </c>
      <c r="W350">
        <v>26</v>
      </c>
      <c r="X350">
        <v>34.9</v>
      </c>
      <c r="Y350">
        <v>2.19</v>
      </c>
      <c r="Z350">
        <v>71.2</v>
      </c>
      <c r="AA350">
        <v>2000</v>
      </c>
      <c r="AB350">
        <v>1150.68</v>
      </c>
      <c r="AC350">
        <v>203.96</v>
      </c>
      <c r="AD350">
        <v>110</v>
      </c>
      <c r="AE350">
        <v>172.06</v>
      </c>
      <c r="AF350">
        <v>3636.7</v>
      </c>
      <c r="AG350">
        <v>1391.11</v>
      </c>
      <c r="AH350">
        <v>18.63</v>
      </c>
    </row>
    <row r="351" spans="1:34">
      <c r="A351" t="s">
        <v>831</v>
      </c>
      <c r="B351" t="s">
        <v>263</v>
      </c>
      <c r="C351" t="b">
        <v>1</v>
      </c>
      <c r="D351" t="b">
        <v>0</v>
      </c>
      <c r="E351" t="s">
        <v>80</v>
      </c>
      <c r="F351" t="s">
        <v>82</v>
      </c>
      <c r="G351" t="s">
        <v>81</v>
      </c>
      <c r="H351">
        <v>15.8</v>
      </c>
      <c r="I351">
        <v>19</v>
      </c>
      <c r="J351">
        <v>217</v>
      </c>
      <c r="K351">
        <v>8975.450000000001</v>
      </c>
      <c r="L351">
        <v>167.82</v>
      </c>
      <c r="M351">
        <v>0</v>
      </c>
      <c r="N351">
        <v>8807.629999999999</v>
      </c>
      <c r="O351">
        <v>2593.5</v>
      </c>
      <c r="P351">
        <v>6214.13</v>
      </c>
      <c r="Q351">
        <v>68.58</v>
      </c>
      <c r="R351">
        <v>365.92</v>
      </c>
      <c r="S351">
        <v>534</v>
      </c>
      <c r="T351">
        <v>129</v>
      </c>
      <c r="U351">
        <v>8</v>
      </c>
      <c r="V351">
        <v>88</v>
      </c>
      <c r="W351">
        <v>34</v>
      </c>
      <c r="X351">
        <v>40.59</v>
      </c>
      <c r="Y351">
        <v>2.46</v>
      </c>
      <c r="Z351">
        <v>70.55</v>
      </c>
      <c r="AA351">
        <v>2000</v>
      </c>
      <c r="AB351">
        <v>1150.68</v>
      </c>
      <c r="AC351">
        <v>222.44</v>
      </c>
      <c r="AD351">
        <v>110</v>
      </c>
      <c r="AE351">
        <v>196.84</v>
      </c>
      <c r="AF351">
        <v>3679.96</v>
      </c>
      <c r="AG351">
        <v>2099.67</v>
      </c>
      <c r="AH351">
        <v>23.84</v>
      </c>
    </row>
    <row r="352" spans="1:34">
      <c r="A352" t="s">
        <v>415</v>
      </c>
      <c r="B352" t="s">
        <v>75</v>
      </c>
      <c r="C352" t="b">
        <v>0</v>
      </c>
      <c r="D352" t="b">
        <v>0</v>
      </c>
      <c r="E352" t="s">
        <v>80</v>
      </c>
      <c r="F352" t="s">
        <v>82</v>
      </c>
      <c r="G352" t="s">
        <v>81</v>
      </c>
      <c r="H352">
        <v>14.3</v>
      </c>
      <c r="I352">
        <v>20</v>
      </c>
      <c r="J352">
        <v>220</v>
      </c>
      <c r="K352">
        <v>6416.39</v>
      </c>
      <c r="L352">
        <v>198.26</v>
      </c>
      <c r="M352">
        <v>9.57</v>
      </c>
      <c r="N352">
        <v>6208.56</v>
      </c>
      <c r="O352">
        <v>1868.4</v>
      </c>
      <c r="P352">
        <v>4340.16</v>
      </c>
      <c r="Q352">
        <v>45.97</v>
      </c>
      <c r="R352">
        <v>238.38</v>
      </c>
      <c r="S352">
        <v>378</v>
      </c>
      <c r="T352">
        <v>139</v>
      </c>
      <c r="U352">
        <v>7</v>
      </c>
      <c r="V352">
        <v>81</v>
      </c>
      <c r="W352">
        <v>27</v>
      </c>
      <c r="X352">
        <v>28.22</v>
      </c>
      <c r="Y352">
        <v>1.72</v>
      </c>
      <c r="Z352">
        <v>69.91</v>
      </c>
      <c r="AA352">
        <v>2000</v>
      </c>
      <c r="AB352">
        <v>1150.68</v>
      </c>
      <c r="AC352">
        <v>234.45</v>
      </c>
      <c r="AD352">
        <v>110</v>
      </c>
      <c r="AE352">
        <v>181.32</v>
      </c>
      <c r="AF352">
        <v>3676.45</v>
      </c>
      <c r="AG352">
        <v>379.36</v>
      </c>
      <c r="AH352">
        <v>6.11</v>
      </c>
    </row>
    <row r="353" spans="1:34">
      <c r="A353" t="s">
        <v>832</v>
      </c>
      <c r="B353" t="s">
        <v>258</v>
      </c>
      <c r="C353" t="b">
        <v>0</v>
      </c>
      <c r="D353" t="b">
        <v>0</v>
      </c>
      <c r="E353" t="s">
        <v>80</v>
      </c>
      <c r="F353" t="s">
        <v>82</v>
      </c>
      <c r="G353" t="s">
        <v>81</v>
      </c>
      <c r="H353">
        <v>12</v>
      </c>
      <c r="I353">
        <v>21</v>
      </c>
      <c r="J353">
        <v>204</v>
      </c>
      <c r="K353">
        <v>5933.71</v>
      </c>
      <c r="L353">
        <v>133.9</v>
      </c>
      <c r="M353">
        <v>19.13</v>
      </c>
      <c r="N353">
        <v>5780.68</v>
      </c>
      <c r="O353">
        <v>1726.7</v>
      </c>
      <c r="P353">
        <v>4053.98</v>
      </c>
      <c r="Q353">
        <v>44.94</v>
      </c>
      <c r="R353">
        <v>236.83</v>
      </c>
      <c r="S353">
        <v>349</v>
      </c>
      <c r="T353">
        <v>123</v>
      </c>
      <c r="U353">
        <v>8</v>
      </c>
      <c r="V353">
        <v>81</v>
      </c>
      <c r="W353">
        <v>27</v>
      </c>
      <c r="X353">
        <v>28.34</v>
      </c>
      <c r="Y353">
        <v>1.71</v>
      </c>
      <c r="Z353">
        <v>70.13</v>
      </c>
      <c r="AA353">
        <v>2000</v>
      </c>
      <c r="AB353">
        <v>1150.68</v>
      </c>
      <c r="AC353">
        <v>204.16</v>
      </c>
      <c r="AD353">
        <v>110</v>
      </c>
      <c r="AE353">
        <v>186.78</v>
      </c>
      <c r="AF353">
        <v>3651.62</v>
      </c>
      <c r="AG353">
        <v>120.59</v>
      </c>
      <c r="AH353">
        <v>2.09</v>
      </c>
    </row>
    <row r="354" spans="1:34">
      <c r="A354" t="s">
        <v>833</v>
      </c>
      <c r="B354" t="s">
        <v>259</v>
      </c>
      <c r="C354" t="b">
        <v>0</v>
      </c>
      <c r="D354" t="b">
        <v>0</v>
      </c>
      <c r="E354" t="s">
        <v>80</v>
      </c>
      <c r="F354" t="s">
        <v>82</v>
      </c>
      <c r="G354" t="s">
        <v>81</v>
      </c>
      <c r="H354">
        <v>11.8</v>
      </c>
      <c r="I354">
        <v>22</v>
      </c>
      <c r="J354">
        <v>248</v>
      </c>
      <c r="K354">
        <v>6995.36</v>
      </c>
      <c r="L354">
        <v>228.67</v>
      </c>
      <c r="M354">
        <v>0</v>
      </c>
      <c r="N354">
        <v>6766.69</v>
      </c>
      <c r="O354">
        <v>1937.15</v>
      </c>
      <c r="P354">
        <v>4829.54</v>
      </c>
      <c r="Q354">
        <v>54.23</v>
      </c>
      <c r="R354">
        <v>171.95</v>
      </c>
      <c r="S354">
        <v>417</v>
      </c>
      <c r="T354">
        <v>168</v>
      </c>
      <c r="U354">
        <v>11</v>
      </c>
      <c r="V354">
        <v>80</v>
      </c>
      <c r="W354">
        <v>23</v>
      </c>
      <c r="X354">
        <v>27.29</v>
      </c>
      <c r="Y354">
        <v>1.68</v>
      </c>
      <c r="Z354">
        <v>71.37</v>
      </c>
      <c r="AA354">
        <v>2000</v>
      </c>
      <c r="AB354">
        <v>1150.68</v>
      </c>
      <c r="AC354">
        <v>198.89</v>
      </c>
      <c r="AD354">
        <v>110</v>
      </c>
      <c r="AE354">
        <v>170.47</v>
      </c>
      <c r="AF354">
        <v>3630.04</v>
      </c>
      <c r="AG354">
        <v>973.3200000000001</v>
      </c>
      <c r="AH354">
        <v>14.38</v>
      </c>
    </row>
    <row r="355" spans="1:34">
      <c r="A355" t="s">
        <v>834</v>
      </c>
      <c r="B355" t="s">
        <v>260</v>
      </c>
      <c r="C355" t="b">
        <v>0</v>
      </c>
      <c r="D355" t="b">
        <v>0</v>
      </c>
      <c r="E355" t="s">
        <v>80</v>
      </c>
      <c r="F355" t="s">
        <v>82</v>
      </c>
      <c r="G355" t="s">
        <v>81</v>
      </c>
      <c r="H355">
        <v>13</v>
      </c>
      <c r="I355">
        <v>23</v>
      </c>
      <c r="J355">
        <v>219</v>
      </c>
      <c r="K355">
        <v>6626.76</v>
      </c>
      <c r="L355">
        <v>210.42</v>
      </c>
      <c r="M355">
        <v>19.13</v>
      </c>
      <c r="N355">
        <v>6397.21</v>
      </c>
      <c r="O355">
        <v>1899.5</v>
      </c>
      <c r="P355">
        <v>4497.71</v>
      </c>
      <c r="Q355">
        <v>53.35</v>
      </c>
      <c r="R355">
        <v>178.08</v>
      </c>
      <c r="S355">
        <v>396</v>
      </c>
      <c r="T355">
        <v>134</v>
      </c>
      <c r="U355">
        <v>13</v>
      </c>
      <c r="V355">
        <v>85</v>
      </c>
      <c r="W355">
        <v>24</v>
      </c>
      <c r="X355">
        <v>29.21</v>
      </c>
      <c r="Y355">
        <v>1.81</v>
      </c>
      <c r="Z355">
        <v>70.31</v>
      </c>
      <c r="AA355">
        <v>2000</v>
      </c>
      <c r="AB355">
        <v>1150.68</v>
      </c>
      <c r="AC355">
        <v>195.87</v>
      </c>
      <c r="AD355">
        <v>110</v>
      </c>
      <c r="AE355">
        <v>194.17</v>
      </c>
      <c r="AF355">
        <v>3650.72</v>
      </c>
      <c r="AG355">
        <v>615.5599999999999</v>
      </c>
      <c r="AH355">
        <v>9.619999999999999</v>
      </c>
    </row>
    <row r="356" spans="1:34">
      <c r="A356" t="s">
        <v>835</v>
      </c>
      <c r="B356" t="s">
        <v>261</v>
      </c>
      <c r="C356" t="b">
        <v>0</v>
      </c>
      <c r="D356" t="b">
        <v>0</v>
      </c>
      <c r="E356" t="s">
        <v>80</v>
      </c>
      <c r="F356" t="s">
        <v>82</v>
      </c>
      <c r="G356" t="s">
        <v>81</v>
      </c>
      <c r="H356">
        <v>14.4</v>
      </c>
      <c r="I356">
        <v>24</v>
      </c>
      <c r="J356">
        <v>269</v>
      </c>
      <c r="K356">
        <v>8334.540000000001</v>
      </c>
      <c r="L356">
        <v>319.99</v>
      </c>
      <c r="M356">
        <v>0</v>
      </c>
      <c r="N356">
        <v>8014.55</v>
      </c>
      <c r="O356">
        <v>2359.1</v>
      </c>
      <c r="P356">
        <v>5655.45</v>
      </c>
      <c r="Q356">
        <v>69.63</v>
      </c>
      <c r="R356">
        <v>236.25</v>
      </c>
      <c r="S356">
        <v>499</v>
      </c>
      <c r="T356">
        <v>160</v>
      </c>
      <c r="U356">
        <v>15</v>
      </c>
      <c r="V356">
        <v>109</v>
      </c>
      <c r="W356">
        <v>24</v>
      </c>
      <c r="X356">
        <v>29.79</v>
      </c>
      <c r="Y356">
        <v>1.86</v>
      </c>
      <c r="Z356">
        <v>70.56</v>
      </c>
      <c r="AA356">
        <v>2000</v>
      </c>
      <c r="AB356">
        <v>1150.68</v>
      </c>
      <c r="AC356">
        <v>207.5</v>
      </c>
      <c r="AD356">
        <v>110</v>
      </c>
      <c r="AE356">
        <v>197.4</v>
      </c>
      <c r="AF356">
        <v>3665.58</v>
      </c>
      <c r="AG356">
        <v>1683.99</v>
      </c>
      <c r="AH356">
        <v>21.01</v>
      </c>
    </row>
    <row r="357" spans="1:34">
      <c r="A357" t="s">
        <v>836</v>
      </c>
      <c r="B357" t="s">
        <v>262</v>
      </c>
      <c r="C357" t="b">
        <v>1</v>
      </c>
      <c r="D357" t="b">
        <v>0</v>
      </c>
      <c r="E357" t="s">
        <v>80</v>
      </c>
      <c r="F357" t="s">
        <v>82</v>
      </c>
      <c r="G357" t="s">
        <v>81</v>
      </c>
      <c r="H357">
        <v>15</v>
      </c>
      <c r="I357">
        <v>25</v>
      </c>
      <c r="J357">
        <v>183</v>
      </c>
      <c r="K357">
        <v>6810.26</v>
      </c>
      <c r="L357">
        <v>217.39</v>
      </c>
      <c r="M357">
        <v>0</v>
      </c>
      <c r="N357">
        <v>6592.87</v>
      </c>
      <c r="O357">
        <v>1953.05</v>
      </c>
      <c r="P357">
        <v>4639.82</v>
      </c>
      <c r="Q357">
        <v>49</v>
      </c>
      <c r="R357">
        <v>245.22</v>
      </c>
      <c r="S357">
        <v>410</v>
      </c>
      <c r="T357">
        <v>125</v>
      </c>
      <c r="U357">
        <v>6</v>
      </c>
      <c r="V357">
        <v>58</v>
      </c>
      <c r="W357">
        <v>35</v>
      </c>
      <c r="X357">
        <v>36.03</v>
      </c>
      <c r="Y357">
        <v>2.24</v>
      </c>
      <c r="Z357">
        <v>70.38</v>
      </c>
      <c r="AA357">
        <v>2000</v>
      </c>
      <c r="AB357">
        <v>1150.68</v>
      </c>
      <c r="AC357">
        <v>199.85</v>
      </c>
      <c r="AD357">
        <v>110</v>
      </c>
      <c r="AE357">
        <v>191.07</v>
      </c>
      <c r="AF357">
        <v>3651.6</v>
      </c>
      <c r="AG357">
        <v>694</v>
      </c>
      <c r="AH357">
        <v>10.53</v>
      </c>
    </row>
    <row r="358" spans="1:34">
      <c r="A358" t="s">
        <v>837</v>
      </c>
      <c r="B358" t="s">
        <v>263</v>
      </c>
      <c r="C358" t="b">
        <v>1</v>
      </c>
      <c r="D358" t="b">
        <v>0</v>
      </c>
      <c r="E358" t="s">
        <v>80</v>
      </c>
      <c r="F358" t="s">
        <v>82</v>
      </c>
      <c r="G358" t="s">
        <v>81</v>
      </c>
      <c r="H358">
        <v>18</v>
      </c>
      <c r="I358">
        <v>26</v>
      </c>
      <c r="J358">
        <v>229</v>
      </c>
      <c r="K358">
        <v>8011.1</v>
      </c>
      <c r="L358">
        <v>211.3</v>
      </c>
      <c r="M358">
        <v>20</v>
      </c>
      <c r="N358">
        <v>7779.8</v>
      </c>
      <c r="O358">
        <v>2211.95</v>
      </c>
      <c r="P358">
        <v>5567.85</v>
      </c>
      <c r="Q358">
        <v>56.39</v>
      </c>
      <c r="R358">
        <v>364.07</v>
      </c>
      <c r="S358">
        <v>482</v>
      </c>
      <c r="T358">
        <v>141</v>
      </c>
      <c r="U358">
        <v>8</v>
      </c>
      <c r="V358">
        <v>88</v>
      </c>
      <c r="W358">
        <v>36</v>
      </c>
      <c r="X358">
        <v>33.97</v>
      </c>
      <c r="Y358">
        <v>2.1</v>
      </c>
      <c r="Z358">
        <v>71.56999999999999</v>
      </c>
      <c r="AA358">
        <v>2000</v>
      </c>
      <c r="AB358">
        <v>1150.68</v>
      </c>
      <c r="AC358">
        <v>208.19</v>
      </c>
      <c r="AD358">
        <v>110</v>
      </c>
      <c r="AE358">
        <v>215.73</v>
      </c>
      <c r="AF358">
        <v>3684.6</v>
      </c>
      <c r="AG358">
        <v>1462.79</v>
      </c>
      <c r="AH358">
        <v>18.8</v>
      </c>
    </row>
    <row r="359" spans="1:34">
      <c r="A359" t="s">
        <v>416</v>
      </c>
      <c r="B359" t="s">
        <v>75</v>
      </c>
      <c r="C359" t="b">
        <v>0</v>
      </c>
      <c r="D359" t="b">
        <v>0</v>
      </c>
      <c r="E359" t="s">
        <v>80</v>
      </c>
      <c r="F359" t="s">
        <v>82</v>
      </c>
      <c r="G359" t="s">
        <v>81</v>
      </c>
      <c r="H359">
        <v>18.3</v>
      </c>
      <c r="I359">
        <v>27</v>
      </c>
      <c r="J359">
        <v>214</v>
      </c>
      <c r="K359">
        <v>6476.37</v>
      </c>
      <c r="L359">
        <v>242.59</v>
      </c>
      <c r="M359">
        <v>58.26</v>
      </c>
      <c r="N359">
        <v>6175.52</v>
      </c>
      <c r="O359">
        <v>1841.25</v>
      </c>
      <c r="P359">
        <v>4334.27</v>
      </c>
      <c r="Q359">
        <v>44.14</v>
      </c>
      <c r="R359">
        <v>223.8</v>
      </c>
      <c r="S359">
        <v>384</v>
      </c>
      <c r="T359">
        <v>134</v>
      </c>
      <c r="U359">
        <v>6</v>
      </c>
      <c r="V359">
        <v>80</v>
      </c>
      <c r="W359">
        <v>26</v>
      </c>
      <c r="X359">
        <v>28.86</v>
      </c>
      <c r="Y359">
        <v>1.79</v>
      </c>
      <c r="Z359">
        <v>70.18000000000001</v>
      </c>
      <c r="AA359">
        <v>2000</v>
      </c>
      <c r="AB359">
        <v>1150.68</v>
      </c>
      <c r="AC359">
        <v>204.83</v>
      </c>
      <c r="AD359">
        <v>110</v>
      </c>
      <c r="AE359">
        <v>190.93</v>
      </c>
      <c r="AF359">
        <v>3656.44</v>
      </c>
      <c r="AG359">
        <v>409.89</v>
      </c>
      <c r="AH359">
        <v>6.64</v>
      </c>
    </row>
    <row r="360" spans="1:34">
      <c r="A360" t="s">
        <v>838</v>
      </c>
      <c r="B360" t="s">
        <v>258</v>
      </c>
      <c r="C360" t="b">
        <v>0</v>
      </c>
      <c r="D360" t="b">
        <v>0</v>
      </c>
      <c r="E360" t="s">
        <v>80</v>
      </c>
      <c r="F360" t="s">
        <v>82</v>
      </c>
      <c r="G360" t="s">
        <v>81</v>
      </c>
      <c r="H360">
        <v>16.2</v>
      </c>
      <c r="I360">
        <v>28</v>
      </c>
      <c r="J360">
        <v>221</v>
      </c>
      <c r="K360">
        <v>6412</v>
      </c>
      <c r="L360">
        <v>281.73</v>
      </c>
      <c r="M360">
        <v>25.22</v>
      </c>
      <c r="N360">
        <v>6105.05</v>
      </c>
      <c r="O360">
        <v>1817.9</v>
      </c>
      <c r="P360">
        <v>4287.15</v>
      </c>
      <c r="Q360">
        <v>47.24</v>
      </c>
      <c r="R360">
        <v>215.99</v>
      </c>
      <c r="S360">
        <v>385</v>
      </c>
      <c r="T360">
        <v>134</v>
      </c>
      <c r="U360">
        <v>1</v>
      </c>
      <c r="V360">
        <v>87</v>
      </c>
      <c r="W360">
        <v>23</v>
      </c>
      <c r="X360">
        <v>27.62</v>
      </c>
      <c r="Y360">
        <v>1.74</v>
      </c>
      <c r="Z360">
        <v>70.22</v>
      </c>
      <c r="AA360">
        <v>2000</v>
      </c>
      <c r="AB360">
        <v>1150.68</v>
      </c>
      <c r="AC360">
        <v>222.04</v>
      </c>
      <c r="AD360">
        <v>110</v>
      </c>
      <c r="AE360">
        <v>207.74</v>
      </c>
      <c r="AF360">
        <v>3690.46</v>
      </c>
      <c r="AG360">
        <v>333.46</v>
      </c>
      <c r="AH360">
        <v>5.46</v>
      </c>
    </row>
    <row r="361" spans="1:34">
      <c r="A361" t="s">
        <v>839</v>
      </c>
      <c r="B361" t="s">
        <v>259</v>
      </c>
      <c r="C361" t="b">
        <v>0</v>
      </c>
      <c r="D361" t="b">
        <v>0</v>
      </c>
      <c r="E361" t="s">
        <v>80</v>
      </c>
      <c r="F361" t="s">
        <v>82</v>
      </c>
      <c r="G361" t="s">
        <v>81</v>
      </c>
      <c r="H361">
        <v>14.6</v>
      </c>
      <c r="I361">
        <v>29</v>
      </c>
      <c r="J361">
        <v>240</v>
      </c>
      <c r="K361">
        <v>6692.86</v>
      </c>
      <c r="L361">
        <v>249.56</v>
      </c>
      <c r="M361">
        <v>25.22</v>
      </c>
      <c r="N361">
        <v>6418.08</v>
      </c>
      <c r="O361">
        <v>1873.35</v>
      </c>
      <c r="P361">
        <v>4544.73</v>
      </c>
      <c r="Q361">
        <v>50.9</v>
      </c>
      <c r="R361">
        <v>230.53</v>
      </c>
      <c r="S361">
        <v>394</v>
      </c>
      <c r="T361">
        <v>146</v>
      </c>
      <c r="U361">
        <v>11</v>
      </c>
      <c r="V361">
        <v>94</v>
      </c>
      <c r="W361">
        <v>27</v>
      </c>
      <c r="X361">
        <v>26.74</v>
      </c>
      <c r="Y361">
        <v>1.64</v>
      </c>
      <c r="Z361">
        <v>70.81</v>
      </c>
      <c r="AA361">
        <v>2000</v>
      </c>
      <c r="AB361">
        <v>1150.68</v>
      </c>
      <c r="AC361">
        <v>221.14</v>
      </c>
      <c r="AD361">
        <v>110</v>
      </c>
      <c r="AE361">
        <v>183.54</v>
      </c>
      <c r="AF361">
        <v>3665.36</v>
      </c>
      <c r="AG361">
        <v>597.9400000000001</v>
      </c>
      <c r="AH361">
        <v>9.32</v>
      </c>
    </row>
    <row r="362" spans="1:34">
      <c r="A362" t="s">
        <v>840</v>
      </c>
      <c r="B362" t="s">
        <v>260</v>
      </c>
      <c r="C362" t="b">
        <v>0</v>
      </c>
      <c r="D362" t="b">
        <v>0</v>
      </c>
      <c r="E362" t="s">
        <v>80</v>
      </c>
      <c r="F362" t="s">
        <v>82</v>
      </c>
      <c r="G362" t="s">
        <v>1477</v>
      </c>
      <c r="H362">
        <v>16.1</v>
      </c>
      <c r="I362">
        <v>0</v>
      </c>
      <c r="J362">
        <v>273</v>
      </c>
      <c r="K362">
        <v>8169.19</v>
      </c>
      <c r="L362">
        <v>198.25</v>
      </c>
      <c r="M362">
        <v>11.3</v>
      </c>
      <c r="N362">
        <v>7959.64</v>
      </c>
      <c r="O362">
        <v>2290.25</v>
      </c>
      <c r="P362">
        <v>5669.39</v>
      </c>
      <c r="Q362">
        <v>58.73</v>
      </c>
      <c r="R362">
        <v>293.01</v>
      </c>
      <c r="S362">
        <v>497</v>
      </c>
      <c r="T362">
        <v>180</v>
      </c>
      <c r="U362">
        <v>9</v>
      </c>
      <c r="V362">
        <v>93</v>
      </c>
      <c r="W362">
        <v>37</v>
      </c>
      <c r="X362">
        <v>29.16</v>
      </c>
      <c r="Y362">
        <v>1.82</v>
      </c>
      <c r="Z362">
        <v>71.23</v>
      </c>
      <c r="AA362">
        <v>2000</v>
      </c>
      <c r="AB362">
        <v>1150.68</v>
      </c>
      <c r="AC362">
        <v>236.6</v>
      </c>
      <c r="AD362">
        <v>110</v>
      </c>
      <c r="AE362">
        <v>186.83</v>
      </c>
      <c r="AF362">
        <v>3684.11</v>
      </c>
      <c r="AG362">
        <v>1633.54</v>
      </c>
      <c r="AH362">
        <v>20.52</v>
      </c>
    </row>
    <row r="363" spans="1:34">
      <c r="A363" t="s">
        <v>841</v>
      </c>
      <c r="B363" t="s">
        <v>261</v>
      </c>
      <c r="C363" t="b">
        <v>0</v>
      </c>
      <c r="D363" t="b">
        <v>0</v>
      </c>
      <c r="E363" t="s">
        <v>80</v>
      </c>
      <c r="F363" t="s">
        <v>82</v>
      </c>
      <c r="G363" t="s">
        <v>1477</v>
      </c>
      <c r="H363">
        <v>16</v>
      </c>
      <c r="I363">
        <v>1</v>
      </c>
      <c r="J363">
        <v>341</v>
      </c>
      <c r="K363">
        <v>10936.14</v>
      </c>
      <c r="L363">
        <v>373.89</v>
      </c>
      <c r="M363">
        <v>33.04</v>
      </c>
      <c r="N363">
        <v>10529.21</v>
      </c>
      <c r="O363">
        <v>3039.15</v>
      </c>
      <c r="P363">
        <v>7490.06</v>
      </c>
      <c r="Q363">
        <v>90.5</v>
      </c>
      <c r="R363">
        <v>269.7</v>
      </c>
      <c r="S363">
        <v>656</v>
      </c>
      <c r="T363">
        <v>208</v>
      </c>
      <c r="U363">
        <v>9</v>
      </c>
      <c r="V363">
        <v>133</v>
      </c>
      <c r="W363">
        <v>34</v>
      </c>
      <c r="X363">
        <v>30.88</v>
      </c>
      <c r="Y363">
        <v>1.92</v>
      </c>
      <c r="Z363">
        <v>71.14</v>
      </c>
      <c r="AA363">
        <v>2000</v>
      </c>
      <c r="AB363">
        <v>1150.68</v>
      </c>
      <c r="AC363">
        <v>196.21</v>
      </c>
      <c r="AD363">
        <v>110</v>
      </c>
      <c r="AE363">
        <v>239.14</v>
      </c>
      <c r="AF363">
        <v>3696.03</v>
      </c>
      <c r="AG363">
        <v>3433.83</v>
      </c>
      <c r="AH363">
        <v>32.61</v>
      </c>
    </row>
    <row r="364" spans="1:34">
      <c r="A364" t="s">
        <v>842</v>
      </c>
      <c r="B364" t="s">
        <v>262</v>
      </c>
      <c r="C364" t="b">
        <v>1</v>
      </c>
      <c r="D364" t="b">
        <v>0</v>
      </c>
      <c r="E364" t="s">
        <v>80</v>
      </c>
      <c r="F364" t="s">
        <v>82</v>
      </c>
      <c r="G364" t="s">
        <v>1477</v>
      </c>
      <c r="H364">
        <v>15.6</v>
      </c>
      <c r="I364">
        <v>2</v>
      </c>
      <c r="J364">
        <v>241</v>
      </c>
      <c r="K364">
        <v>9458.969999999999</v>
      </c>
      <c r="L364">
        <v>286.07</v>
      </c>
      <c r="M364">
        <v>119.13</v>
      </c>
      <c r="N364">
        <v>9053.77</v>
      </c>
      <c r="O364">
        <v>2726.35</v>
      </c>
      <c r="P364">
        <v>6327.42</v>
      </c>
      <c r="Q364">
        <v>64.51000000000001</v>
      </c>
      <c r="R364">
        <v>410.12</v>
      </c>
      <c r="S364">
        <v>565</v>
      </c>
      <c r="T364">
        <v>155</v>
      </c>
      <c r="U364">
        <v>10</v>
      </c>
      <c r="V364">
        <v>86</v>
      </c>
      <c r="W364">
        <v>50</v>
      </c>
      <c r="X364">
        <v>37.57</v>
      </c>
      <c r="Y364">
        <v>2.34</v>
      </c>
      <c r="Z364">
        <v>69.89</v>
      </c>
      <c r="AA364">
        <v>2000</v>
      </c>
      <c r="AB364">
        <v>1150.68</v>
      </c>
      <c r="AC364">
        <v>232.97</v>
      </c>
      <c r="AD364">
        <v>110</v>
      </c>
      <c r="AE364">
        <v>206.16</v>
      </c>
      <c r="AF364">
        <v>3699.81</v>
      </c>
      <c r="AG364">
        <v>2152.98</v>
      </c>
      <c r="AH364">
        <v>23.78</v>
      </c>
    </row>
    <row r="365" spans="1:34">
      <c r="A365" t="s">
        <v>843</v>
      </c>
      <c r="B365" t="s">
        <v>263</v>
      </c>
      <c r="C365" t="b">
        <v>1</v>
      </c>
      <c r="D365" t="b">
        <v>0</v>
      </c>
      <c r="E365" t="s">
        <v>80</v>
      </c>
      <c r="F365" t="s">
        <v>82</v>
      </c>
      <c r="G365" t="s">
        <v>1477</v>
      </c>
      <c r="H365">
        <v>14.8</v>
      </c>
      <c r="I365">
        <v>3</v>
      </c>
      <c r="J365">
        <v>185</v>
      </c>
      <c r="K365">
        <v>6589.35</v>
      </c>
      <c r="L365">
        <v>146.07</v>
      </c>
      <c r="M365">
        <v>20</v>
      </c>
      <c r="N365">
        <v>6423.28</v>
      </c>
      <c r="O365">
        <v>1809.25</v>
      </c>
      <c r="P365">
        <v>4614.03</v>
      </c>
      <c r="Q365">
        <v>50.39</v>
      </c>
      <c r="R365">
        <v>171.81</v>
      </c>
      <c r="S365">
        <v>405</v>
      </c>
      <c r="T365">
        <v>113</v>
      </c>
      <c r="U365">
        <v>5</v>
      </c>
      <c r="V365">
        <v>72</v>
      </c>
      <c r="W365">
        <v>22</v>
      </c>
      <c r="X365">
        <v>34.72</v>
      </c>
      <c r="Y365">
        <v>2.19</v>
      </c>
      <c r="Z365">
        <v>71.83</v>
      </c>
      <c r="AA365">
        <v>2000</v>
      </c>
      <c r="AB365">
        <v>1150.68</v>
      </c>
      <c r="AC365">
        <v>234.07</v>
      </c>
      <c r="AD365">
        <v>110</v>
      </c>
      <c r="AE365">
        <v>200.71</v>
      </c>
      <c r="AF365">
        <v>3695.46</v>
      </c>
      <c r="AG365">
        <v>696.37</v>
      </c>
      <c r="AH365">
        <v>10.84</v>
      </c>
    </row>
    <row r="366" spans="1:34">
      <c r="A366" t="s">
        <v>417</v>
      </c>
      <c r="B366" t="s">
        <v>75</v>
      </c>
      <c r="C366" t="b">
        <v>0</v>
      </c>
      <c r="D366" t="b">
        <v>0</v>
      </c>
      <c r="E366" t="s">
        <v>80</v>
      </c>
      <c r="F366" t="s">
        <v>82</v>
      </c>
      <c r="G366" t="s">
        <v>1477</v>
      </c>
      <c r="H366">
        <v>14.2</v>
      </c>
      <c r="I366">
        <v>4</v>
      </c>
      <c r="J366">
        <v>260</v>
      </c>
      <c r="K366">
        <v>7420.59</v>
      </c>
      <c r="L366">
        <v>173.04</v>
      </c>
      <c r="M366">
        <v>18.26</v>
      </c>
      <c r="N366">
        <v>7229.29</v>
      </c>
      <c r="O366">
        <v>2070.15</v>
      </c>
      <c r="P366">
        <v>5159.14</v>
      </c>
      <c r="Q366">
        <v>52.02</v>
      </c>
      <c r="R366">
        <v>320.39</v>
      </c>
      <c r="S366">
        <v>448</v>
      </c>
      <c r="T366">
        <v>169</v>
      </c>
      <c r="U366">
        <v>11</v>
      </c>
      <c r="V366">
        <v>91</v>
      </c>
      <c r="W366">
        <v>30</v>
      </c>
      <c r="X366">
        <v>27.8</v>
      </c>
      <c r="Y366">
        <v>1.72</v>
      </c>
      <c r="Z366">
        <v>71.36</v>
      </c>
      <c r="AA366">
        <v>2000</v>
      </c>
      <c r="AB366">
        <v>1150.68</v>
      </c>
      <c r="AC366">
        <v>223.79</v>
      </c>
      <c r="AD366">
        <v>110</v>
      </c>
      <c r="AE366">
        <v>224.99</v>
      </c>
      <c r="AF366">
        <v>3709.46</v>
      </c>
      <c r="AG366">
        <v>1077.27</v>
      </c>
      <c r="AH366">
        <v>14.9</v>
      </c>
    </row>
    <row r="367" spans="1:34">
      <c r="A367" t="s">
        <v>844</v>
      </c>
      <c r="B367" t="s">
        <v>258</v>
      </c>
      <c r="C367" t="b">
        <v>0</v>
      </c>
      <c r="D367" t="b">
        <v>0</v>
      </c>
      <c r="E367" t="s">
        <v>80</v>
      </c>
      <c r="F367" t="s">
        <v>82</v>
      </c>
      <c r="G367" t="s">
        <v>81</v>
      </c>
      <c r="H367">
        <v>15</v>
      </c>
      <c r="I367">
        <v>5</v>
      </c>
      <c r="J367">
        <v>220</v>
      </c>
      <c r="K367">
        <v>6298.05</v>
      </c>
      <c r="L367">
        <v>215.63</v>
      </c>
      <c r="M367">
        <v>19.13</v>
      </c>
      <c r="N367">
        <v>6063.29</v>
      </c>
      <c r="O367">
        <v>1835.44</v>
      </c>
      <c r="P367">
        <v>4227.85</v>
      </c>
      <c r="Q367">
        <v>48.74</v>
      </c>
      <c r="R367">
        <v>179.8</v>
      </c>
      <c r="S367">
        <v>371</v>
      </c>
      <c r="T367">
        <v>141</v>
      </c>
      <c r="U367">
        <v>7</v>
      </c>
      <c r="V367">
        <v>79</v>
      </c>
      <c r="W367">
        <v>21</v>
      </c>
      <c r="X367">
        <v>27.56</v>
      </c>
      <c r="Y367">
        <v>1.69</v>
      </c>
      <c r="Z367">
        <v>69.73</v>
      </c>
      <c r="AA367">
        <v>2177.42</v>
      </c>
      <c r="AB367">
        <v>1147.54</v>
      </c>
      <c r="AC367">
        <v>207.14</v>
      </c>
      <c r="AD367">
        <v>110</v>
      </c>
      <c r="AE367">
        <v>210.54</v>
      </c>
      <c r="AF367">
        <v>3852.64</v>
      </c>
      <c r="AG367">
        <v>146.67</v>
      </c>
      <c r="AH367">
        <v>2.42</v>
      </c>
    </row>
    <row r="368" spans="1:34">
      <c r="A368" t="s">
        <v>845</v>
      </c>
      <c r="B368" t="s">
        <v>259</v>
      </c>
      <c r="C368" t="b">
        <v>0</v>
      </c>
      <c r="D368" t="b">
        <v>0</v>
      </c>
      <c r="E368" t="s">
        <v>80</v>
      </c>
      <c r="F368" t="s">
        <v>82</v>
      </c>
      <c r="G368" t="s">
        <v>81</v>
      </c>
      <c r="H368">
        <v>16</v>
      </c>
      <c r="I368">
        <v>6</v>
      </c>
      <c r="J368">
        <v>229</v>
      </c>
      <c r="K368">
        <v>6610.17</v>
      </c>
      <c r="L368">
        <v>244.34</v>
      </c>
      <c r="M368">
        <v>0</v>
      </c>
      <c r="N368">
        <v>6365.83</v>
      </c>
      <c r="O368">
        <v>1880.8</v>
      </c>
      <c r="P368">
        <v>4485.03</v>
      </c>
      <c r="Q368">
        <v>52.4</v>
      </c>
      <c r="R368">
        <v>189.96</v>
      </c>
      <c r="S368">
        <v>401</v>
      </c>
      <c r="T368">
        <v>150</v>
      </c>
      <c r="U368">
        <v>10</v>
      </c>
      <c r="V368">
        <v>79</v>
      </c>
      <c r="W368">
        <v>23</v>
      </c>
      <c r="X368">
        <v>27.8</v>
      </c>
      <c r="Y368">
        <v>1.75</v>
      </c>
      <c r="Z368">
        <v>70.45</v>
      </c>
      <c r="AA368">
        <v>2177.42</v>
      </c>
      <c r="AB368">
        <v>1147.54</v>
      </c>
      <c r="AC368">
        <v>215.87</v>
      </c>
      <c r="AD368">
        <v>110</v>
      </c>
      <c r="AE368">
        <v>177.43</v>
      </c>
      <c r="AF368">
        <v>3828.26</v>
      </c>
      <c r="AG368">
        <v>414.41</v>
      </c>
      <c r="AH368">
        <v>6.51</v>
      </c>
    </row>
    <row r="369" spans="1:34">
      <c r="A369" t="s">
        <v>846</v>
      </c>
      <c r="B369" t="s">
        <v>260</v>
      </c>
      <c r="C369" t="b">
        <v>0</v>
      </c>
      <c r="D369" t="b">
        <v>0</v>
      </c>
      <c r="E369" t="s">
        <v>80</v>
      </c>
      <c r="F369" t="s">
        <v>82</v>
      </c>
      <c r="G369" t="s">
        <v>81</v>
      </c>
      <c r="H369">
        <v>18.1</v>
      </c>
      <c r="I369">
        <v>7</v>
      </c>
      <c r="J369">
        <v>237</v>
      </c>
      <c r="K369">
        <v>7212.81</v>
      </c>
      <c r="L369">
        <v>173.03</v>
      </c>
      <c r="M369">
        <v>21.74</v>
      </c>
      <c r="N369">
        <v>7018.04</v>
      </c>
      <c r="O369">
        <v>2165.1</v>
      </c>
      <c r="P369">
        <v>4852.94</v>
      </c>
      <c r="Q369">
        <v>53.01</v>
      </c>
      <c r="R369">
        <v>239.88</v>
      </c>
      <c r="S369">
        <v>438</v>
      </c>
      <c r="T369">
        <v>146</v>
      </c>
      <c r="U369">
        <v>14</v>
      </c>
      <c r="V369">
        <v>91</v>
      </c>
      <c r="W369">
        <v>30</v>
      </c>
      <c r="X369">
        <v>29.61</v>
      </c>
      <c r="Y369">
        <v>1.85</v>
      </c>
      <c r="Z369">
        <v>69.15000000000001</v>
      </c>
      <c r="AA369">
        <v>2177.42</v>
      </c>
      <c r="AB369">
        <v>1147.54</v>
      </c>
      <c r="AC369">
        <v>206.23</v>
      </c>
      <c r="AD369">
        <v>110</v>
      </c>
      <c r="AE369">
        <v>200.37</v>
      </c>
      <c r="AF369">
        <v>3841.56</v>
      </c>
      <c r="AG369">
        <v>718.49</v>
      </c>
      <c r="AH369">
        <v>10.24</v>
      </c>
    </row>
    <row r="370" spans="1:34">
      <c r="A370" t="s">
        <v>847</v>
      </c>
      <c r="B370" t="s">
        <v>261</v>
      </c>
      <c r="C370" t="b">
        <v>0</v>
      </c>
      <c r="D370" t="b">
        <v>0</v>
      </c>
      <c r="E370" t="s">
        <v>80</v>
      </c>
      <c r="F370" t="s">
        <v>82</v>
      </c>
      <c r="G370" t="s">
        <v>81</v>
      </c>
      <c r="H370">
        <v>17.2</v>
      </c>
      <c r="I370">
        <v>8</v>
      </c>
      <c r="J370">
        <v>347</v>
      </c>
      <c r="K370">
        <v>10936.3</v>
      </c>
      <c r="L370">
        <v>311.29</v>
      </c>
      <c r="M370">
        <v>0</v>
      </c>
      <c r="N370">
        <v>10625.01</v>
      </c>
      <c r="O370">
        <v>3186.44</v>
      </c>
      <c r="P370">
        <v>7438.57</v>
      </c>
      <c r="Q370">
        <v>87.20999999999999</v>
      </c>
      <c r="R370">
        <v>304.58</v>
      </c>
      <c r="S370">
        <v>636</v>
      </c>
      <c r="T370">
        <v>228</v>
      </c>
      <c r="U370">
        <v>6</v>
      </c>
      <c r="V370">
        <v>119</v>
      </c>
      <c r="W370">
        <v>35</v>
      </c>
      <c r="X370">
        <v>30.62</v>
      </c>
      <c r="Y370">
        <v>1.83</v>
      </c>
      <c r="Z370">
        <v>70.01000000000001</v>
      </c>
      <c r="AA370">
        <v>2177.42</v>
      </c>
      <c r="AB370">
        <v>1147.54</v>
      </c>
      <c r="AC370">
        <v>210.71</v>
      </c>
      <c r="AD370">
        <v>110</v>
      </c>
      <c r="AE370">
        <v>219.03</v>
      </c>
      <c r="AF370">
        <v>3864.7</v>
      </c>
      <c r="AG370">
        <v>3182.08</v>
      </c>
      <c r="AH370">
        <v>29.95</v>
      </c>
    </row>
    <row r="371" spans="1:34">
      <c r="A371" t="s">
        <v>848</v>
      </c>
      <c r="B371" t="s">
        <v>262</v>
      </c>
      <c r="C371" t="b">
        <v>1</v>
      </c>
      <c r="D371" t="b">
        <v>0</v>
      </c>
      <c r="E371" t="s">
        <v>80</v>
      </c>
      <c r="F371" t="s">
        <v>82</v>
      </c>
      <c r="G371" t="s">
        <v>81</v>
      </c>
      <c r="H371">
        <v>18.8</v>
      </c>
      <c r="I371">
        <v>9</v>
      </c>
      <c r="J371">
        <v>246</v>
      </c>
      <c r="K371">
        <v>9575.42</v>
      </c>
      <c r="L371">
        <v>201.73</v>
      </c>
      <c r="M371">
        <v>0</v>
      </c>
      <c r="N371">
        <v>9373.690000000001</v>
      </c>
      <c r="O371">
        <v>2796.7</v>
      </c>
      <c r="P371">
        <v>6576.99</v>
      </c>
      <c r="Q371">
        <v>74.48</v>
      </c>
      <c r="R371">
        <v>298.07</v>
      </c>
      <c r="S371">
        <v>563</v>
      </c>
      <c r="T371">
        <v>170</v>
      </c>
      <c r="U371">
        <v>17</v>
      </c>
      <c r="V371">
        <v>76</v>
      </c>
      <c r="W371">
        <v>34</v>
      </c>
      <c r="X371">
        <v>38.1</v>
      </c>
      <c r="Y371">
        <v>2.29</v>
      </c>
      <c r="Z371">
        <v>70.16</v>
      </c>
      <c r="AA371">
        <v>2177.42</v>
      </c>
      <c r="AB371">
        <v>1147.54</v>
      </c>
      <c r="AC371">
        <v>211.12</v>
      </c>
      <c r="AD371">
        <v>110</v>
      </c>
      <c r="AE371">
        <v>161.42</v>
      </c>
      <c r="AF371">
        <v>3807.5</v>
      </c>
      <c r="AG371">
        <v>2396.94</v>
      </c>
      <c r="AH371">
        <v>25.57</v>
      </c>
    </row>
    <row r="372" spans="1:34">
      <c r="A372" t="s">
        <v>849</v>
      </c>
      <c r="B372" t="s">
        <v>263</v>
      </c>
      <c r="C372" t="b">
        <v>1</v>
      </c>
      <c r="D372" t="b">
        <v>0</v>
      </c>
      <c r="E372" t="s">
        <v>80</v>
      </c>
      <c r="F372" t="s">
        <v>82</v>
      </c>
      <c r="G372" t="s">
        <v>81</v>
      </c>
      <c r="H372">
        <v>16.5</v>
      </c>
      <c r="I372">
        <v>10</v>
      </c>
      <c r="J372">
        <v>231</v>
      </c>
      <c r="K372">
        <v>7985.91</v>
      </c>
      <c r="L372">
        <v>139.14</v>
      </c>
      <c r="M372">
        <v>16.52</v>
      </c>
      <c r="N372">
        <v>7830.25</v>
      </c>
      <c r="O372">
        <v>2349.41</v>
      </c>
      <c r="P372">
        <v>5480.84</v>
      </c>
      <c r="Q372">
        <v>63.93</v>
      </c>
      <c r="R372">
        <v>375.35</v>
      </c>
      <c r="S372">
        <v>472</v>
      </c>
      <c r="T372">
        <v>143</v>
      </c>
      <c r="U372">
        <v>10</v>
      </c>
      <c r="V372">
        <v>88</v>
      </c>
      <c r="W372">
        <v>47</v>
      </c>
      <c r="X372">
        <v>33.9</v>
      </c>
      <c r="Y372">
        <v>2.04</v>
      </c>
      <c r="Z372">
        <v>70</v>
      </c>
      <c r="AA372">
        <v>2177.42</v>
      </c>
      <c r="AB372">
        <v>1147.54</v>
      </c>
      <c r="AC372">
        <v>201.59</v>
      </c>
      <c r="AD372">
        <v>110</v>
      </c>
      <c r="AE372">
        <v>158.35</v>
      </c>
      <c r="AF372">
        <v>3794.9</v>
      </c>
      <c r="AG372">
        <v>1246.66</v>
      </c>
      <c r="AH372">
        <v>15.92</v>
      </c>
    </row>
    <row r="373" spans="1:34">
      <c r="A373" t="s">
        <v>418</v>
      </c>
      <c r="B373" t="s">
        <v>75</v>
      </c>
      <c r="C373" t="b">
        <v>0</v>
      </c>
      <c r="D373" t="b">
        <v>0</v>
      </c>
      <c r="E373" t="s">
        <v>80</v>
      </c>
      <c r="F373" t="s">
        <v>82</v>
      </c>
      <c r="G373" t="s">
        <v>81</v>
      </c>
      <c r="H373">
        <v>15</v>
      </c>
      <c r="I373">
        <v>11</v>
      </c>
      <c r="J373">
        <v>231</v>
      </c>
      <c r="K373">
        <v>7148.51</v>
      </c>
      <c r="L373">
        <v>163.48</v>
      </c>
      <c r="M373">
        <v>18.26</v>
      </c>
      <c r="N373">
        <v>6966.77</v>
      </c>
      <c r="O373">
        <v>2089.06</v>
      </c>
      <c r="P373">
        <v>4877.71</v>
      </c>
      <c r="Q373">
        <v>56.14</v>
      </c>
      <c r="R373">
        <v>252.32</v>
      </c>
      <c r="S373">
        <v>428</v>
      </c>
      <c r="T373">
        <v>137</v>
      </c>
      <c r="U373">
        <v>11</v>
      </c>
      <c r="V373">
        <v>94</v>
      </c>
      <c r="W373">
        <v>25</v>
      </c>
      <c r="X373">
        <v>30.16</v>
      </c>
      <c r="Y373">
        <v>1.85</v>
      </c>
      <c r="Z373">
        <v>70.01000000000001</v>
      </c>
      <c r="AA373">
        <v>2177.42</v>
      </c>
      <c r="AB373">
        <v>1147.54</v>
      </c>
      <c r="AC373">
        <v>216.56</v>
      </c>
      <c r="AD373">
        <v>110</v>
      </c>
      <c r="AE373">
        <v>200.27</v>
      </c>
      <c r="AF373">
        <v>3851.79</v>
      </c>
      <c r="AG373">
        <v>717.46</v>
      </c>
      <c r="AH373">
        <v>10.3</v>
      </c>
    </row>
    <row r="374" spans="1:34">
      <c r="A374" t="s">
        <v>850</v>
      </c>
      <c r="B374" t="s">
        <v>258</v>
      </c>
      <c r="C374" t="b">
        <v>0</v>
      </c>
      <c r="D374" t="b">
        <v>0</v>
      </c>
      <c r="E374" t="s">
        <v>80</v>
      </c>
      <c r="F374" t="s">
        <v>82</v>
      </c>
      <c r="G374" t="s">
        <v>81</v>
      </c>
      <c r="H374">
        <v>11.5</v>
      </c>
      <c r="I374">
        <v>12</v>
      </c>
      <c r="J374">
        <v>216</v>
      </c>
      <c r="K374">
        <v>6330.95</v>
      </c>
      <c r="L374">
        <v>151.3</v>
      </c>
      <c r="M374">
        <v>0</v>
      </c>
      <c r="N374">
        <v>6179.65</v>
      </c>
      <c r="O374">
        <v>1864.14</v>
      </c>
      <c r="P374">
        <v>4315.51</v>
      </c>
      <c r="Q374">
        <v>43.11</v>
      </c>
      <c r="R374">
        <v>308.15</v>
      </c>
      <c r="S374">
        <v>385</v>
      </c>
      <c r="T374">
        <v>141</v>
      </c>
      <c r="U374">
        <v>5</v>
      </c>
      <c r="V374">
        <v>75</v>
      </c>
      <c r="W374">
        <v>43</v>
      </c>
      <c r="X374">
        <v>28.61</v>
      </c>
      <c r="Y374">
        <v>1.78</v>
      </c>
      <c r="Z374">
        <v>69.83</v>
      </c>
      <c r="AA374">
        <v>2177.42</v>
      </c>
      <c r="AB374">
        <v>1147.54</v>
      </c>
      <c r="AC374">
        <v>227.5</v>
      </c>
      <c r="AD374">
        <v>110</v>
      </c>
      <c r="AE374">
        <v>211.55</v>
      </c>
      <c r="AF374">
        <v>3874.01</v>
      </c>
      <c r="AG374">
        <v>90.23999999999999</v>
      </c>
      <c r="AH374">
        <v>1.46</v>
      </c>
    </row>
    <row r="375" spans="1:34">
      <c r="A375" t="s">
        <v>851</v>
      </c>
      <c r="B375" t="s">
        <v>259</v>
      </c>
      <c r="C375" t="b">
        <v>0</v>
      </c>
      <c r="D375" t="b">
        <v>0</v>
      </c>
      <c r="E375" t="s">
        <v>80</v>
      </c>
      <c r="F375" t="s">
        <v>82</v>
      </c>
      <c r="G375" t="s">
        <v>81</v>
      </c>
      <c r="H375">
        <v>14.1</v>
      </c>
      <c r="I375">
        <v>13</v>
      </c>
      <c r="J375">
        <v>257</v>
      </c>
      <c r="K375">
        <v>7483.26</v>
      </c>
      <c r="L375">
        <v>196.51</v>
      </c>
      <c r="M375">
        <v>13.91</v>
      </c>
      <c r="N375">
        <v>7272.84</v>
      </c>
      <c r="O375">
        <v>2212.52</v>
      </c>
      <c r="P375">
        <v>5060.32</v>
      </c>
      <c r="Q375">
        <v>53.65</v>
      </c>
      <c r="R375">
        <v>292.88</v>
      </c>
      <c r="S375">
        <v>445</v>
      </c>
      <c r="T375">
        <v>166</v>
      </c>
      <c r="U375">
        <v>11</v>
      </c>
      <c r="V375">
        <v>91</v>
      </c>
      <c r="W375">
        <v>32</v>
      </c>
      <c r="X375">
        <v>28.3</v>
      </c>
      <c r="Y375">
        <v>1.73</v>
      </c>
      <c r="Z375">
        <v>69.58</v>
      </c>
      <c r="AA375">
        <v>2177.42</v>
      </c>
      <c r="AB375">
        <v>1147.54</v>
      </c>
      <c r="AC375">
        <v>185.28</v>
      </c>
      <c r="AD375">
        <v>110</v>
      </c>
      <c r="AE375">
        <v>198.72</v>
      </c>
      <c r="AF375">
        <v>3818.96</v>
      </c>
      <c r="AG375">
        <v>894.83</v>
      </c>
      <c r="AH375">
        <v>12.3</v>
      </c>
    </row>
    <row r="376" spans="1:34">
      <c r="A376" t="s">
        <v>852</v>
      </c>
      <c r="B376" t="s">
        <v>260</v>
      </c>
      <c r="C376" t="b">
        <v>0</v>
      </c>
      <c r="D376" t="b">
        <v>0</v>
      </c>
      <c r="E376" t="s">
        <v>80</v>
      </c>
      <c r="F376" t="s">
        <v>82</v>
      </c>
      <c r="G376" t="s">
        <v>81</v>
      </c>
      <c r="H376">
        <v>13.9</v>
      </c>
      <c r="I376">
        <v>14</v>
      </c>
      <c r="J376">
        <v>236</v>
      </c>
      <c r="K376">
        <v>8025.99</v>
      </c>
      <c r="L376">
        <v>242.09</v>
      </c>
      <c r="M376">
        <v>0</v>
      </c>
      <c r="N376">
        <v>7783.9</v>
      </c>
      <c r="O376">
        <v>2404.09</v>
      </c>
      <c r="P376">
        <v>5379.81</v>
      </c>
      <c r="Q376">
        <v>52.22</v>
      </c>
      <c r="R376">
        <v>248.11</v>
      </c>
      <c r="S376">
        <v>463</v>
      </c>
      <c r="T376">
        <v>152</v>
      </c>
      <c r="U376">
        <v>13</v>
      </c>
      <c r="V376">
        <v>84</v>
      </c>
      <c r="W376">
        <v>33</v>
      </c>
      <c r="X376">
        <v>32.98</v>
      </c>
      <c r="Y376">
        <v>1.96</v>
      </c>
      <c r="Z376">
        <v>69.11</v>
      </c>
      <c r="AA376">
        <v>2177.42</v>
      </c>
      <c r="AB376">
        <v>1147.54</v>
      </c>
      <c r="AC376">
        <v>207.59</v>
      </c>
      <c r="AD376">
        <v>110</v>
      </c>
      <c r="AE376">
        <v>158.7</v>
      </c>
      <c r="AF376">
        <v>3801.25</v>
      </c>
      <c r="AG376">
        <v>1278.23</v>
      </c>
      <c r="AH376">
        <v>16.42</v>
      </c>
    </row>
    <row r="377" spans="1:34">
      <c r="A377" t="s">
        <v>853</v>
      </c>
      <c r="B377" t="s">
        <v>261</v>
      </c>
      <c r="C377" t="b">
        <v>0</v>
      </c>
      <c r="D377" t="b">
        <v>0</v>
      </c>
      <c r="E377" t="s">
        <v>80</v>
      </c>
      <c r="F377" t="s">
        <v>82</v>
      </c>
      <c r="G377" t="s">
        <v>81</v>
      </c>
      <c r="H377">
        <v>14.5</v>
      </c>
      <c r="I377">
        <v>15</v>
      </c>
      <c r="J377">
        <v>263</v>
      </c>
      <c r="K377">
        <v>9111.040000000001</v>
      </c>
      <c r="L377">
        <v>314.75</v>
      </c>
      <c r="M377">
        <v>20</v>
      </c>
      <c r="N377">
        <v>8776.290000000001</v>
      </c>
      <c r="O377">
        <v>2718.59</v>
      </c>
      <c r="P377">
        <v>6057.7</v>
      </c>
      <c r="Q377">
        <v>72.16</v>
      </c>
      <c r="R377">
        <v>236.47</v>
      </c>
      <c r="S377">
        <v>528</v>
      </c>
      <c r="T377">
        <v>170</v>
      </c>
      <c r="U377">
        <v>11</v>
      </c>
      <c r="V377">
        <v>93</v>
      </c>
      <c r="W377">
        <v>23</v>
      </c>
      <c r="X377">
        <v>33.37</v>
      </c>
      <c r="Y377">
        <v>2.01</v>
      </c>
      <c r="Z377">
        <v>69.02</v>
      </c>
      <c r="AA377">
        <v>2177.42</v>
      </c>
      <c r="AB377">
        <v>1147.54</v>
      </c>
      <c r="AC377">
        <v>197.81</v>
      </c>
      <c r="AD377">
        <v>110</v>
      </c>
      <c r="AE377">
        <v>205.98</v>
      </c>
      <c r="AF377">
        <v>3838.75</v>
      </c>
      <c r="AG377">
        <v>1910.32</v>
      </c>
      <c r="AH377">
        <v>21.77</v>
      </c>
    </row>
    <row r="378" spans="1:34">
      <c r="A378" t="s">
        <v>854</v>
      </c>
      <c r="B378" t="s">
        <v>262</v>
      </c>
      <c r="C378" t="b">
        <v>1</v>
      </c>
      <c r="D378" t="b">
        <v>0</v>
      </c>
      <c r="E378" t="s">
        <v>80</v>
      </c>
      <c r="F378" t="s">
        <v>82</v>
      </c>
      <c r="G378" t="s">
        <v>81</v>
      </c>
      <c r="H378">
        <v>14</v>
      </c>
      <c r="I378">
        <v>16</v>
      </c>
      <c r="J378">
        <v>237</v>
      </c>
      <c r="K378">
        <v>9159.780000000001</v>
      </c>
      <c r="L378">
        <v>199.11</v>
      </c>
      <c r="M378">
        <v>49.56</v>
      </c>
      <c r="N378">
        <v>8911.110000000001</v>
      </c>
      <c r="O378">
        <v>2670.63</v>
      </c>
      <c r="P378">
        <v>6240.48</v>
      </c>
      <c r="Q378">
        <v>74.54000000000001</v>
      </c>
      <c r="R378">
        <v>296.29</v>
      </c>
      <c r="S378">
        <v>553</v>
      </c>
      <c r="T378">
        <v>153</v>
      </c>
      <c r="U378">
        <v>10</v>
      </c>
      <c r="V378">
        <v>84</v>
      </c>
      <c r="W378">
        <v>28</v>
      </c>
      <c r="X378">
        <v>37.6</v>
      </c>
      <c r="Y378">
        <v>2.33</v>
      </c>
      <c r="Z378">
        <v>70.03</v>
      </c>
      <c r="AA378">
        <v>2177.42</v>
      </c>
      <c r="AB378">
        <v>1147.54</v>
      </c>
      <c r="AC378">
        <v>199.75</v>
      </c>
      <c r="AD378">
        <v>110</v>
      </c>
      <c r="AE378">
        <v>233.65</v>
      </c>
      <c r="AF378">
        <v>3868.36</v>
      </c>
      <c r="AG378">
        <v>2001.29</v>
      </c>
      <c r="AH378">
        <v>22.46</v>
      </c>
    </row>
    <row r="379" spans="1:34">
      <c r="A379" t="s">
        <v>855</v>
      </c>
      <c r="B379" t="s">
        <v>263</v>
      </c>
      <c r="C379" t="b">
        <v>1</v>
      </c>
      <c r="D379" t="b">
        <v>0</v>
      </c>
      <c r="E379" t="s">
        <v>80</v>
      </c>
      <c r="F379" t="s">
        <v>82</v>
      </c>
      <c r="G379" t="s">
        <v>81</v>
      </c>
      <c r="H379">
        <v>13.5</v>
      </c>
      <c r="I379">
        <v>17</v>
      </c>
      <c r="J379">
        <v>213</v>
      </c>
      <c r="K379">
        <v>7715.54</v>
      </c>
      <c r="L379">
        <v>214.77</v>
      </c>
      <c r="M379">
        <v>18.26</v>
      </c>
      <c r="N379">
        <v>7482.51</v>
      </c>
      <c r="O379">
        <v>2328.93</v>
      </c>
      <c r="P379">
        <v>5153.58</v>
      </c>
      <c r="Q379">
        <v>58.48</v>
      </c>
      <c r="R379">
        <v>249.64</v>
      </c>
      <c r="S379">
        <v>461</v>
      </c>
      <c r="T379">
        <v>145</v>
      </c>
      <c r="U379">
        <v>6</v>
      </c>
      <c r="V379">
        <v>68</v>
      </c>
      <c r="W379">
        <v>31</v>
      </c>
      <c r="X379">
        <v>35.13</v>
      </c>
      <c r="Y379">
        <v>2.16</v>
      </c>
      <c r="Z379">
        <v>68.88</v>
      </c>
      <c r="AA379">
        <v>2177.42</v>
      </c>
      <c r="AB379">
        <v>1147.54</v>
      </c>
      <c r="AC379">
        <v>205.76</v>
      </c>
      <c r="AD379">
        <v>110</v>
      </c>
      <c r="AE379">
        <v>227.13</v>
      </c>
      <c r="AF379">
        <v>3867.85</v>
      </c>
      <c r="AG379">
        <v>977.61</v>
      </c>
      <c r="AH379">
        <v>13.07</v>
      </c>
    </row>
    <row r="380" spans="1:34">
      <c r="A380" t="s">
        <v>419</v>
      </c>
      <c r="B380" t="s">
        <v>75</v>
      </c>
      <c r="C380" t="b">
        <v>0</v>
      </c>
      <c r="D380" t="b">
        <v>0</v>
      </c>
      <c r="E380" t="s">
        <v>80</v>
      </c>
      <c r="F380" t="s">
        <v>82</v>
      </c>
      <c r="G380" t="s">
        <v>81</v>
      </c>
      <c r="H380">
        <v>14.6</v>
      </c>
      <c r="I380">
        <v>18</v>
      </c>
      <c r="J380">
        <v>266</v>
      </c>
      <c r="K380">
        <v>7362.32</v>
      </c>
      <c r="L380">
        <v>325.19</v>
      </c>
      <c r="M380">
        <v>31.3</v>
      </c>
      <c r="N380">
        <v>7005.83</v>
      </c>
      <c r="O380">
        <v>2123.15</v>
      </c>
      <c r="P380">
        <v>4882.68</v>
      </c>
      <c r="Q380">
        <v>54.23</v>
      </c>
      <c r="R380">
        <v>269.14</v>
      </c>
      <c r="S380">
        <v>444</v>
      </c>
      <c r="T380">
        <v>171</v>
      </c>
      <c r="U380">
        <v>9</v>
      </c>
      <c r="V380">
        <v>95</v>
      </c>
      <c r="W380">
        <v>30</v>
      </c>
      <c r="X380">
        <v>26.34</v>
      </c>
      <c r="Y380">
        <v>1.67</v>
      </c>
      <c r="Z380">
        <v>69.69</v>
      </c>
      <c r="AA380">
        <v>2177.42</v>
      </c>
      <c r="AB380">
        <v>1147.54</v>
      </c>
      <c r="AC380">
        <v>212.57</v>
      </c>
      <c r="AD380">
        <v>110</v>
      </c>
      <c r="AE380">
        <v>209.37</v>
      </c>
      <c r="AF380">
        <v>3856.9</v>
      </c>
      <c r="AG380">
        <v>702.41</v>
      </c>
      <c r="AH380">
        <v>10.03</v>
      </c>
    </row>
    <row r="381" spans="1:34">
      <c r="A381" t="s">
        <v>856</v>
      </c>
      <c r="B381" t="s">
        <v>258</v>
      </c>
      <c r="C381" t="b">
        <v>0</v>
      </c>
      <c r="D381" t="b">
        <v>0</v>
      </c>
      <c r="E381" t="s">
        <v>80</v>
      </c>
      <c r="F381" t="s">
        <v>82</v>
      </c>
      <c r="G381" t="s">
        <v>81</v>
      </c>
      <c r="H381">
        <v>15.1</v>
      </c>
      <c r="I381">
        <v>19</v>
      </c>
      <c r="J381">
        <v>207</v>
      </c>
      <c r="K381">
        <v>5897.11</v>
      </c>
      <c r="L381">
        <v>260.85</v>
      </c>
      <c r="M381">
        <v>63.47</v>
      </c>
      <c r="N381">
        <v>5572.79</v>
      </c>
      <c r="O381">
        <v>1686.35</v>
      </c>
      <c r="P381">
        <v>3886.44</v>
      </c>
      <c r="Q381">
        <v>49.13</v>
      </c>
      <c r="R381">
        <v>139.47</v>
      </c>
      <c r="S381">
        <v>356</v>
      </c>
      <c r="T381">
        <v>134</v>
      </c>
      <c r="U381">
        <v>9</v>
      </c>
      <c r="V381">
        <v>73</v>
      </c>
      <c r="W381">
        <v>19</v>
      </c>
      <c r="X381">
        <v>26.92</v>
      </c>
      <c r="Y381">
        <v>1.72</v>
      </c>
      <c r="Z381">
        <v>69.73999999999999</v>
      </c>
      <c r="AA381">
        <v>2177.42</v>
      </c>
      <c r="AB381">
        <v>1147.54</v>
      </c>
      <c r="AC381">
        <v>207.37</v>
      </c>
      <c r="AD381">
        <v>110</v>
      </c>
      <c r="AE381">
        <v>201.21</v>
      </c>
      <c r="AF381">
        <v>3843.54</v>
      </c>
      <c r="AG381">
        <v>-145.7</v>
      </c>
      <c r="AH381">
        <v>-2.61</v>
      </c>
    </row>
    <row r="382" spans="1:34">
      <c r="A382" t="s">
        <v>857</v>
      </c>
      <c r="B382" t="s">
        <v>259</v>
      </c>
      <c r="C382" t="b">
        <v>0</v>
      </c>
      <c r="D382" t="b">
        <v>0</v>
      </c>
      <c r="E382" t="s">
        <v>80</v>
      </c>
      <c r="F382" t="s">
        <v>82</v>
      </c>
      <c r="G382" t="s">
        <v>81</v>
      </c>
      <c r="H382">
        <v>16</v>
      </c>
      <c r="I382">
        <v>20</v>
      </c>
      <c r="J382">
        <v>222</v>
      </c>
      <c r="K382">
        <v>6237.12</v>
      </c>
      <c r="L382">
        <v>234.76</v>
      </c>
      <c r="M382">
        <v>0</v>
      </c>
      <c r="N382">
        <v>6002.36</v>
      </c>
      <c r="O382">
        <v>1774.98</v>
      </c>
      <c r="P382">
        <v>4227.38</v>
      </c>
      <c r="Q382">
        <v>39.65</v>
      </c>
      <c r="R382">
        <v>306.09</v>
      </c>
      <c r="S382">
        <v>381</v>
      </c>
      <c r="T382">
        <v>139</v>
      </c>
      <c r="U382">
        <v>10</v>
      </c>
      <c r="V382">
        <v>83</v>
      </c>
      <c r="W382">
        <v>35</v>
      </c>
      <c r="X382">
        <v>27.04</v>
      </c>
      <c r="Y382">
        <v>1.72</v>
      </c>
      <c r="Z382">
        <v>70.43000000000001</v>
      </c>
      <c r="AA382">
        <v>2177.42</v>
      </c>
      <c r="AB382">
        <v>1147.54</v>
      </c>
      <c r="AC382">
        <v>197.49</v>
      </c>
      <c r="AD382">
        <v>110</v>
      </c>
      <c r="AE382">
        <v>179.12</v>
      </c>
      <c r="AF382">
        <v>3811.57</v>
      </c>
      <c r="AG382">
        <v>70.06999999999999</v>
      </c>
      <c r="AH382">
        <v>1.17</v>
      </c>
    </row>
    <row r="383" spans="1:34">
      <c r="A383" t="s">
        <v>858</v>
      </c>
      <c r="B383" t="s">
        <v>260</v>
      </c>
      <c r="C383" t="b">
        <v>0</v>
      </c>
      <c r="D383" t="b">
        <v>0</v>
      </c>
      <c r="E383" t="s">
        <v>80</v>
      </c>
      <c r="F383" t="s">
        <v>82</v>
      </c>
      <c r="G383" t="s">
        <v>81</v>
      </c>
      <c r="H383">
        <v>14.8</v>
      </c>
      <c r="I383">
        <v>21</v>
      </c>
      <c r="J383">
        <v>264</v>
      </c>
      <c r="K383">
        <v>7604.13</v>
      </c>
      <c r="L383">
        <v>195.64</v>
      </c>
      <c r="M383">
        <v>20</v>
      </c>
      <c r="N383">
        <v>7388.49</v>
      </c>
      <c r="O383">
        <v>2143.66</v>
      </c>
      <c r="P383">
        <v>5244.83</v>
      </c>
      <c r="Q383">
        <v>56.94</v>
      </c>
      <c r="R383">
        <v>277.17</v>
      </c>
      <c r="S383">
        <v>460</v>
      </c>
      <c r="T383">
        <v>160</v>
      </c>
      <c r="U383">
        <v>8</v>
      </c>
      <c r="V383">
        <v>104</v>
      </c>
      <c r="W383">
        <v>33</v>
      </c>
      <c r="X383">
        <v>27.99</v>
      </c>
      <c r="Y383">
        <v>1.74</v>
      </c>
      <c r="Z383">
        <v>70.98999999999999</v>
      </c>
      <c r="AA383">
        <v>2177.42</v>
      </c>
      <c r="AB383">
        <v>1147.54</v>
      </c>
      <c r="AC383">
        <v>226.99</v>
      </c>
      <c r="AD383">
        <v>110</v>
      </c>
      <c r="AE383">
        <v>179.5</v>
      </c>
      <c r="AF383">
        <v>3841.45</v>
      </c>
      <c r="AG383">
        <v>1069.27</v>
      </c>
      <c r="AH383">
        <v>14.47</v>
      </c>
    </row>
    <row r="384" spans="1:34">
      <c r="A384" t="s">
        <v>859</v>
      </c>
      <c r="B384" t="s">
        <v>261</v>
      </c>
      <c r="C384" t="b">
        <v>0</v>
      </c>
      <c r="D384" t="b">
        <v>0</v>
      </c>
      <c r="E384" t="s">
        <v>80</v>
      </c>
      <c r="F384" t="s">
        <v>82</v>
      </c>
      <c r="G384" t="s">
        <v>81</v>
      </c>
      <c r="H384">
        <v>16.8</v>
      </c>
      <c r="I384">
        <v>22</v>
      </c>
      <c r="J384">
        <v>309</v>
      </c>
      <c r="K384">
        <v>9349.280000000001</v>
      </c>
      <c r="L384">
        <v>326.95</v>
      </c>
      <c r="M384">
        <v>96.52</v>
      </c>
      <c r="N384">
        <v>8925.809999999999</v>
      </c>
      <c r="O384">
        <v>2663.27</v>
      </c>
      <c r="P384">
        <v>6262.54</v>
      </c>
      <c r="Q384">
        <v>71.02</v>
      </c>
      <c r="R384">
        <v>311.06</v>
      </c>
      <c r="S384">
        <v>561</v>
      </c>
      <c r="T384">
        <v>214</v>
      </c>
      <c r="U384">
        <v>13</v>
      </c>
      <c r="V384">
        <v>95</v>
      </c>
      <c r="W384">
        <v>35</v>
      </c>
      <c r="X384">
        <v>28.89</v>
      </c>
      <c r="Y384">
        <v>1.82</v>
      </c>
      <c r="Z384">
        <v>70.16</v>
      </c>
      <c r="AA384">
        <v>2177.42</v>
      </c>
      <c r="AB384">
        <v>1147.54</v>
      </c>
      <c r="AC384">
        <v>216.37</v>
      </c>
      <c r="AD384">
        <v>110</v>
      </c>
      <c r="AE384">
        <v>169.27</v>
      </c>
      <c r="AF384">
        <v>3820.6</v>
      </c>
      <c r="AG384">
        <v>2059.86</v>
      </c>
      <c r="AH384">
        <v>23.08</v>
      </c>
    </row>
    <row r="385" spans="1:34">
      <c r="A385" t="s">
        <v>860</v>
      </c>
      <c r="B385" t="s">
        <v>262</v>
      </c>
      <c r="C385" t="b">
        <v>1</v>
      </c>
      <c r="D385" t="b">
        <v>0</v>
      </c>
      <c r="E385" t="s">
        <v>80</v>
      </c>
      <c r="F385" t="s">
        <v>82</v>
      </c>
      <c r="G385" t="s">
        <v>81</v>
      </c>
      <c r="H385">
        <v>16.7</v>
      </c>
      <c r="I385">
        <v>23</v>
      </c>
      <c r="J385">
        <v>219</v>
      </c>
      <c r="K385">
        <v>7884.14</v>
      </c>
      <c r="L385">
        <v>179.12</v>
      </c>
      <c r="M385">
        <v>8.699999999999999</v>
      </c>
      <c r="N385">
        <v>7696.32</v>
      </c>
      <c r="O385">
        <v>2299.64</v>
      </c>
      <c r="P385">
        <v>5396.68</v>
      </c>
      <c r="Q385">
        <v>56.26</v>
      </c>
      <c r="R385">
        <v>277.77</v>
      </c>
      <c r="S385">
        <v>465</v>
      </c>
      <c r="T385">
        <v>144</v>
      </c>
      <c r="U385">
        <v>14</v>
      </c>
      <c r="V385">
        <v>75</v>
      </c>
      <c r="W385">
        <v>30</v>
      </c>
      <c r="X385">
        <v>35.14</v>
      </c>
      <c r="Y385">
        <v>2.12</v>
      </c>
      <c r="Z385">
        <v>70.12</v>
      </c>
      <c r="AA385">
        <v>2177.42</v>
      </c>
      <c r="AB385">
        <v>1147.54</v>
      </c>
      <c r="AC385">
        <v>223.94</v>
      </c>
      <c r="AD385">
        <v>110</v>
      </c>
      <c r="AE385">
        <v>175.65</v>
      </c>
      <c r="AF385">
        <v>3834.55</v>
      </c>
      <c r="AG385">
        <v>1228.1</v>
      </c>
      <c r="AH385">
        <v>15.96</v>
      </c>
    </row>
    <row r="386" spans="1:34">
      <c r="A386" t="s">
        <v>861</v>
      </c>
      <c r="B386" t="s">
        <v>263</v>
      </c>
      <c r="C386" t="b">
        <v>1</v>
      </c>
      <c r="D386" t="b">
        <v>0</v>
      </c>
      <c r="E386" t="s">
        <v>80</v>
      </c>
      <c r="F386" t="s">
        <v>82</v>
      </c>
      <c r="G386" t="s">
        <v>81</v>
      </c>
      <c r="H386">
        <v>15.8</v>
      </c>
      <c r="I386">
        <v>24</v>
      </c>
      <c r="J386">
        <v>267</v>
      </c>
      <c r="K386">
        <v>9864.09</v>
      </c>
      <c r="L386">
        <v>166.07</v>
      </c>
      <c r="M386">
        <v>20</v>
      </c>
      <c r="N386">
        <v>9678.02</v>
      </c>
      <c r="O386">
        <v>2934.34</v>
      </c>
      <c r="P386">
        <v>6743.68</v>
      </c>
      <c r="Q386">
        <v>70.53</v>
      </c>
      <c r="R386">
        <v>418.77</v>
      </c>
      <c r="S386">
        <v>582</v>
      </c>
      <c r="T386">
        <v>185</v>
      </c>
      <c r="U386">
        <v>14</v>
      </c>
      <c r="V386">
        <v>82</v>
      </c>
      <c r="W386">
        <v>48</v>
      </c>
      <c r="X386">
        <v>36.25</v>
      </c>
      <c r="Y386">
        <v>2.18</v>
      </c>
      <c r="Z386">
        <v>69.68000000000001</v>
      </c>
      <c r="AA386">
        <v>2177.42</v>
      </c>
      <c r="AB386">
        <v>1147.54</v>
      </c>
      <c r="AC386">
        <v>213.15</v>
      </c>
      <c r="AD386">
        <v>110</v>
      </c>
      <c r="AE386">
        <v>215.23</v>
      </c>
      <c r="AF386">
        <v>3863.34</v>
      </c>
      <c r="AG386">
        <v>2391.04</v>
      </c>
      <c r="AH386">
        <v>24.71</v>
      </c>
    </row>
    <row r="387" spans="1:34">
      <c r="A387" t="s">
        <v>420</v>
      </c>
      <c r="B387" t="s">
        <v>75</v>
      </c>
      <c r="C387" t="b">
        <v>0</v>
      </c>
      <c r="D387" t="b">
        <v>0</v>
      </c>
      <c r="E387" t="s">
        <v>80</v>
      </c>
      <c r="F387" t="s">
        <v>82</v>
      </c>
      <c r="G387" t="s">
        <v>81</v>
      </c>
      <c r="H387">
        <v>14.1</v>
      </c>
      <c r="I387">
        <v>25</v>
      </c>
      <c r="J387">
        <v>260</v>
      </c>
      <c r="K387">
        <v>7771.84</v>
      </c>
      <c r="L387">
        <v>250.42</v>
      </c>
      <c r="M387">
        <v>15.65</v>
      </c>
      <c r="N387">
        <v>7505.77</v>
      </c>
      <c r="O387">
        <v>2295.05</v>
      </c>
      <c r="P387">
        <v>5210.72</v>
      </c>
      <c r="Q387">
        <v>56.75</v>
      </c>
      <c r="R387">
        <v>304.2</v>
      </c>
      <c r="S387">
        <v>473</v>
      </c>
      <c r="T387">
        <v>177</v>
      </c>
      <c r="U387">
        <v>7</v>
      </c>
      <c r="V387">
        <v>83</v>
      </c>
      <c r="W387">
        <v>34</v>
      </c>
      <c r="X387">
        <v>28.87</v>
      </c>
      <c r="Y387">
        <v>1.82</v>
      </c>
      <c r="Z387">
        <v>69.42</v>
      </c>
      <c r="AA387">
        <v>2177.42</v>
      </c>
      <c r="AB387">
        <v>1147.54</v>
      </c>
      <c r="AC387">
        <v>201.21</v>
      </c>
      <c r="AD387">
        <v>110</v>
      </c>
      <c r="AE387">
        <v>197.04</v>
      </c>
      <c r="AF387">
        <v>3833.21</v>
      </c>
      <c r="AG387">
        <v>1016.56</v>
      </c>
      <c r="AH387">
        <v>13.54</v>
      </c>
    </row>
    <row r="388" spans="1:34">
      <c r="A388" t="s">
        <v>862</v>
      </c>
      <c r="B388" t="s">
        <v>258</v>
      </c>
      <c r="C388" t="b">
        <v>0</v>
      </c>
      <c r="D388" t="b">
        <v>0</v>
      </c>
      <c r="E388" t="s">
        <v>80</v>
      </c>
      <c r="F388" t="s">
        <v>82</v>
      </c>
      <c r="G388" t="s">
        <v>81</v>
      </c>
      <c r="H388">
        <v>14.8</v>
      </c>
      <c r="I388">
        <v>26</v>
      </c>
      <c r="J388">
        <v>213</v>
      </c>
      <c r="K388">
        <v>5329.32</v>
      </c>
      <c r="L388">
        <v>163.45</v>
      </c>
      <c r="M388">
        <v>0</v>
      </c>
      <c r="N388">
        <v>5165.87</v>
      </c>
      <c r="O388">
        <v>1501.98</v>
      </c>
      <c r="P388">
        <v>3663.89</v>
      </c>
      <c r="Q388">
        <v>44.24</v>
      </c>
      <c r="R388">
        <v>169.7</v>
      </c>
      <c r="S388">
        <v>334</v>
      </c>
      <c r="T388">
        <v>144</v>
      </c>
      <c r="U388">
        <v>10</v>
      </c>
      <c r="V388">
        <v>69</v>
      </c>
      <c r="W388">
        <v>23</v>
      </c>
      <c r="X388">
        <v>24.25</v>
      </c>
      <c r="Y388">
        <v>1.57</v>
      </c>
      <c r="Z388">
        <v>70.92</v>
      </c>
      <c r="AA388">
        <v>2177.42</v>
      </c>
      <c r="AB388">
        <v>1147.54</v>
      </c>
      <c r="AC388">
        <v>203.32</v>
      </c>
      <c r="AD388">
        <v>110</v>
      </c>
      <c r="AE388">
        <v>197.55</v>
      </c>
      <c r="AF388">
        <v>3835.83</v>
      </c>
      <c r="AG388">
        <v>-385.88</v>
      </c>
      <c r="AH388">
        <v>-7.47</v>
      </c>
    </row>
    <row r="389" spans="1:34">
      <c r="A389" t="s">
        <v>863</v>
      </c>
      <c r="B389" t="s">
        <v>259</v>
      </c>
      <c r="C389" t="b">
        <v>0</v>
      </c>
      <c r="D389" t="b">
        <v>0</v>
      </c>
      <c r="E389" t="s">
        <v>80</v>
      </c>
      <c r="F389" t="s">
        <v>82</v>
      </c>
      <c r="G389" t="s">
        <v>81</v>
      </c>
      <c r="H389">
        <v>13.4</v>
      </c>
      <c r="I389">
        <v>27</v>
      </c>
      <c r="J389">
        <v>216</v>
      </c>
      <c r="K389">
        <v>6176.34</v>
      </c>
      <c r="L389">
        <v>138.25</v>
      </c>
      <c r="M389">
        <v>0</v>
      </c>
      <c r="N389">
        <v>6038.09</v>
      </c>
      <c r="O389">
        <v>1802.14</v>
      </c>
      <c r="P389">
        <v>4235.95</v>
      </c>
      <c r="Q389">
        <v>48.88</v>
      </c>
      <c r="R389">
        <v>212.14</v>
      </c>
      <c r="S389">
        <v>378</v>
      </c>
      <c r="T389">
        <v>147</v>
      </c>
      <c r="U389">
        <v>7</v>
      </c>
      <c r="V389">
        <v>69</v>
      </c>
      <c r="W389">
        <v>26</v>
      </c>
      <c r="X389">
        <v>27.95</v>
      </c>
      <c r="Y389">
        <v>1.75</v>
      </c>
      <c r="Z389">
        <v>70.15000000000001</v>
      </c>
      <c r="AA389">
        <v>2177.42</v>
      </c>
      <c r="AB389">
        <v>1147.54</v>
      </c>
      <c r="AC389">
        <v>224.8</v>
      </c>
      <c r="AD389">
        <v>110</v>
      </c>
      <c r="AE389">
        <v>151.52</v>
      </c>
      <c r="AF389">
        <v>3811.28</v>
      </c>
      <c r="AG389">
        <v>163.65</v>
      </c>
      <c r="AH389">
        <v>2.71</v>
      </c>
    </row>
    <row r="390" spans="1:34">
      <c r="A390" t="s">
        <v>864</v>
      </c>
      <c r="B390" t="s">
        <v>260</v>
      </c>
      <c r="C390" t="b">
        <v>0</v>
      </c>
      <c r="D390" t="b">
        <v>0</v>
      </c>
      <c r="E390" t="s">
        <v>80</v>
      </c>
      <c r="F390" t="s">
        <v>82</v>
      </c>
      <c r="G390" t="s">
        <v>81</v>
      </c>
      <c r="H390">
        <v>14.7</v>
      </c>
      <c r="I390">
        <v>28</v>
      </c>
      <c r="J390">
        <v>217</v>
      </c>
      <c r="K390">
        <v>6639.74</v>
      </c>
      <c r="L390">
        <v>291.28</v>
      </c>
      <c r="M390">
        <v>0</v>
      </c>
      <c r="N390">
        <v>6348.46</v>
      </c>
      <c r="O390">
        <v>1954.13</v>
      </c>
      <c r="P390">
        <v>4394.33</v>
      </c>
      <c r="Q390">
        <v>47.87</v>
      </c>
      <c r="R390">
        <v>217.5</v>
      </c>
      <c r="S390">
        <v>381</v>
      </c>
      <c r="T390">
        <v>129</v>
      </c>
      <c r="U390">
        <v>5</v>
      </c>
      <c r="V390">
        <v>88</v>
      </c>
      <c r="W390">
        <v>30</v>
      </c>
      <c r="X390">
        <v>29.26</v>
      </c>
      <c r="Y390">
        <v>1.76</v>
      </c>
      <c r="Z390">
        <v>69.22</v>
      </c>
      <c r="AA390">
        <v>2177.42</v>
      </c>
      <c r="AB390">
        <v>1147.54</v>
      </c>
      <c r="AC390">
        <v>217.45</v>
      </c>
      <c r="AD390">
        <v>110</v>
      </c>
      <c r="AE390">
        <v>184.9</v>
      </c>
      <c r="AF390">
        <v>3837.31</v>
      </c>
      <c r="AG390">
        <v>291.65</v>
      </c>
      <c r="AH390">
        <v>4.59</v>
      </c>
    </row>
    <row r="391" spans="1:34">
      <c r="A391" t="s">
        <v>865</v>
      </c>
      <c r="B391" t="s">
        <v>261</v>
      </c>
      <c r="C391" t="b">
        <v>0</v>
      </c>
      <c r="D391" t="b">
        <v>0</v>
      </c>
      <c r="E391" t="s">
        <v>80</v>
      </c>
      <c r="F391" t="s">
        <v>82</v>
      </c>
      <c r="G391" t="s">
        <v>1477</v>
      </c>
      <c r="H391">
        <v>14.3</v>
      </c>
      <c r="I391">
        <v>0</v>
      </c>
      <c r="J391">
        <v>315</v>
      </c>
      <c r="K391">
        <v>10964.09</v>
      </c>
      <c r="L391">
        <v>345.2</v>
      </c>
      <c r="M391">
        <v>16.52</v>
      </c>
      <c r="N391">
        <v>10602.37</v>
      </c>
      <c r="O391">
        <v>3154.07</v>
      </c>
      <c r="P391">
        <v>7448.3</v>
      </c>
      <c r="Q391">
        <v>82.36</v>
      </c>
      <c r="R391">
        <v>380.6</v>
      </c>
      <c r="S391">
        <v>655</v>
      </c>
      <c r="T391">
        <v>205</v>
      </c>
      <c r="U391">
        <v>11</v>
      </c>
      <c r="V391">
        <v>110</v>
      </c>
      <c r="W391">
        <v>39</v>
      </c>
      <c r="X391">
        <v>33.66</v>
      </c>
      <c r="Y391">
        <v>2.08</v>
      </c>
      <c r="Z391">
        <v>70.25</v>
      </c>
      <c r="AA391">
        <v>2177.42</v>
      </c>
      <c r="AB391">
        <v>1147.54</v>
      </c>
      <c r="AC391">
        <v>222.32</v>
      </c>
      <c r="AD391">
        <v>110</v>
      </c>
      <c r="AE391">
        <v>210.19</v>
      </c>
      <c r="AF391">
        <v>3867.47</v>
      </c>
      <c r="AG391">
        <v>3117.87</v>
      </c>
      <c r="AH391">
        <v>29.41</v>
      </c>
    </row>
    <row r="392" spans="1:34">
      <c r="A392" t="s">
        <v>866</v>
      </c>
      <c r="B392" t="s">
        <v>262</v>
      </c>
      <c r="C392" t="b">
        <v>1</v>
      </c>
      <c r="D392" t="b">
        <v>0</v>
      </c>
      <c r="E392" t="s">
        <v>80</v>
      </c>
      <c r="F392" t="s">
        <v>82</v>
      </c>
      <c r="G392" t="s">
        <v>1477</v>
      </c>
      <c r="H392">
        <v>15.3</v>
      </c>
      <c r="I392">
        <v>1</v>
      </c>
      <c r="J392">
        <v>241</v>
      </c>
      <c r="K392">
        <v>9457.190000000001</v>
      </c>
      <c r="L392">
        <v>267.81</v>
      </c>
      <c r="M392">
        <v>16.52</v>
      </c>
      <c r="N392">
        <v>9172.860000000001</v>
      </c>
      <c r="O392">
        <v>2750.92</v>
      </c>
      <c r="P392">
        <v>6421.94</v>
      </c>
      <c r="Q392">
        <v>74.81</v>
      </c>
      <c r="R392">
        <v>360.76</v>
      </c>
      <c r="S392">
        <v>560</v>
      </c>
      <c r="T392">
        <v>144</v>
      </c>
      <c r="U392">
        <v>10</v>
      </c>
      <c r="V392">
        <v>97</v>
      </c>
      <c r="W392">
        <v>38</v>
      </c>
      <c r="X392">
        <v>38.06</v>
      </c>
      <c r="Y392">
        <v>2.32</v>
      </c>
      <c r="Z392">
        <v>70.01000000000001</v>
      </c>
      <c r="AA392">
        <v>2177.42</v>
      </c>
      <c r="AB392">
        <v>1147.54</v>
      </c>
      <c r="AC392">
        <v>194.38</v>
      </c>
      <c r="AD392">
        <v>110</v>
      </c>
      <c r="AE392">
        <v>195.12</v>
      </c>
      <c r="AF392">
        <v>3824.46</v>
      </c>
      <c r="AG392">
        <v>2161.91</v>
      </c>
      <c r="AH392">
        <v>23.57</v>
      </c>
    </row>
    <row r="393" spans="1:34">
      <c r="A393" t="s">
        <v>867</v>
      </c>
      <c r="B393" t="s">
        <v>263</v>
      </c>
      <c r="C393" t="b">
        <v>1</v>
      </c>
      <c r="D393" t="b">
        <v>0</v>
      </c>
      <c r="E393" t="s">
        <v>80</v>
      </c>
      <c r="F393" t="s">
        <v>82</v>
      </c>
      <c r="G393" t="s">
        <v>1477</v>
      </c>
      <c r="H393">
        <v>15.2</v>
      </c>
      <c r="I393">
        <v>2</v>
      </c>
      <c r="J393">
        <v>195</v>
      </c>
      <c r="K393">
        <v>7194.57</v>
      </c>
      <c r="L393">
        <v>246.94</v>
      </c>
      <c r="M393">
        <v>0</v>
      </c>
      <c r="N393">
        <v>6947.63</v>
      </c>
      <c r="O393">
        <v>2091.17</v>
      </c>
      <c r="P393">
        <v>4856.46</v>
      </c>
      <c r="Q393">
        <v>51.45</v>
      </c>
      <c r="R393">
        <v>311.66</v>
      </c>
      <c r="S393">
        <v>427</v>
      </c>
      <c r="T393">
        <v>138</v>
      </c>
      <c r="U393">
        <v>8</v>
      </c>
      <c r="V393">
        <v>57</v>
      </c>
      <c r="W393">
        <v>30</v>
      </c>
      <c r="X393">
        <v>35.63</v>
      </c>
      <c r="Y393">
        <v>2.19</v>
      </c>
      <c r="Z393">
        <v>69.90000000000001</v>
      </c>
      <c r="AA393">
        <v>2177.42</v>
      </c>
      <c r="AB393">
        <v>1147.54</v>
      </c>
      <c r="AC393">
        <v>211.7</v>
      </c>
      <c r="AD393">
        <v>110</v>
      </c>
      <c r="AE393">
        <v>182.46</v>
      </c>
      <c r="AF393">
        <v>3829.12</v>
      </c>
      <c r="AG393">
        <v>664.23</v>
      </c>
      <c r="AH393">
        <v>9.56</v>
      </c>
    </row>
    <row r="394" spans="1:34">
      <c r="A394" t="s">
        <v>421</v>
      </c>
      <c r="B394" t="s">
        <v>75</v>
      </c>
      <c r="C394" t="b">
        <v>0</v>
      </c>
      <c r="D394" t="b">
        <v>0</v>
      </c>
      <c r="E394" t="s">
        <v>80</v>
      </c>
      <c r="F394" t="s">
        <v>82</v>
      </c>
      <c r="G394" t="s">
        <v>1477</v>
      </c>
      <c r="H394">
        <v>17.6</v>
      </c>
      <c r="I394">
        <v>3</v>
      </c>
      <c r="J394">
        <v>250</v>
      </c>
      <c r="K394">
        <v>6837.25</v>
      </c>
      <c r="L394">
        <v>205.22</v>
      </c>
      <c r="M394">
        <v>22.61</v>
      </c>
      <c r="N394">
        <v>6609.42</v>
      </c>
      <c r="O394">
        <v>1994.92</v>
      </c>
      <c r="P394">
        <v>4614.5</v>
      </c>
      <c r="Q394">
        <v>51.08</v>
      </c>
      <c r="R394">
        <v>205.64</v>
      </c>
      <c r="S394">
        <v>416</v>
      </c>
      <c r="T394">
        <v>158</v>
      </c>
      <c r="U394">
        <v>8</v>
      </c>
      <c r="V394">
        <v>92</v>
      </c>
      <c r="W394">
        <v>24</v>
      </c>
      <c r="X394">
        <v>26.44</v>
      </c>
      <c r="Y394">
        <v>1.66</v>
      </c>
      <c r="Z394">
        <v>69.81999999999999</v>
      </c>
      <c r="AA394">
        <v>2177.42</v>
      </c>
      <c r="AB394">
        <v>1147.54</v>
      </c>
      <c r="AC394">
        <v>204.5</v>
      </c>
      <c r="AD394">
        <v>110</v>
      </c>
      <c r="AE394">
        <v>193.5</v>
      </c>
      <c r="AF394">
        <v>3832.96</v>
      </c>
      <c r="AG394">
        <v>524.8200000000001</v>
      </c>
      <c r="AH394">
        <v>7.94</v>
      </c>
    </row>
    <row r="395" spans="1:34">
      <c r="A395" t="s">
        <v>868</v>
      </c>
      <c r="B395" t="s">
        <v>258</v>
      </c>
      <c r="C395" t="b">
        <v>0</v>
      </c>
      <c r="D395" t="b">
        <v>0</v>
      </c>
      <c r="E395" t="s">
        <v>80</v>
      </c>
      <c r="F395" t="s">
        <v>82</v>
      </c>
      <c r="G395" t="s">
        <v>1477</v>
      </c>
      <c r="H395">
        <v>18.4</v>
      </c>
      <c r="I395">
        <v>4</v>
      </c>
      <c r="J395">
        <v>248</v>
      </c>
      <c r="K395">
        <v>6883.24</v>
      </c>
      <c r="L395">
        <v>176.52</v>
      </c>
      <c r="M395">
        <v>0</v>
      </c>
      <c r="N395">
        <v>6706.72</v>
      </c>
      <c r="O395">
        <v>1986.37</v>
      </c>
      <c r="P395">
        <v>4720.35</v>
      </c>
      <c r="Q395">
        <v>52.29</v>
      </c>
      <c r="R395">
        <v>270.88</v>
      </c>
      <c r="S395">
        <v>417</v>
      </c>
      <c r="T395">
        <v>158</v>
      </c>
      <c r="U395">
        <v>14</v>
      </c>
      <c r="V395">
        <v>90</v>
      </c>
      <c r="W395">
        <v>34</v>
      </c>
      <c r="X395">
        <v>27.04</v>
      </c>
      <c r="Y395">
        <v>1.68</v>
      </c>
      <c r="Z395">
        <v>70.38</v>
      </c>
      <c r="AA395">
        <v>2177.42</v>
      </c>
      <c r="AB395">
        <v>1147.54</v>
      </c>
      <c r="AC395">
        <v>197.45</v>
      </c>
      <c r="AD395">
        <v>110</v>
      </c>
      <c r="AE395">
        <v>215.54</v>
      </c>
      <c r="AF395">
        <v>3847.95</v>
      </c>
      <c r="AG395">
        <v>549.23</v>
      </c>
      <c r="AH395">
        <v>8.19</v>
      </c>
    </row>
    <row r="396" spans="1:34">
      <c r="A396" t="s">
        <v>869</v>
      </c>
      <c r="B396" t="s">
        <v>259</v>
      </c>
      <c r="C396" t="b">
        <v>0</v>
      </c>
      <c r="D396" t="b">
        <v>0</v>
      </c>
      <c r="E396" t="s">
        <v>80</v>
      </c>
      <c r="F396" t="s">
        <v>82</v>
      </c>
      <c r="G396" t="s">
        <v>81</v>
      </c>
      <c r="H396">
        <v>19.4</v>
      </c>
      <c r="I396">
        <v>5</v>
      </c>
      <c r="J396">
        <v>243</v>
      </c>
      <c r="K396">
        <v>7600.62</v>
      </c>
      <c r="L396">
        <v>209.55</v>
      </c>
      <c r="M396">
        <v>21.74</v>
      </c>
      <c r="N396">
        <v>7369.33</v>
      </c>
      <c r="O396">
        <v>2231.15</v>
      </c>
      <c r="P396">
        <v>5138.18</v>
      </c>
      <c r="Q396">
        <v>58.62</v>
      </c>
      <c r="R396">
        <v>261.17</v>
      </c>
      <c r="S396">
        <v>456</v>
      </c>
      <c r="T396">
        <v>164</v>
      </c>
      <c r="U396">
        <v>7</v>
      </c>
      <c r="V396">
        <v>79</v>
      </c>
      <c r="W396">
        <v>29</v>
      </c>
      <c r="X396">
        <v>30.33</v>
      </c>
      <c r="Y396">
        <v>1.88</v>
      </c>
      <c r="Z396">
        <v>69.72</v>
      </c>
      <c r="AA396">
        <v>2177.42</v>
      </c>
      <c r="AB396">
        <v>1147.54</v>
      </c>
      <c r="AC396">
        <v>232.99</v>
      </c>
      <c r="AD396">
        <v>110</v>
      </c>
      <c r="AE396">
        <v>176.27</v>
      </c>
      <c r="AF396">
        <v>3844.22</v>
      </c>
      <c r="AG396">
        <v>974.17</v>
      </c>
      <c r="AH396">
        <v>13.22</v>
      </c>
    </row>
    <row r="397" spans="1:34">
      <c r="A397" t="s">
        <v>870</v>
      </c>
      <c r="B397" t="s">
        <v>260</v>
      </c>
      <c r="C397" t="b">
        <v>0</v>
      </c>
      <c r="D397" t="b">
        <v>0</v>
      </c>
      <c r="E397" t="s">
        <v>80</v>
      </c>
      <c r="F397" t="s">
        <v>82</v>
      </c>
      <c r="G397" t="s">
        <v>81</v>
      </c>
      <c r="H397">
        <v>20</v>
      </c>
      <c r="I397">
        <v>6</v>
      </c>
      <c r="J397">
        <v>279</v>
      </c>
      <c r="K397">
        <v>8524.93</v>
      </c>
      <c r="L397">
        <v>280.84</v>
      </c>
      <c r="M397">
        <v>0</v>
      </c>
      <c r="N397">
        <v>8244.09</v>
      </c>
      <c r="O397">
        <v>2525.23</v>
      </c>
      <c r="P397">
        <v>5718.86</v>
      </c>
      <c r="Q397">
        <v>59.81</v>
      </c>
      <c r="R397">
        <v>341.91</v>
      </c>
      <c r="S397">
        <v>510</v>
      </c>
      <c r="T397">
        <v>186</v>
      </c>
      <c r="U397">
        <v>6</v>
      </c>
      <c r="V397">
        <v>93</v>
      </c>
      <c r="W397">
        <v>34</v>
      </c>
      <c r="X397">
        <v>29.55</v>
      </c>
      <c r="Y397">
        <v>1.83</v>
      </c>
      <c r="Z397">
        <v>69.37</v>
      </c>
      <c r="AA397">
        <v>2177.42</v>
      </c>
      <c r="AB397">
        <v>1147.54</v>
      </c>
      <c r="AC397">
        <v>206.04</v>
      </c>
      <c r="AD397">
        <v>110</v>
      </c>
      <c r="AE397">
        <v>181.98</v>
      </c>
      <c r="AF397">
        <v>3822.98</v>
      </c>
      <c r="AG397">
        <v>1494.16</v>
      </c>
      <c r="AH397">
        <v>18.12</v>
      </c>
    </row>
    <row r="398" spans="1:34">
      <c r="A398" t="s">
        <v>871</v>
      </c>
      <c r="B398" t="s">
        <v>261</v>
      </c>
      <c r="C398" t="b">
        <v>0</v>
      </c>
      <c r="D398" t="b">
        <v>0</v>
      </c>
      <c r="E398" t="s">
        <v>80</v>
      </c>
      <c r="F398" t="s">
        <v>82</v>
      </c>
      <c r="G398" t="s">
        <v>81</v>
      </c>
      <c r="H398">
        <v>19.4</v>
      </c>
      <c r="I398">
        <v>7</v>
      </c>
      <c r="J398">
        <v>319</v>
      </c>
      <c r="K398">
        <v>9791.83</v>
      </c>
      <c r="L398">
        <v>413.04</v>
      </c>
      <c r="M398">
        <v>13.92</v>
      </c>
      <c r="N398">
        <v>9364.870000000001</v>
      </c>
      <c r="O398">
        <v>2758.95</v>
      </c>
      <c r="P398">
        <v>6605.92</v>
      </c>
      <c r="Q398">
        <v>79.7</v>
      </c>
      <c r="R398">
        <v>244.49</v>
      </c>
      <c r="S398">
        <v>586</v>
      </c>
      <c r="T398">
        <v>197</v>
      </c>
      <c r="U398">
        <v>15</v>
      </c>
      <c r="V398">
        <v>122</v>
      </c>
      <c r="W398">
        <v>33</v>
      </c>
      <c r="X398">
        <v>29.36</v>
      </c>
      <c r="Y398">
        <v>1.84</v>
      </c>
      <c r="Z398">
        <v>70.54000000000001</v>
      </c>
      <c r="AA398">
        <v>2327.59</v>
      </c>
      <c r="AB398">
        <v>1147.54</v>
      </c>
      <c r="AC398">
        <v>246.95</v>
      </c>
      <c r="AD398">
        <v>110</v>
      </c>
      <c r="AE398">
        <v>198.57</v>
      </c>
      <c r="AF398">
        <v>4030.65</v>
      </c>
      <c r="AG398">
        <v>2251.08</v>
      </c>
      <c r="AH398">
        <v>24.04</v>
      </c>
    </row>
    <row r="399" spans="1:34">
      <c r="A399" t="s">
        <v>872</v>
      </c>
      <c r="B399" t="s">
        <v>262</v>
      </c>
      <c r="C399" t="b">
        <v>1</v>
      </c>
      <c r="D399" t="b">
        <v>0</v>
      </c>
      <c r="E399" t="s">
        <v>80</v>
      </c>
      <c r="F399" t="s">
        <v>82</v>
      </c>
      <c r="G399" t="s">
        <v>81</v>
      </c>
      <c r="H399">
        <v>18.6</v>
      </c>
      <c r="I399">
        <v>8</v>
      </c>
      <c r="J399">
        <v>242</v>
      </c>
      <c r="K399">
        <v>8534.610000000001</v>
      </c>
      <c r="L399">
        <v>354.76</v>
      </c>
      <c r="M399">
        <v>0</v>
      </c>
      <c r="N399">
        <v>8179.85</v>
      </c>
      <c r="O399">
        <v>2443.17</v>
      </c>
      <c r="P399">
        <v>5736.68</v>
      </c>
      <c r="Q399">
        <v>68.06</v>
      </c>
      <c r="R399">
        <v>279.27</v>
      </c>
      <c r="S399">
        <v>500</v>
      </c>
      <c r="T399">
        <v>161</v>
      </c>
      <c r="U399">
        <v>13</v>
      </c>
      <c r="V399">
        <v>81</v>
      </c>
      <c r="W399">
        <v>30</v>
      </c>
      <c r="X399">
        <v>33.8</v>
      </c>
      <c r="Y399">
        <v>2.07</v>
      </c>
      <c r="Z399">
        <v>70.13</v>
      </c>
      <c r="AA399">
        <v>2327.59</v>
      </c>
      <c r="AB399">
        <v>1147.54</v>
      </c>
      <c r="AC399">
        <v>199.38</v>
      </c>
      <c r="AD399">
        <v>110</v>
      </c>
      <c r="AE399">
        <v>202.29</v>
      </c>
      <c r="AF399">
        <v>3986.8</v>
      </c>
      <c r="AG399">
        <v>1402.55</v>
      </c>
      <c r="AH399">
        <v>17.15</v>
      </c>
    </row>
    <row r="400" spans="1:34">
      <c r="A400" t="s">
        <v>873</v>
      </c>
      <c r="B400" t="s">
        <v>263</v>
      </c>
      <c r="C400" t="b">
        <v>1</v>
      </c>
      <c r="D400" t="b">
        <v>0</v>
      </c>
      <c r="E400" t="s">
        <v>80</v>
      </c>
      <c r="F400" t="s">
        <v>82</v>
      </c>
      <c r="G400" t="s">
        <v>81</v>
      </c>
      <c r="H400">
        <v>18.4</v>
      </c>
      <c r="I400">
        <v>9</v>
      </c>
      <c r="J400">
        <v>213</v>
      </c>
      <c r="K400">
        <v>7728.55</v>
      </c>
      <c r="L400">
        <v>249.55</v>
      </c>
      <c r="M400">
        <v>33.04</v>
      </c>
      <c r="N400">
        <v>7445.96</v>
      </c>
      <c r="O400">
        <v>2280.78</v>
      </c>
      <c r="P400">
        <v>5165.18</v>
      </c>
      <c r="Q400">
        <v>53.98</v>
      </c>
      <c r="R400">
        <v>336.16</v>
      </c>
      <c r="S400">
        <v>458</v>
      </c>
      <c r="T400">
        <v>149</v>
      </c>
      <c r="U400">
        <v>5</v>
      </c>
      <c r="V400">
        <v>64</v>
      </c>
      <c r="W400">
        <v>44</v>
      </c>
      <c r="X400">
        <v>34.96</v>
      </c>
      <c r="Y400">
        <v>2.15</v>
      </c>
      <c r="Z400">
        <v>69.37</v>
      </c>
      <c r="AA400">
        <v>2327.59</v>
      </c>
      <c r="AB400">
        <v>1147.54</v>
      </c>
      <c r="AC400">
        <v>176.1</v>
      </c>
      <c r="AD400">
        <v>110</v>
      </c>
      <c r="AE400">
        <v>197.01</v>
      </c>
      <c r="AF400">
        <v>3958.24</v>
      </c>
      <c r="AG400">
        <v>816.8</v>
      </c>
      <c r="AH400">
        <v>10.97</v>
      </c>
    </row>
    <row r="401" spans="1:34">
      <c r="A401" t="s">
        <v>422</v>
      </c>
      <c r="B401" t="s">
        <v>75</v>
      </c>
      <c r="C401" t="b">
        <v>0</v>
      </c>
      <c r="D401" t="b">
        <v>0</v>
      </c>
      <c r="E401" t="s">
        <v>80</v>
      </c>
      <c r="F401" t="s">
        <v>82</v>
      </c>
      <c r="G401" t="s">
        <v>81</v>
      </c>
      <c r="H401">
        <v>17.4</v>
      </c>
      <c r="I401">
        <v>10</v>
      </c>
      <c r="J401">
        <v>250</v>
      </c>
      <c r="K401">
        <v>6936.29</v>
      </c>
      <c r="L401">
        <v>171.29</v>
      </c>
      <c r="M401">
        <v>0</v>
      </c>
      <c r="N401">
        <v>6765</v>
      </c>
      <c r="O401">
        <v>2000.36</v>
      </c>
      <c r="P401">
        <v>4764.64</v>
      </c>
      <c r="Q401">
        <v>52.99</v>
      </c>
      <c r="R401">
        <v>242.57</v>
      </c>
      <c r="S401">
        <v>410</v>
      </c>
      <c r="T401">
        <v>158</v>
      </c>
      <c r="U401">
        <v>8</v>
      </c>
      <c r="V401">
        <v>92</v>
      </c>
      <c r="W401">
        <v>27</v>
      </c>
      <c r="X401">
        <v>27.06</v>
      </c>
      <c r="Y401">
        <v>1.64</v>
      </c>
      <c r="Z401">
        <v>70.43000000000001</v>
      </c>
      <c r="AA401">
        <v>2327.59</v>
      </c>
      <c r="AB401">
        <v>1147.54</v>
      </c>
      <c r="AC401">
        <v>201.85</v>
      </c>
      <c r="AD401">
        <v>110</v>
      </c>
      <c r="AE401">
        <v>186.24</v>
      </c>
      <c r="AF401">
        <v>3973.22</v>
      </c>
      <c r="AG401">
        <v>495.86</v>
      </c>
      <c r="AH401">
        <v>7.33</v>
      </c>
    </row>
    <row r="402" spans="1:34">
      <c r="A402" t="s">
        <v>874</v>
      </c>
      <c r="B402" t="s">
        <v>258</v>
      </c>
      <c r="C402" t="b">
        <v>0</v>
      </c>
      <c r="D402" t="b">
        <v>0</v>
      </c>
      <c r="E402" t="s">
        <v>80</v>
      </c>
      <c r="F402" t="s">
        <v>82</v>
      </c>
      <c r="G402" t="s">
        <v>81</v>
      </c>
      <c r="H402">
        <v>15.7</v>
      </c>
      <c r="I402">
        <v>11</v>
      </c>
      <c r="J402">
        <v>266</v>
      </c>
      <c r="K402">
        <v>7203.24</v>
      </c>
      <c r="L402">
        <v>174.78</v>
      </c>
      <c r="M402">
        <v>33.04</v>
      </c>
      <c r="N402">
        <v>6995.42</v>
      </c>
      <c r="O402">
        <v>2127.79</v>
      </c>
      <c r="P402">
        <v>4867.63</v>
      </c>
      <c r="Q402">
        <v>53.38</v>
      </c>
      <c r="R402">
        <v>268.74</v>
      </c>
      <c r="S402">
        <v>437</v>
      </c>
      <c r="T402">
        <v>168</v>
      </c>
      <c r="U402">
        <v>5</v>
      </c>
      <c r="V402">
        <v>98</v>
      </c>
      <c r="W402">
        <v>29</v>
      </c>
      <c r="X402">
        <v>26.3</v>
      </c>
      <c r="Y402">
        <v>1.64</v>
      </c>
      <c r="Z402">
        <v>69.58</v>
      </c>
      <c r="AA402">
        <v>2327.59</v>
      </c>
      <c r="AB402">
        <v>1147.54</v>
      </c>
      <c r="AC402">
        <v>206.99</v>
      </c>
      <c r="AD402">
        <v>110</v>
      </c>
      <c r="AE402">
        <v>187.28</v>
      </c>
      <c r="AF402">
        <v>3979.4</v>
      </c>
      <c r="AG402">
        <v>566.11</v>
      </c>
      <c r="AH402">
        <v>8.09</v>
      </c>
    </row>
    <row r="403" spans="1:34">
      <c r="A403" t="s">
        <v>875</v>
      </c>
      <c r="B403" t="s">
        <v>259</v>
      </c>
      <c r="C403" t="b">
        <v>0</v>
      </c>
      <c r="D403" t="b">
        <v>0</v>
      </c>
      <c r="E403" t="s">
        <v>80</v>
      </c>
      <c r="F403" t="s">
        <v>82</v>
      </c>
      <c r="G403" t="s">
        <v>81</v>
      </c>
      <c r="H403">
        <v>17</v>
      </c>
      <c r="I403">
        <v>12</v>
      </c>
      <c r="J403">
        <v>227</v>
      </c>
      <c r="K403">
        <v>6685.87</v>
      </c>
      <c r="L403">
        <v>146.08</v>
      </c>
      <c r="M403">
        <v>0</v>
      </c>
      <c r="N403">
        <v>6539.79</v>
      </c>
      <c r="O403">
        <v>1975.91</v>
      </c>
      <c r="P403">
        <v>4563.88</v>
      </c>
      <c r="Q403">
        <v>55.33</v>
      </c>
      <c r="R403">
        <v>167.8</v>
      </c>
      <c r="S403">
        <v>402</v>
      </c>
      <c r="T403">
        <v>138</v>
      </c>
      <c r="U403">
        <v>4</v>
      </c>
      <c r="V403">
        <v>89</v>
      </c>
      <c r="W403">
        <v>22</v>
      </c>
      <c r="X403">
        <v>28.81</v>
      </c>
      <c r="Y403">
        <v>1.77</v>
      </c>
      <c r="Z403">
        <v>69.79000000000001</v>
      </c>
      <c r="AA403">
        <v>2327.59</v>
      </c>
      <c r="AB403">
        <v>1147.54</v>
      </c>
      <c r="AC403">
        <v>219.63</v>
      </c>
      <c r="AD403">
        <v>110</v>
      </c>
      <c r="AE403">
        <v>223.54</v>
      </c>
      <c r="AF403">
        <v>4028.3</v>
      </c>
      <c r="AG403">
        <v>312.45</v>
      </c>
      <c r="AH403">
        <v>4.78</v>
      </c>
    </row>
    <row r="404" spans="1:34">
      <c r="A404" t="s">
        <v>876</v>
      </c>
      <c r="B404" t="s">
        <v>260</v>
      </c>
      <c r="C404" t="b">
        <v>0</v>
      </c>
      <c r="D404" t="b">
        <v>0</v>
      </c>
      <c r="E404" t="s">
        <v>80</v>
      </c>
      <c r="F404" t="s">
        <v>82</v>
      </c>
      <c r="G404" t="s">
        <v>81</v>
      </c>
      <c r="H404">
        <v>17.9</v>
      </c>
      <c r="I404">
        <v>13</v>
      </c>
      <c r="J404">
        <v>282</v>
      </c>
      <c r="K404">
        <v>8345.01</v>
      </c>
      <c r="L404">
        <v>278.24</v>
      </c>
      <c r="M404">
        <v>0</v>
      </c>
      <c r="N404">
        <v>8066.77</v>
      </c>
      <c r="O404">
        <v>2396.77</v>
      </c>
      <c r="P404">
        <v>5670</v>
      </c>
      <c r="Q404">
        <v>65.34</v>
      </c>
      <c r="R404">
        <v>256.56</v>
      </c>
      <c r="S404">
        <v>504</v>
      </c>
      <c r="T404">
        <v>180</v>
      </c>
      <c r="U404">
        <v>9</v>
      </c>
      <c r="V404">
        <v>102</v>
      </c>
      <c r="W404">
        <v>30</v>
      </c>
      <c r="X404">
        <v>28.61</v>
      </c>
      <c r="Y404">
        <v>1.79</v>
      </c>
      <c r="Z404">
        <v>70.29000000000001</v>
      </c>
      <c r="AA404">
        <v>2327.59</v>
      </c>
      <c r="AB404">
        <v>1147.54</v>
      </c>
      <c r="AC404">
        <v>198.4</v>
      </c>
      <c r="AD404">
        <v>110</v>
      </c>
      <c r="AE404">
        <v>207.44</v>
      </c>
      <c r="AF404">
        <v>3990.97</v>
      </c>
      <c r="AG404">
        <v>1357.13</v>
      </c>
      <c r="AH404">
        <v>16.82</v>
      </c>
    </row>
    <row r="405" spans="1:34">
      <c r="A405" t="s">
        <v>877</v>
      </c>
      <c r="B405" t="s">
        <v>261</v>
      </c>
      <c r="C405" t="b">
        <v>0</v>
      </c>
      <c r="D405" t="b">
        <v>0</v>
      </c>
      <c r="E405" t="s">
        <v>80</v>
      </c>
      <c r="F405" t="s">
        <v>82</v>
      </c>
      <c r="G405" t="s">
        <v>81</v>
      </c>
      <c r="H405">
        <v>17.8</v>
      </c>
      <c r="I405">
        <v>14</v>
      </c>
      <c r="J405">
        <v>481</v>
      </c>
      <c r="K405">
        <v>14986.54</v>
      </c>
      <c r="L405">
        <v>383.45</v>
      </c>
      <c r="M405">
        <v>0</v>
      </c>
      <c r="N405">
        <v>14603.09</v>
      </c>
      <c r="O405">
        <v>4319.91</v>
      </c>
      <c r="P405">
        <v>10283.18</v>
      </c>
      <c r="Q405">
        <v>123.67</v>
      </c>
      <c r="R405">
        <v>400.25</v>
      </c>
      <c r="S405">
        <v>885</v>
      </c>
      <c r="T405">
        <v>299</v>
      </c>
      <c r="U405">
        <v>49</v>
      </c>
      <c r="V405">
        <v>182</v>
      </c>
      <c r="W405">
        <v>47</v>
      </c>
      <c r="X405">
        <v>30.36</v>
      </c>
      <c r="Y405">
        <v>1.84</v>
      </c>
      <c r="Z405">
        <v>70.42</v>
      </c>
      <c r="AA405">
        <v>2327.59</v>
      </c>
      <c r="AB405">
        <v>1147.54</v>
      </c>
      <c r="AC405">
        <v>223.81</v>
      </c>
      <c r="AD405">
        <v>110</v>
      </c>
      <c r="AE405">
        <v>184.17</v>
      </c>
      <c r="AF405">
        <v>3993.11</v>
      </c>
      <c r="AG405">
        <v>5766.15</v>
      </c>
      <c r="AH405">
        <v>39.49</v>
      </c>
    </row>
    <row r="406" spans="1:34">
      <c r="A406" t="s">
        <v>878</v>
      </c>
      <c r="B406" t="s">
        <v>262</v>
      </c>
      <c r="C406" t="b">
        <v>1</v>
      </c>
      <c r="D406" t="b">
        <v>0</v>
      </c>
      <c r="E406" t="s">
        <v>80</v>
      </c>
      <c r="F406" t="s">
        <v>82</v>
      </c>
      <c r="G406" t="s">
        <v>81</v>
      </c>
      <c r="H406">
        <v>17</v>
      </c>
      <c r="I406">
        <v>15</v>
      </c>
      <c r="J406">
        <v>403</v>
      </c>
      <c r="K406">
        <v>14976.24</v>
      </c>
      <c r="L406">
        <v>441.74</v>
      </c>
      <c r="M406">
        <v>40.87</v>
      </c>
      <c r="N406">
        <v>14493.63</v>
      </c>
      <c r="O406">
        <v>4358.77</v>
      </c>
      <c r="P406">
        <v>10134.86</v>
      </c>
      <c r="Q406">
        <v>111.88</v>
      </c>
      <c r="R406">
        <v>635.3099999999999</v>
      </c>
      <c r="S406">
        <v>883</v>
      </c>
      <c r="T406">
        <v>266</v>
      </c>
      <c r="U406">
        <v>40</v>
      </c>
      <c r="V406">
        <v>137</v>
      </c>
      <c r="W406">
        <v>59</v>
      </c>
      <c r="X406">
        <v>35.96</v>
      </c>
      <c r="Y406">
        <v>2.19</v>
      </c>
      <c r="Z406">
        <v>69.93000000000001</v>
      </c>
      <c r="AA406">
        <v>2327.59</v>
      </c>
      <c r="AB406">
        <v>1147.54</v>
      </c>
      <c r="AC406">
        <v>212.85</v>
      </c>
      <c r="AD406">
        <v>110</v>
      </c>
      <c r="AE406">
        <v>200.23</v>
      </c>
      <c r="AF406">
        <v>3998.21</v>
      </c>
      <c r="AG406">
        <v>5389.46</v>
      </c>
      <c r="AH406">
        <v>37.19</v>
      </c>
    </row>
    <row r="407" spans="1:34">
      <c r="A407" t="s">
        <v>879</v>
      </c>
      <c r="B407" t="s">
        <v>263</v>
      </c>
      <c r="C407" t="b">
        <v>1</v>
      </c>
      <c r="D407" t="b">
        <v>0</v>
      </c>
      <c r="E407" t="s">
        <v>80</v>
      </c>
      <c r="F407" t="s">
        <v>82</v>
      </c>
      <c r="G407" t="s">
        <v>81</v>
      </c>
      <c r="H407">
        <v>17.2</v>
      </c>
      <c r="I407">
        <v>16</v>
      </c>
      <c r="J407">
        <v>290</v>
      </c>
      <c r="K407">
        <v>11501.38</v>
      </c>
      <c r="L407">
        <v>262.59</v>
      </c>
      <c r="M407">
        <v>92.17</v>
      </c>
      <c r="N407">
        <v>11146.62</v>
      </c>
      <c r="O407">
        <v>3290.05</v>
      </c>
      <c r="P407">
        <v>7856.57</v>
      </c>
      <c r="Q407">
        <v>93.93000000000001</v>
      </c>
      <c r="R407">
        <v>346.07</v>
      </c>
      <c r="S407">
        <v>679</v>
      </c>
      <c r="T407">
        <v>192</v>
      </c>
      <c r="U407">
        <v>34</v>
      </c>
      <c r="V407">
        <v>98</v>
      </c>
      <c r="W407">
        <v>35</v>
      </c>
      <c r="X407">
        <v>38.44</v>
      </c>
      <c r="Y407">
        <v>2.34</v>
      </c>
      <c r="Z407">
        <v>70.48</v>
      </c>
      <c r="AA407">
        <v>2327.59</v>
      </c>
      <c r="AB407">
        <v>1147.54</v>
      </c>
      <c r="AC407">
        <v>198.97</v>
      </c>
      <c r="AD407">
        <v>110</v>
      </c>
      <c r="AE407">
        <v>174.48</v>
      </c>
      <c r="AF407">
        <v>3958.58</v>
      </c>
      <c r="AG407">
        <v>3457.99</v>
      </c>
      <c r="AH407">
        <v>31.02</v>
      </c>
    </row>
    <row r="408" spans="1:34">
      <c r="A408" t="s">
        <v>423</v>
      </c>
      <c r="B408" t="s">
        <v>75</v>
      </c>
      <c r="C408" t="b">
        <v>0</v>
      </c>
      <c r="D408" t="b">
        <v>0</v>
      </c>
      <c r="E408" t="s">
        <v>80</v>
      </c>
      <c r="F408" t="s">
        <v>1474</v>
      </c>
      <c r="G408" t="s">
        <v>81</v>
      </c>
      <c r="H408">
        <v>17.2</v>
      </c>
      <c r="I408">
        <v>17</v>
      </c>
      <c r="J408">
        <v>293</v>
      </c>
      <c r="K408">
        <v>9627.52</v>
      </c>
      <c r="L408">
        <v>424.95</v>
      </c>
      <c r="M408">
        <v>18.26</v>
      </c>
      <c r="N408">
        <v>9184.309999999999</v>
      </c>
      <c r="O408">
        <v>2815.37</v>
      </c>
      <c r="P408">
        <v>6368.94</v>
      </c>
      <c r="Q408">
        <v>63.42</v>
      </c>
      <c r="R408">
        <v>299.8</v>
      </c>
      <c r="S408">
        <v>571</v>
      </c>
      <c r="T408">
        <v>193</v>
      </c>
      <c r="U408">
        <v>21</v>
      </c>
      <c r="V408">
        <v>100</v>
      </c>
      <c r="W408">
        <v>38</v>
      </c>
      <c r="X408">
        <v>31.35</v>
      </c>
      <c r="Y408">
        <v>1.95</v>
      </c>
      <c r="Z408">
        <v>69.34999999999999</v>
      </c>
      <c r="AA408">
        <v>2327.59</v>
      </c>
      <c r="AB408">
        <v>1147.54</v>
      </c>
      <c r="AC408">
        <v>208.74</v>
      </c>
      <c r="AD408">
        <v>110</v>
      </c>
      <c r="AE408">
        <v>201.78</v>
      </c>
      <c r="AF408">
        <v>3995.65</v>
      </c>
      <c r="AG408">
        <v>2010.07</v>
      </c>
      <c r="AH408">
        <v>21.89</v>
      </c>
    </row>
    <row r="409" spans="1:34">
      <c r="A409" t="s">
        <v>880</v>
      </c>
      <c r="B409" t="s">
        <v>258</v>
      </c>
      <c r="C409" t="b">
        <v>0</v>
      </c>
      <c r="D409" t="b">
        <v>0</v>
      </c>
      <c r="E409" t="s">
        <v>80</v>
      </c>
      <c r="F409" t="s">
        <v>1474</v>
      </c>
      <c r="G409" t="s">
        <v>81</v>
      </c>
      <c r="H409">
        <v>17</v>
      </c>
      <c r="I409">
        <v>18</v>
      </c>
      <c r="J409">
        <v>253</v>
      </c>
      <c r="K409">
        <v>8537.34</v>
      </c>
      <c r="L409">
        <v>353.85</v>
      </c>
      <c r="M409">
        <v>46.96</v>
      </c>
      <c r="N409">
        <v>8136.53</v>
      </c>
      <c r="O409">
        <v>2519.55</v>
      </c>
      <c r="P409">
        <v>5616.98</v>
      </c>
      <c r="Q409">
        <v>55.15</v>
      </c>
      <c r="R409">
        <v>209.31</v>
      </c>
      <c r="S409">
        <v>508</v>
      </c>
      <c r="T409">
        <v>165</v>
      </c>
      <c r="U409">
        <v>16</v>
      </c>
      <c r="V409">
        <v>88</v>
      </c>
      <c r="W409">
        <v>28</v>
      </c>
      <c r="X409">
        <v>32.16</v>
      </c>
      <c r="Y409">
        <v>2.01</v>
      </c>
      <c r="Z409">
        <v>69.03</v>
      </c>
      <c r="AA409">
        <v>2327.59</v>
      </c>
      <c r="AB409">
        <v>1147.54</v>
      </c>
      <c r="AC409">
        <v>194.55</v>
      </c>
      <c r="AD409">
        <v>110</v>
      </c>
      <c r="AE409">
        <v>186.13</v>
      </c>
      <c r="AF409">
        <v>3965.81</v>
      </c>
      <c r="AG409">
        <v>1386.71</v>
      </c>
      <c r="AH409">
        <v>17.04</v>
      </c>
    </row>
    <row r="410" spans="1:34">
      <c r="A410" t="s">
        <v>881</v>
      </c>
      <c r="B410" t="s">
        <v>259</v>
      </c>
      <c r="C410" t="b">
        <v>0</v>
      </c>
      <c r="D410" t="b">
        <v>0</v>
      </c>
      <c r="E410" t="s">
        <v>80</v>
      </c>
      <c r="F410" t="s">
        <v>1474</v>
      </c>
      <c r="G410" t="s">
        <v>81</v>
      </c>
      <c r="H410">
        <v>18.3</v>
      </c>
      <c r="I410">
        <v>19</v>
      </c>
      <c r="J410">
        <v>277</v>
      </c>
      <c r="K410">
        <v>8312.82</v>
      </c>
      <c r="L410">
        <v>131.28</v>
      </c>
      <c r="M410">
        <v>26.08</v>
      </c>
      <c r="N410">
        <v>8155.46</v>
      </c>
      <c r="O410">
        <v>2357.19</v>
      </c>
      <c r="P410">
        <v>5798.27</v>
      </c>
      <c r="Q410">
        <v>57.62</v>
      </c>
      <c r="R410">
        <v>285.03</v>
      </c>
      <c r="S410">
        <v>503</v>
      </c>
      <c r="T410">
        <v>188</v>
      </c>
      <c r="U410">
        <v>13</v>
      </c>
      <c r="V410">
        <v>89</v>
      </c>
      <c r="W410">
        <v>33</v>
      </c>
      <c r="X410">
        <v>29.44</v>
      </c>
      <c r="Y410">
        <v>1.82</v>
      </c>
      <c r="Z410">
        <v>71.09999999999999</v>
      </c>
      <c r="AA410">
        <v>2327.59</v>
      </c>
      <c r="AB410">
        <v>1147.54</v>
      </c>
      <c r="AC410">
        <v>229.54</v>
      </c>
      <c r="AD410">
        <v>110</v>
      </c>
      <c r="AE410">
        <v>211.9</v>
      </c>
      <c r="AF410">
        <v>4026.57</v>
      </c>
      <c r="AG410">
        <v>1429.05</v>
      </c>
      <c r="AH410">
        <v>17.52</v>
      </c>
    </row>
    <row r="411" spans="1:34">
      <c r="A411" t="s">
        <v>882</v>
      </c>
      <c r="B411" t="s">
        <v>260</v>
      </c>
      <c r="C411" t="b">
        <v>0</v>
      </c>
      <c r="D411" t="b">
        <v>0</v>
      </c>
      <c r="E411" t="s">
        <v>80</v>
      </c>
      <c r="F411" t="s">
        <v>1474</v>
      </c>
      <c r="G411" t="s">
        <v>81</v>
      </c>
      <c r="H411">
        <v>18.6</v>
      </c>
      <c r="I411">
        <v>20</v>
      </c>
      <c r="J411">
        <v>328</v>
      </c>
      <c r="K411">
        <v>9342.280000000001</v>
      </c>
      <c r="L411">
        <v>285.2</v>
      </c>
      <c r="M411">
        <v>35.65</v>
      </c>
      <c r="N411">
        <v>9021.43</v>
      </c>
      <c r="O411">
        <v>2689.44</v>
      </c>
      <c r="P411">
        <v>6331.99</v>
      </c>
      <c r="Q411">
        <v>65.68000000000001</v>
      </c>
      <c r="R411">
        <v>364.43</v>
      </c>
      <c r="S411">
        <v>573</v>
      </c>
      <c r="T411">
        <v>213</v>
      </c>
      <c r="U411">
        <v>15</v>
      </c>
      <c r="V411">
        <v>115</v>
      </c>
      <c r="W411">
        <v>43</v>
      </c>
      <c r="X411">
        <v>27.5</v>
      </c>
      <c r="Y411">
        <v>1.75</v>
      </c>
      <c r="Z411">
        <v>70.19</v>
      </c>
      <c r="AA411">
        <v>2327.59</v>
      </c>
      <c r="AB411">
        <v>1147.54</v>
      </c>
      <c r="AC411">
        <v>220.24</v>
      </c>
      <c r="AD411">
        <v>110</v>
      </c>
      <c r="AE411">
        <v>163.37</v>
      </c>
      <c r="AF411">
        <v>3968.74</v>
      </c>
      <c r="AG411">
        <v>1933.14</v>
      </c>
      <c r="AH411">
        <v>21.43</v>
      </c>
    </row>
    <row r="412" spans="1:34">
      <c r="A412" t="s">
        <v>883</v>
      </c>
      <c r="B412" t="s">
        <v>261</v>
      </c>
      <c r="C412" t="b">
        <v>0</v>
      </c>
      <c r="D412" t="b">
        <v>0</v>
      </c>
      <c r="E412" t="s">
        <v>80</v>
      </c>
      <c r="F412" t="s">
        <v>1474</v>
      </c>
      <c r="G412" t="s">
        <v>81</v>
      </c>
      <c r="H412">
        <v>17</v>
      </c>
      <c r="I412">
        <v>21</v>
      </c>
      <c r="J412">
        <v>337</v>
      </c>
      <c r="K412">
        <v>10417.1</v>
      </c>
      <c r="L412">
        <v>322.58</v>
      </c>
      <c r="M412">
        <v>0</v>
      </c>
      <c r="N412">
        <v>10094.52</v>
      </c>
      <c r="O412">
        <v>3043.8</v>
      </c>
      <c r="P412">
        <v>7050.72</v>
      </c>
      <c r="Q412">
        <v>77.48999999999999</v>
      </c>
      <c r="R412">
        <v>344.51</v>
      </c>
      <c r="S412">
        <v>623</v>
      </c>
      <c r="T412">
        <v>222</v>
      </c>
      <c r="U412">
        <v>10</v>
      </c>
      <c r="V412">
        <v>115</v>
      </c>
      <c r="W412">
        <v>35</v>
      </c>
      <c r="X412">
        <v>29.95</v>
      </c>
      <c r="Y412">
        <v>1.85</v>
      </c>
      <c r="Z412">
        <v>69.84999999999999</v>
      </c>
      <c r="AA412">
        <v>2327.59</v>
      </c>
      <c r="AB412">
        <v>1147.54</v>
      </c>
      <c r="AC412">
        <v>189.78</v>
      </c>
      <c r="AD412">
        <v>110</v>
      </c>
      <c r="AE412">
        <v>184.06</v>
      </c>
      <c r="AF412">
        <v>3958.97</v>
      </c>
      <c r="AG412">
        <v>2669.75</v>
      </c>
      <c r="AH412">
        <v>26.45</v>
      </c>
    </row>
    <row r="413" spans="1:34">
      <c r="A413" t="s">
        <v>884</v>
      </c>
      <c r="B413" t="s">
        <v>262</v>
      </c>
      <c r="C413" t="b">
        <v>1</v>
      </c>
      <c r="D413" t="b">
        <v>0</v>
      </c>
      <c r="E413" t="s">
        <v>80</v>
      </c>
      <c r="F413" t="s">
        <v>1474</v>
      </c>
      <c r="G413" t="s">
        <v>81</v>
      </c>
      <c r="H413">
        <v>18</v>
      </c>
      <c r="I413">
        <v>22</v>
      </c>
      <c r="J413">
        <v>238</v>
      </c>
      <c r="K413">
        <v>9658.1</v>
      </c>
      <c r="L413">
        <v>347.8</v>
      </c>
      <c r="M413">
        <v>40.87</v>
      </c>
      <c r="N413">
        <v>9269.43</v>
      </c>
      <c r="O413">
        <v>2795.17</v>
      </c>
      <c r="P413">
        <v>6474.26</v>
      </c>
      <c r="Q413">
        <v>74.05</v>
      </c>
      <c r="R413">
        <v>425.44</v>
      </c>
      <c r="S413">
        <v>567</v>
      </c>
      <c r="T413">
        <v>157</v>
      </c>
      <c r="U413">
        <v>14</v>
      </c>
      <c r="V413">
        <v>81</v>
      </c>
      <c r="W413">
        <v>42</v>
      </c>
      <c r="X413">
        <v>38.95</v>
      </c>
      <c r="Y413">
        <v>2.38</v>
      </c>
      <c r="Z413">
        <v>69.84999999999999</v>
      </c>
      <c r="AA413">
        <v>2327.59</v>
      </c>
      <c r="AB413">
        <v>1147.54</v>
      </c>
      <c r="AC413">
        <v>208.73</v>
      </c>
      <c r="AD413">
        <v>110</v>
      </c>
      <c r="AE413">
        <v>187.56</v>
      </c>
      <c r="AF413">
        <v>3981.42</v>
      </c>
      <c r="AG413">
        <v>1993.35</v>
      </c>
      <c r="AH413">
        <v>21.5</v>
      </c>
    </row>
    <row r="414" spans="1:34">
      <c r="A414" t="s">
        <v>885</v>
      </c>
      <c r="B414" t="s">
        <v>263</v>
      </c>
      <c r="C414" t="b">
        <v>1</v>
      </c>
      <c r="D414" t="b">
        <v>0</v>
      </c>
      <c r="E414" t="s">
        <v>80</v>
      </c>
      <c r="F414" t="s">
        <v>1474</v>
      </c>
      <c r="G414" t="s">
        <v>81</v>
      </c>
      <c r="H414">
        <v>16.7</v>
      </c>
      <c r="I414">
        <v>23</v>
      </c>
      <c r="J414">
        <v>208</v>
      </c>
      <c r="K414">
        <v>8014.53</v>
      </c>
      <c r="L414">
        <v>197.37</v>
      </c>
      <c r="M414">
        <v>46.95</v>
      </c>
      <c r="N414">
        <v>7770.21</v>
      </c>
      <c r="O414">
        <v>2369.9</v>
      </c>
      <c r="P414">
        <v>5400.31</v>
      </c>
      <c r="Q414">
        <v>53.88</v>
      </c>
      <c r="R414">
        <v>412.76</v>
      </c>
      <c r="S414">
        <v>478</v>
      </c>
      <c r="T414">
        <v>136</v>
      </c>
      <c r="U414">
        <v>4</v>
      </c>
      <c r="V414">
        <v>72</v>
      </c>
      <c r="W414">
        <v>36</v>
      </c>
      <c r="X414">
        <v>37.36</v>
      </c>
      <c r="Y414">
        <v>2.3</v>
      </c>
      <c r="Z414">
        <v>69.5</v>
      </c>
      <c r="AA414">
        <v>2327.59</v>
      </c>
      <c r="AB414">
        <v>1147.54</v>
      </c>
      <c r="AC414">
        <v>216.08</v>
      </c>
      <c r="AD414">
        <v>110</v>
      </c>
      <c r="AE414">
        <v>221.54</v>
      </c>
      <c r="AF414">
        <v>4022.75</v>
      </c>
      <c r="AG414">
        <v>910.92</v>
      </c>
      <c r="AH414">
        <v>11.72</v>
      </c>
    </row>
    <row r="415" spans="1:34">
      <c r="A415" t="s">
        <v>424</v>
      </c>
      <c r="B415" t="s">
        <v>75</v>
      </c>
      <c r="C415" t="b">
        <v>0</v>
      </c>
      <c r="D415" t="b">
        <v>0</v>
      </c>
      <c r="E415" t="s">
        <v>80</v>
      </c>
      <c r="F415" t="s">
        <v>1474</v>
      </c>
      <c r="G415" t="s">
        <v>81</v>
      </c>
      <c r="H415">
        <v>15.9</v>
      </c>
      <c r="I415">
        <v>24</v>
      </c>
      <c r="J415">
        <v>262</v>
      </c>
      <c r="K415">
        <v>6682.35</v>
      </c>
      <c r="L415">
        <v>217.37</v>
      </c>
      <c r="M415">
        <v>0</v>
      </c>
      <c r="N415">
        <v>6464.98</v>
      </c>
      <c r="O415">
        <v>1901.02</v>
      </c>
      <c r="P415">
        <v>4563.96</v>
      </c>
      <c r="Q415">
        <v>50.03</v>
      </c>
      <c r="R415">
        <v>191.12</v>
      </c>
      <c r="S415">
        <v>411</v>
      </c>
      <c r="T415">
        <v>188</v>
      </c>
      <c r="U415">
        <v>13</v>
      </c>
      <c r="V415">
        <v>74</v>
      </c>
      <c r="W415">
        <v>27</v>
      </c>
      <c r="X415">
        <v>24.68</v>
      </c>
      <c r="Y415">
        <v>1.57</v>
      </c>
      <c r="Z415">
        <v>70.59999999999999</v>
      </c>
      <c r="AA415">
        <v>2327.59</v>
      </c>
      <c r="AB415">
        <v>1147.54</v>
      </c>
      <c r="AC415">
        <v>193.45</v>
      </c>
      <c r="AD415">
        <v>110</v>
      </c>
      <c r="AE415">
        <v>177.57</v>
      </c>
      <c r="AF415">
        <v>3956.15</v>
      </c>
      <c r="AG415">
        <v>366.66</v>
      </c>
      <c r="AH415">
        <v>5.67</v>
      </c>
    </row>
    <row r="416" spans="1:34">
      <c r="A416" t="s">
        <v>886</v>
      </c>
      <c r="B416" t="s">
        <v>258</v>
      </c>
      <c r="C416" t="b">
        <v>0</v>
      </c>
      <c r="D416" t="b">
        <v>0</v>
      </c>
      <c r="E416" t="s">
        <v>80</v>
      </c>
      <c r="F416" t="s">
        <v>1474</v>
      </c>
      <c r="G416" t="s">
        <v>81</v>
      </c>
      <c r="H416">
        <v>15.8</v>
      </c>
      <c r="I416">
        <v>25</v>
      </c>
      <c r="J416">
        <v>238</v>
      </c>
      <c r="K416">
        <v>6471.08</v>
      </c>
      <c r="L416">
        <v>170.43</v>
      </c>
      <c r="M416">
        <v>40.87</v>
      </c>
      <c r="N416">
        <v>6259.78</v>
      </c>
      <c r="O416">
        <v>1881.76</v>
      </c>
      <c r="P416">
        <v>4378.02</v>
      </c>
      <c r="Q416">
        <v>50.63</v>
      </c>
      <c r="R416">
        <v>166.05</v>
      </c>
      <c r="S416">
        <v>398</v>
      </c>
      <c r="T416">
        <v>166</v>
      </c>
      <c r="U416">
        <v>5</v>
      </c>
      <c r="V416">
        <v>72</v>
      </c>
      <c r="W416">
        <v>22</v>
      </c>
      <c r="X416">
        <v>26.3</v>
      </c>
      <c r="Y416">
        <v>1.67</v>
      </c>
      <c r="Z416">
        <v>69.94</v>
      </c>
      <c r="AA416">
        <v>2327.59</v>
      </c>
      <c r="AB416">
        <v>1147.54</v>
      </c>
      <c r="AC416">
        <v>210.55</v>
      </c>
      <c r="AD416">
        <v>110</v>
      </c>
      <c r="AE416">
        <v>199.12</v>
      </c>
      <c r="AF416">
        <v>3994.8</v>
      </c>
      <c r="AG416">
        <v>166.54</v>
      </c>
      <c r="AH416">
        <v>2.66</v>
      </c>
    </row>
    <row r="417" spans="1:34">
      <c r="A417" t="s">
        <v>887</v>
      </c>
      <c r="B417" t="s">
        <v>259</v>
      </c>
      <c r="C417" t="b">
        <v>0</v>
      </c>
      <c r="D417" t="b">
        <v>0</v>
      </c>
      <c r="E417" t="s">
        <v>80</v>
      </c>
      <c r="F417" t="s">
        <v>1474</v>
      </c>
      <c r="G417" t="s">
        <v>81</v>
      </c>
      <c r="H417">
        <v>17.7</v>
      </c>
      <c r="I417">
        <v>26</v>
      </c>
      <c r="J417">
        <v>260</v>
      </c>
      <c r="K417">
        <v>7795.46</v>
      </c>
      <c r="L417">
        <v>292.58</v>
      </c>
      <c r="M417">
        <v>19.13</v>
      </c>
      <c r="N417">
        <v>7483.75</v>
      </c>
      <c r="O417">
        <v>2221.96</v>
      </c>
      <c r="P417">
        <v>5261.79</v>
      </c>
      <c r="Q417">
        <v>58.11</v>
      </c>
      <c r="R417">
        <v>199.14</v>
      </c>
      <c r="S417">
        <v>471</v>
      </c>
      <c r="T417">
        <v>187</v>
      </c>
      <c r="U417">
        <v>9</v>
      </c>
      <c r="V417">
        <v>73</v>
      </c>
      <c r="W417">
        <v>28</v>
      </c>
      <c r="X417">
        <v>28.78</v>
      </c>
      <c r="Y417">
        <v>1.81</v>
      </c>
      <c r="Z417">
        <v>70.31</v>
      </c>
      <c r="AA417">
        <v>2327.59</v>
      </c>
      <c r="AB417">
        <v>1147.54</v>
      </c>
      <c r="AC417">
        <v>200.55</v>
      </c>
      <c r="AD417">
        <v>110</v>
      </c>
      <c r="AE417">
        <v>213.48</v>
      </c>
      <c r="AF417">
        <v>3999.16</v>
      </c>
      <c r="AG417">
        <v>1005.38</v>
      </c>
      <c r="AH417">
        <v>13.43</v>
      </c>
    </row>
    <row r="418" spans="1:34">
      <c r="A418" t="s">
        <v>888</v>
      </c>
      <c r="B418" t="s">
        <v>260</v>
      </c>
      <c r="C418" t="b">
        <v>0</v>
      </c>
      <c r="D418" t="b">
        <v>0</v>
      </c>
      <c r="E418" t="s">
        <v>80</v>
      </c>
      <c r="F418" t="s">
        <v>1474</v>
      </c>
      <c r="G418" t="s">
        <v>309</v>
      </c>
      <c r="H418">
        <v>19.2</v>
      </c>
      <c r="I418">
        <v>27</v>
      </c>
      <c r="J418">
        <v>261</v>
      </c>
      <c r="K418">
        <v>7806.72</v>
      </c>
      <c r="L418">
        <v>1140.91</v>
      </c>
      <c r="M418">
        <v>25.12</v>
      </c>
      <c r="N418">
        <v>6640.69</v>
      </c>
      <c r="O418">
        <v>2267.09</v>
      </c>
      <c r="P418">
        <v>4373.6</v>
      </c>
      <c r="Q418">
        <v>48.84</v>
      </c>
      <c r="R418">
        <v>327.93</v>
      </c>
      <c r="S418">
        <v>462</v>
      </c>
      <c r="T418">
        <v>177</v>
      </c>
      <c r="U418">
        <v>14</v>
      </c>
      <c r="V418">
        <v>84</v>
      </c>
      <c r="W418">
        <v>43</v>
      </c>
      <c r="X418">
        <v>25.44</v>
      </c>
      <c r="Y418">
        <v>1.77</v>
      </c>
      <c r="Z418">
        <v>65.86</v>
      </c>
      <c r="AA418">
        <v>2327.59</v>
      </c>
      <c r="AB418">
        <v>1147.54</v>
      </c>
      <c r="AC418">
        <v>214.51</v>
      </c>
      <c r="AD418">
        <v>610</v>
      </c>
      <c r="AE418">
        <v>188.63</v>
      </c>
      <c r="AF418">
        <v>4488.27</v>
      </c>
      <c r="AG418">
        <v>-491.44</v>
      </c>
      <c r="AH418">
        <v>-7.4</v>
      </c>
    </row>
    <row r="419" spans="1:34">
      <c r="A419" t="s">
        <v>889</v>
      </c>
      <c r="B419" t="s">
        <v>261</v>
      </c>
      <c r="C419" t="b">
        <v>0</v>
      </c>
      <c r="D419" t="b">
        <v>1</v>
      </c>
      <c r="E419" t="s">
        <v>80</v>
      </c>
      <c r="F419" t="s">
        <v>1474</v>
      </c>
      <c r="G419" t="s">
        <v>1478</v>
      </c>
      <c r="H419">
        <v>17.4</v>
      </c>
      <c r="I419">
        <v>28</v>
      </c>
      <c r="J419">
        <v>240</v>
      </c>
      <c r="K419">
        <v>8468.379999999999</v>
      </c>
      <c r="L419">
        <v>1239.95</v>
      </c>
      <c r="M419">
        <v>0</v>
      </c>
      <c r="N419">
        <v>7228.43</v>
      </c>
      <c r="O419">
        <v>2398.6</v>
      </c>
      <c r="P419">
        <v>4829.83</v>
      </c>
      <c r="Q419">
        <v>54.84</v>
      </c>
      <c r="R419">
        <v>257.19</v>
      </c>
      <c r="S419">
        <v>510</v>
      </c>
      <c r="T419">
        <v>171</v>
      </c>
      <c r="U419">
        <v>14</v>
      </c>
      <c r="V419">
        <v>69</v>
      </c>
      <c r="W419">
        <v>38</v>
      </c>
      <c r="X419">
        <v>30.12</v>
      </c>
      <c r="Y419">
        <v>2.12</v>
      </c>
      <c r="Z419">
        <v>66.81999999999999</v>
      </c>
      <c r="AA419">
        <v>2327.59</v>
      </c>
      <c r="AB419">
        <v>1147.54</v>
      </c>
      <c r="AC419">
        <v>218.47</v>
      </c>
      <c r="AD419">
        <v>610</v>
      </c>
      <c r="AE419">
        <v>155.9</v>
      </c>
      <c r="AF419">
        <v>4459.5</v>
      </c>
      <c r="AG419">
        <v>58.3</v>
      </c>
      <c r="AH419">
        <v>0.8100000000000001</v>
      </c>
    </row>
    <row r="420" spans="1:34">
      <c r="A420" t="s">
        <v>890</v>
      </c>
      <c r="B420" t="s">
        <v>262</v>
      </c>
      <c r="C420" t="b">
        <v>1</v>
      </c>
      <c r="D420" t="b">
        <v>0</v>
      </c>
      <c r="E420" t="s">
        <v>80</v>
      </c>
      <c r="F420" t="s">
        <v>1475</v>
      </c>
      <c r="G420" t="s">
        <v>309</v>
      </c>
      <c r="H420">
        <v>16.3</v>
      </c>
      <c r="I420">
        <v>29</v>
      </c>
      <c r="J420">
        <v>249</v>
      </c>
      <c r="K420">
        <v>9529.35</v>
      </c>
      <c r="L420">
        <v>1435.09</v>
      </c>
      <c r="M420">
        <v>31.04</v>
      </c>
      <c r="N420">
        <v>8063.22</v>
      </c>
      <c r="O420">
        <v>2757.04</v>
      </c>
      <c r="P420">
        <v>5306.18</v>
      </c>
      <c r="Q420">
        <v>61.31</v>
      </c>
      <c r="R420">
        <v>370.82</v>
      </c>
      <c r="S420">
        <v>557</v>
      </c>
      <c r="T420">
        <v>167</v>
      </c>
      <c r="U420">
        <v>17</v>
      </c>
      <c r="V420">
        <v>82</v>
      </c>
      <c r="W420">
        <v>46</v>
      </c>
      <c r="X420">
        <v>32.38</v>
      </c>
      <c r="Y420">
        <v>2.24</v>
      </c>
      <c r="Z420">
        <v>65.81</v>
      </c>
      <c r="AA420">
        <v>2327.59</v>
      </c>
      <c r="AB420">
        <v>1147.54</v>
      </c>
      <c r="AC420">
        <v>239.04</v>
      </c>
      <c r="AD420">
        <v>610</v>
      </c>
      <c r="AE420">
        <v>207.01</v>
      </c>
      <c r="AF420">
        <v>4531.18</v>
      </c>
      <c r="AG420">
        <v>342.87</v>
      </c>
      <c r="AH420">
        <v>4.25</v>
      </c>
    </row>
    <row r="421" spans="1:34">
      <c r="A421" t="s">
        <v>891</v>
      </c>
      <c r="B421" t="s">
        <v>263</v>
      </c>
      <c r="C421" t="b">
        <v>1</v>
      </c>
      <c r="D421" t="b">
        <v>0</v>
      </c>
      <c r="E421" t="s">
        <v>80</v>
      </c>
      <c r="F421" t="s">
        <v>1475</v>
      </c>
      <c r="G421" t="s">
        <v>81</v>
      </c>
      <c r="H421">
        <v>16.3</v>
      </c>
      <c r="I421">
        <v>30</v>
      </c>
      <c r="J421">
        <v>193</v>
      </c>
      <c r="K421">
        <v>6552.81</v>
      </c>
      <c r="L421">
        <v>231.29</v>
      </c>
      <c r="M421">
        <v>25.22</v>
      </c>
      <c r="N421">
        <v>6296.3</v>
      </c>
      <c r="O421">
        <v>1937.01</v>
      </c>
      <c r="P421">
        <v>4359.29</v>
      </c>
      <c r="Q421">
        <v>46.57</v>
      </c>
      <c r="R421">
        <v>289.98</v>
      </c>
      <c r="S421">
        <v>388</v>
      </c>
      <c r="T421">
        <v>131</v>
      </c>
      <c r="U421">
        <v>6</v>
      </c>
      <c r="V421">
        <v>62</v>
      </c>
      <c r="W421">
        <v>33</v>
      </c>
      <c r="X421">
        <v>32.62</v>
      </c>
      <c r="Y421">
        <v>2.01</v>
      </c>
      <c r="Z421">
        <v>69.23999999999999</v>
      </c>
      <c r="AA421">
        <v>2327.59</v>
      </c>
      <c r="AB421">
        <v>1147.54</v>
      </c>
      <c r="AC421">
        <v>208.09</v>
      </c>
      <c r="AD421">
        <v>110</v>
      </c>
      <c r="AE421">
        <v>199.23</v>
      </c>
      <c r="AF421">
        <v>3992.45</v>
      </c>
      <c r="AG421">
        <v>30.29</v>
      </c>
      <c r="AH421">
        <v>0.48</v>
      </c>
    </row>
    <row r="422" spans="1:34">
      <c r="A422" t="s">
        <v>425</v>
      </c>
      <c r="B422" t="s">
        <v>75</v>
      </c>
      <c r="C422" t="b">
        <v>0</v>
      </c>
      <c r="D422" t="b">
        <v>0</v>
      </c>
      <c r="E422" t="s">
        <v>80</v>
      </c>
      <c r="F422" t="s">
        <v>1475</v>
      </c>
      <c r="G422" t="s">
        <v>81</v>
      </c>
      <c r="H422">
        <v>17.9</v>
      </c>
      <c r="I422">
        <v>31</v>
      </c>
      <c r="J422">
        <v>243</v>
      </c>
      <c r="K422">
        <v>6885.85</v>
      </c>
      <c r="L422">
        <v>319.98</v>
      </c>
      <c r="M422">
        <v>0</v>
      </c>
      <c r="N422">
        <v>6565.87</v>
      </c>
      <c r="O422">
        <v>1938.43</v>
      </c>
      <c r="P422">
        <v>4627.44</v>
      </c>
      <c r="Q422">
        <v>56.64</v>
      </c>
      <c r="R422">
        <v>202</v>
      </c>
      <c r="S422">
        <v>413</v>
      </c>
      <c r="T422">
        <v>167</v>
      </c>
      <c r="U422">
        <v>13</v>
      </c>
      <c r="V422">
        <v>76</v>
      </c>
      <c r="W422">
        <v>28</v>
      </c>
      <c r="X422">
        <v>27.02</v>
      </c>
      <c r="Y422">
        <v>1.7</v>
      </c>
      <c r="Z422">
        <v>70.48</v>
      </c>
      <c r="AA422">
        <v>2327.59</v>
      </c>
      <c r="AB422">
        <v>1147.54</v>
      </c>
      <c r="AC422">
        <v>207.05</v>
      </c>
      <c r="AD422">
        <v>110</v>
      </c>
      <c r="AE422">
        <v>227.92</v>
      </c>
      <c r="AF422">
        <v>4020.1</v>
      </c>
      <c r="AG422">
        <v>348.7</v>
      </c>
      <c r="AH422">
        <v>5.31</v>
      </c>
    </row>
    <row r="423" spans="1:34">
      <c r="A423" t="s">
        <v>892</v>
      </c>
      <c r="B423" t="s">
        <v>258</v>
      </c>
      <c r="C423" t="b">
        <v>0</v>
      </c>
      <c r="D423" t="b">
        <v>0</v>
      </c>
      <c r="E423" t="s">
        <v>80</v>
      </c>
      <c r="F423" t="s">
        <v>1475</v>
      </c>
      <c r="G423" t="s">
        <v>81</v>
      </c>
      <c r="H423">
        <v>19.4</v>
      </c>
      <c r="I423">
        <v>32</v>
      </c>
      <c r="J423">
        <v>180</v>
      </c>
      <c r="K423">
        <v>5549.39</v>
      </c>
      <c r="L423">
        <v>137.38</v>
      </c>
      <c r="M423">
        <v>0</v>
      </c>
      <c r="N423">
        <v>5412.01</v>
      </c>
      <c r="O423">
        <v>1606.19</v>
      </c>
      <c r="P423">
        <v>3805.82</v>
      </c>
      <c r="Q423">
        <v>47.6</v>
      </c>
      <c r="R423">
        <v>122.08</v>
      </c>
      <c r="S423">
        <v>325</v>
      </c>
      <c r="T423">
        <v>109</v>
      </c>
      <c r="U423">
        <v>2</v>
      </c>
      <c r="V423">
        <v>71</v>
      </c>
      <c r="W423">
        <v>16</v>
      </c>
      <c r="X423">
        <v>30.07</v>
      </c>
      <c r="Y423">
        <v>1.81</v>
      </c>
      <c r="Z423">
        <v>70.31999999999999</v>
      </c>
      <c r="AA423">
        <v>2327.59</v>
      </c>
      <c r="AB423">
        <v>1147.54</v>
      </c>
      <c r="AC423">
        <v>213.1</v>
      </c>
      <c r="AD423">
        <v>110</v>
      </c>
      <c r="AE423">
        <v>224.36</v>
      </c>
      <c r="AF423">
        <v>4022.59</v>
      </c>
      <c r="AG423">
        <v>-386.45</v>
      </c>
      <c r="AH423">
        <v>-7.14</v>
      </c>
    </row>
    <row r="424" spans="1:34">
      <c r="A424" t="s">
        <v>893</v>
      </c>
      <c r="B424" t="s">
        <v>259</v>
      </c>
      <c r="C424" t="b">
        <v>0</v>
      </c>
      <c r="D424" t="b">
        <v>0</v>
      </c>
      <c r="E424" t="s">
        <v>80</v>
      </c>
      <c r="F424" t="s">
        <v>1475</v>
      </c>
      <c r="G424" t="s">
        <v>1477</v>
      </c>
      <c r="H424">
        <v>17.2</v>
      </c>
      <c r="I424">
        <v>0</v>
      </c>
      <c r="J424">
        <v>188</v>
      </c>
      <c r="K424">
        <v>6244.15</v>
      </c>
      <c r="L424">
        <v>188.69</v>
      </c>
      <c r="M424">
        <v>0</v>
      </c>
      <c r="N424">
        <v>6055.46</v>
      </c>
      <c r="O424">
        <v>1811.86</v>
      </c>
      <c r="P424">
        <v>4243.6</v>
      </c>
      <c r="Q424">
        <v>43.57</v>
      </c>
      <c r="R424">
        <v>218.84</v>
      </c>
      <c r="S424">
        <v>373</v>
      </c>
      <c r="T424">
        <v>124</v>
      </c>
      <c r="U424">
        <v>9</v>
      </c>
      <c r="V424">
        <v>64</v>
      </c>
      <c r="W424">
        <v>25</v>
      </c>
      <c r="X424">
        <v>32.21</v>
      </c>
      <c r="Y424">
        <v>1.98</v>
      </c>
      <c r="Z424">
        <v>70.08</v>
      </c>
      <c r="AA424">
        <v>2327.59</v>
      </c>
      <c r="AB424">
        <v>1147.54</v>
      </c>
      <c r="AC424">
        <v>230.2</v>
      </c>
      <c r="AD424">
        <v>110</v>
      </c>
      <c r="AE424">
        <v>225.86</v>
      </c>
      <c r="AF424">
        <v>4041.19</v>
      </c>
      <c r="AG424">
        <v>-60</v>
      </c>
      <c r="AH424">
        <v>-0.99</v>
      </c>
    </row>
    <row r="425" spans="1:34">
      <c r="A425" t="s">
        <v>894</v>
      </c>
      <c r="B425" t="s">
        <v>260</v>
      </c>
      <c r="C425" t="b">
        <v>0</v>
      </c>
      <c r="D425" t="b">
        <v>0</v>
      </c>
      <c r="E425" t="s">
        <v>80</v>
      </c>
      <c r="F425" t="s">
        <v>1475</v>
      </c>
      <c r="G425" t="s">
        <v>1477</v>
      </c>
      <c r="H425">
        <v>17.8</v>
      </c>
      <c r="I425">
        <v>1</v>
      </c>
      <c r="J425">
        <v>257</v>
      </c>
      <c r="K425">
        <v>8127.57</v>
      </c>
      <c r="L425">
        <v>201.72</v>
      </c>
      <c r="M425">
        <v>36.52</v>
      </c>
      <c r="N425">
        <v>7889.33</v>
      </c>
      <c r="O425">
        <v>2366.65</v>
      </c>
      <c r="P425">
        <v>5522.68</v>
      </c>
      <c r="Q425">
        <v>64.65000000000001</v>
      </c>
      <c r="R425">
        <v>253.24</v>
      </c>
      <c r="S425">
        <v>490</v>
      </c>
      <c r="T425">
        <v>160</v>
      </c>
      <c r="U425">
        <v>5</v>
      </c>
      <c r="V425">
        <v>97</v>
      </c>
      <c r="W425">
        <v>29</v>
      </c>
      <c r="X425">
        <v>30.7</v>
      </c>
      <c r="Y425">
        <v>1.91</v>
      </c>
      <c r="Z425">
        <v>70</v>
      </c>
      <c r="AA425">
        <v>2327.59</v>
      </c>
      <c r="AB425">
        <v>1147.54</v>
      </c>
      <c r="AC425">
        <v>223.14</v>
      </c>
      <c r="AD425">
        <v>110</v>
      </c>
      <c r="AE425">
        <v>187.72</v>
      </c>
      <c r="AF425">
        <v>3995.99</v>
      </c>
      <c r="AG425">
        <v>1208.8</v>
      </c>
      <c r="AH425">
        <v>15.32</v>
      </c>
    </row>
    <row r="426" spans="1:34">
      <c r="A426" t="s">
        <v>895</v>
      </c>
      <c r="B426" t="s">
        <v>261</v>
      </c>
      <c r="C426" t="b">
        <v>0</v>
      </c>
      <c r="D426" t="b">
        <v>0</v>
      </c>
      <c r="E426" t="s">
        <v>80</v>
      </c>
      <c r="F426" t="s">
        <v>1475</v>
      </c>
      <c r="G426" t="s">
        <v>1477</v>
      </c>
      <c r="H426">
        <v>18.2</v>
      </c>
      <c r="I426">
        <v>2</v>
      </c>
      <c r="J426">
        <v>292</v>
      </c>
      <c r="K426">
        <v>9430.1</v>
      </c>
      <c r="L426">
        <v>297.37</v>
      </c>
      <c r="M426">
        <v>28.7</v>
      </c>
      <c r="N426">
        <v>9104.030000000001</v>
      </c>
      <c r="O426">
        <v>2657.09</v>
      </c>
      <c r="P426">
        <v>6446.94</v>
      </c>
      <c r="Q426">
        <v>72.70999999999999</v>
      </c>
      <c r="R426">
        <v>297.88</v>
      </c>
      <c r="S426">
        <v>561</v>
      </c>
      <c r="T426">
        <v>185</v>
      </c>
      <c r="U426">
        <v>11</v>
      </c>
      <c r="V426">
        <v>107</v>
      </c>
      <c r="W426">
        <v>32</v>
      </c>
      <c r="X426">
        <v>31.18</v>
      </c>
      <c r="Y426">
        <v>1.92</v>
      </c>
      <c r="Z426">
        <v>70.81</v>
      </c>
      <c r="AA426">
        <v>2327.59</v>
      </c>
      <c r="AB426">
        <v>1147.54</v>
      </c>
      <c r="AC426">
        <v>240.35</v>
      </c>
      <c r="AD426">
        <v>110</v>
      </c>
      <c r="AE426">
        <v>180.1</v>
      </c>
      <c r="AF426">
        <v>4005.58</v>
      </c>
      <c r="AG426">
        <v>2070.77</v>
      </c>
      <c r="AH426">
        <v>22.75</v>
      </c>
    </row>
    <row r="427" spans="1:34">
      <c r="A427" t="s">
        <v>896</v>
      </c>
      <c r="B427" t="s">
        <v>262</v>
      </c>
      <c r="C427" t="b">
        <v>1</v>
      </c>
      <c r="D427" t="b">
        <v>0</v>
      </c>
      <c r="E427" t="s">
        <v>1471</v>
      </c>
      <c r="F427" t="s">
        <v>1475</v>
      </c>
      <c r="G427" t="s">
        <v>1477</v>
      </c>
      <c r="H427">
        <v>17.5</v>
      </c>
      <c r="I427">
        <v>3</v>
      </c>
      <c r="J427">
        <v>265</v>
      </c>
      <c r="K427">
        <v>10445.93</v>
      </c>
      <c r="L427">
        <v>326.08</v>
      </c>
      <c r="M427">
        <v>8.699999999999999</v>
      </c>
      <c r="N427">
        <v>10111.15</v>
      </c>
      <c r="O427">
        <v>2960.75</v>
      </c>
      <c r="P427">
        <v>7150.4</v>
      </c>
      <c r="Q427">
        <v>85.56999999999999</v>
      </c>
      <c r="R427">
        <v>245.66</v>
      </c>
      <c r="S427">
        <v>615</v>
      </c>
      <c r="T427">
        <v>166</v>
      </c>
      <c r="U427">
        <v>12</v>
      </c>
      <c r="V427">
        <v>99</v>
      </c>
      <c r="W427">
        <v>26</v>
      </c>
      <c r="X427">
        <v>38.16</v>
      </c>
      <c r="Y427">
        <v>2.32</v>
      </c>
      <c r="Z427">
        <v>70.72</v>
      </c>
      <c r="AA427">
        <v>2177.42</v>
      </c>
      <c r="AB427">
        <v>1147.54</v>
      </c>
      <c r="AC427">
        <v>209.01</v>
      </c>
      <c r="AD427">
        <v>110</v>
      </c>
      <c r="AE427">
        <v>208.3</v>
      </c>
      <c r="AF427">
        <v>3852.27</v>
      </c>
      <c r="AG427">
        <v>2966.9</v>
      </c>
      <c r="AH427">
        <v>29.34</v>
      </c>
    </row>
    <row r="428" spans="1:34">
      <c r="A428" t="s">
        <v>897</v>
      </c>
      <c r="B428" t="s">
        <v>263</v>
      </c>
      <c r="C428" t="b">
        <v>1</v>
      </c>
      <c r="D428" t="b">
        <v>0</v>
      </c>
      <c r="E428" t="s">
        <v>1471</v>
      </c>
      <c r="F428" t="s">
        <v>1475</v>
      </c>
      <c r="G428" t="s">
        <v>1477</v>
      </c>
      <c r="H428">
        <v>20</v>
      </c>
      <c r="I428">
        <v>4</v>
      </c>
      <c r="J428">
        <v>242</v>
      </c>
      <c r="K428">
        <v>9375.49</v>
      </c>
      <c r="L428">
        <v>267.82</v>
      </c>
      <c r="M428">
        <v>41.74</v>
      </c>
      <c r="N428">
        <v>9065.93</v>
      </c>
      <c r="O428">
        <v>2659.65</v>
      </c>
      <c r="P428">
        <v>6406.28</v>
      </c>
      <c r="Q428">
        <v>68.25</v>
      </c>
      <c r="R428">
        <v>405.79</v>
      </c>
      <c r="S428">
        <v>549</v>
      </c>
      <c r="T428">
        <v>166</v>
      </c>
      <c r="U428">
        <v>7</v>
      </c>
      <c r="V428">
        <v>76</v>
      </c>
      <c r="W428">
        <v>45</v>
      </c>
      <c r="X428">
        <v>37.46</v>
      </c>
      <c r="Y428">
        <v>2.27</v>
      </c>
      <c r="Z428">
        <v>70.66</v>
      </c>
      <c r="AA428">
        <v>2177.42</v>
      </c>
      <c r="AB428">
        <v>1147.54</v>
      </c>
      <c r="AC428">
        <v>189.42</v>
      </c>
      <c r="AD428">
        <v>110</v>
      </c>
      <c r="AE428">
        <v>215.33</v>
      </c>
      <c r="AF428">
        <v>3839.71</v>
      </c>
      <c r="AG428">
        <v>2092.53</v>
      </c>
      <c r="AH428">
        <v>23.08</v>
      </c>
    </row>
    <row r="429" spans="1:34">
      <c r="A429" t="s">
        <v>426</v>
      </c>
      <c r="B429" t="s">
        <v>75</v>
      </c>
      <c r="C429" t="b">
        <v>0</v>
      </c>
      <c r="D429" t="b">
        <v>0</v>
      </c>
      <c r="E429" t="s">
        <v>1471</v>
      </c>
      <c r="F429" t="s">
        <v>82</v>
      </c>
      <c r="G429" t="s">
        <v>81</v>
      </c>
      <c r="H429">
        <v>19.8</v>
      </c>
      <c r="I429">
        <v>5</v>
      </c>
      <c r="J429">
        <v>264</v>
      </c>
      <c r="K429">
        <v>7919.78</v>
      </c>
      <c r="L429">
        <v>191.3</v>
      </c>
      <c r="M429">
        <v>0</v>
      </c>
      <c r="N429">
        <v>7728.48</v>
      </c>
      <c r="O429">
        <v>2233</v>
      </c>
      <c r="P429">
        <v>5495.48</v>
      </c>
      <c r="Q429">
        <v>57.83</v>
      </c>
      <c r="R429">
        <v>260</v>
      </c>
      <c r="S429">
        <v>459</v>
      </c>
      <c r="T429">
        <v>174</v>
      </c>
      <c r="U429">
        <v>7</v>
      </c>
      <c r="V429">
        <v>90</v>
      </c>
      <c r="W429">
        <v>32</v>
      </c>
      <c r="X429">
        <v>29.27</v>
      </c>
      <c r="Y429">
        <v>1.74</v>
      </c>
      <c r="Z429">
        <v>71.11</v>
      </c>
      <c r="AA429">
        <v>2177.42</v>
      </c>
      <c r="AB429">
        <v>1147.54</v>
      </c>
      <c r="AC429">
        <v>188.27</v>
      </c>
      <c r="AD429">
        <v>110</v>
      </c>
      <c r="AE429">
        <v>205.89</v>
      </c>
      <c r="AF429">
        <v>3829.12</v>
      </c>
      <c r="AG429">
        <v>1348.53</v>
      </c>
      <c r="AH429">
        <v>17.45</v>
      </c>
    </row>
    <row r="430" spans="1:34">
      <c r="A430" t="s">
        <v>898</v>
      </c>
      <c r="B430" t="s">
        <v>258</v>
      </c>
      <c r="C430" t="b">
        <v>0</v>
      </c>
      <c r="D430" t="b">
        <v>0</v>
      </c>
      <c r="E430" t="s">
        <v>1471</v>
      </c>
      <c r="F430" t="s">
        <v>82</v>
      </c>
      <c r="G430" t="s">
        <v>81</v>
      </c>
      <c r="H430">
        <v>20.7</v>
      </c>
      <c r="I430">
        <v>6</v>
      </c>
      <c r="J430">
        <v>244</v>
      </c>
      <c r="K430">
        <v>6496.33</v>
      </c>
      <c r="L430">
        <v>289.55</v>
      </c>
      <c r="M430">
        <v>0</v>
      </c>
      <c r="N430">
        <v>6206.78</v>
      </c>
      <c r="O430">
        <v>1795.98</v>
      </c>
      <c r="P430">
        <v>4410.8</v>
      </c>
      <c r="Q430">
        <v>49.57</v>
      </c>
      <c r="R430">
        <v>176.6</v>
      </c>
      <c r="S430">
        <v>389</v>
      </c>
      <c r="T430">
        <v>170</v>
      </c>
      <c r="U430">
        <v>5</v>
      </c>
      <c r="V430">
        <v>74</v>
      </c>
      <c r="W430">
        <v>23</v>
      </c>
      <c r="X430">
        <v>25.44</v>
      </c>
      <c r="Y430">
        <v>1.59</v>
      </c>
      <c r="Z430">
        <v>71.06</v>
      </c>
      <c r="AA430">
        <v>2177.42</v>
      </c>
      <c r="AB430">
        <v>1147.54</v>
      </c>
      <c r="AC430">
        <v>217.85</v>
      </c>
      <c r="AD430">
        <v>110</v>
      </c>
      <c r="AE430">
        <v>208.16</v>
      </c>
      <c r="AF430">
        <v>3860.97</v>
      </c>
      <c r="AG430">
        <v>323.66</v>
      </c>
      <c r="AH430">
        <v>5.21</v>
      </c>
    </row>
    <row r="431" spans="1:34">
      <c r="A431" t="s">
        <v>899</v>
      </c>
      <c r="B431" t="s">
        <v>259</v>
      </c>
      <c r="C431" t="b">
        <v>0</v>
      </c>
      <c r="D431" t="b">
        <v>0</v>
      </c>
      <c r="E431" t="s">
        <v>1471</v>
      </c>
      <c r="F431" t="s">
        <v>82</v>
      </c>
      <c r="G431" t="s">
        <v>81</v>
      </c>
      <c r="H431">
        <v>22.8</v>
      </c>
      <c r="I431">
        <v>7</v>
      </c>
      <c r="J431">
        <v>255</v>
      </c>
      <c r="K431">
        <v>7706.73</v>
      </c>
      <c r="L431">
        <v>261.72</v>
      </c>
      <c r="M431">
        <v>0</v>
      </c>
      <c r="N431">
        <v>7445.01</v>
      </c>
      <c r="O431">
        <v>2170.13</v>
      </c>
      <c r="P431">
        <v>5274.88</v>
      </c>
      <c r="Q431">
        <v>56.49</v>
      </c>
      <c r="R431">
        <v>306.48</v>
      </c>
      <c r="S431">
        <v>445</v>
      </c>
      <c r="T431">
        <v>173</v>
      </c>
      <c r="U431">
        <v>4</v>
      </c>
      <c r="V431">
        <v>82</v>
      </c>
      <c r="W431">
        <v>31</v>
      </c>
      <c r="X431">
        <v>29.2</v>
      </c>
      <c r="Y431">
        <v>1.75</v>
      </c>
      <c r="Z431">
        <v>70.84999999999999</v>
      </c>
      <c r="AA431">
        <v>2177.42</v>
      </c>
      <c r="AB431">
        <v>1147.54</v>
      </c>
      <c r="AC431">
        <v>220.16</v>
      </c>
      <c r="AD431">
        <v>110</v>
      </c>
      <c r="AE431">
        <v>166.14</v>
      </c>
      <c r="AF431">
        <v>3821.26</v>
      </c>
      <c r="AG431">
        <v>1090.65</v>
      </c>
      <c r="AH431">
        <v>14.65</v>
      </c>
    </row>
    <row r="432" spans="1:34">
      <c r="A432" t="s">
        <v>900</v>
      </c>
      <c r="B432" t="s">
        <v>260</v>
      </c>
      <c r="C432" t="b">
        <v>0</v>
      </c>
      <c r="D432" t="b">
        <v>0</v>
      </c>
      <c r="E432" t="s">
        <v>1471</v>
      </c>
      <c r="F432" t="s">
        <v>82</v>
      </c>
      <c r="G432" t="s">
        <v>81</v>
      </c>
      <c r="H432">
        <v>22.1</v>
      </c>
      <c r="I432">
        <v>8</v>
      </c>
      <c r="J432">
        <v>253</v>
      </c>
      <c r="K432">
        <v>8186.73</v>
      </c>
      <c r="L432">
        <v>348.59</v>
      </c>
      <c r="M432">
        <v>14.78</v>
      </c>
      <c r="N432">
        <v>7823.36</v>
      </c>
      <c r="O432">
        <v>2264.05</v>
      </c>
      <c r="P432">
        <v>5559.31</v>
      </c>
      <c r="Q432">
        <v>61.08</v>
      </c>
      <c r="R432">
        <v>259.81</v>
      </c>
      <c r="S432">
        <v>504</v>
      </c>
      <c r="T432">
        <v>171</v>
      </c>
      <c r="U432">
        <v>8</v>
      </c>
      <c r="V432">
        <v>82</v>
      </c>
      <c r="W432">
        <v>26</v>
      </c>
      <c r="X432">
        <v>30.92</v>
      </c>
      <c r="Y432">
        <v>1.99</v>
      </c>
      <c r="Z432">
        <v>71.06</v>
      </c>
      <c r="AA432">
        <v>2177.42</v>
      </c>
      <c r="AB432">
        <v>1147.54</v>
      </c>
      <c r="AC432">
        <v>191.26</v>
      </c>
      <c r="AD432">
        <v>110</v>
      </c>
      <c r="AE432">
        <v>222.03</v>
      </c>
      <c r="AF432">
        <v>3848.25</v>
      </c>
      <c r="AG432">
        <v>1390.17</v>
      </c>
      <c r="AH432">
        <v>17.77</v>
      </c>
    </row>
    <row r="433" spans="1:34">
      <c r="A433" t="s">
        <v>901</v>
      </c>
      <c r="B433" t="s">
        <v>261</v>
      </c>
      <c r="C433" t="b">
        <v>0</v>
      </c>
      <c r="D433" t="b">
        <v>0</v>
      </c>
      <c r="E433" t="s">
        <v>1471</v>
      </c>
      <c r="F433" t="s">
        <v>82</v>
      </c>
      <c r="G433" t="s">
        <v>81</v>
      </c>
      <c r="H433">
        <v>20.7</v>
      </c>
      <c r="I433">
        <v>9</v>
      </c>
      <c r="J433">
        <v>295</v>
      </c>
      <c r="K433">
        <v>9491.1</v>
      </c>
      <c r="L433">
        <v>178.25</v>
      </c>
      <c r="M433">
        <v>0</v>
      </c>
      <c r="N433">
        <v>9312.85</v>
      </c>
      <c r="O433">
        <v>2633.05</v>
      </c>
      <c r="P433">
        <v>6679.8</v>
      </c>
      <c r="Q433">
        <v>72.69</v>
      </c>
      <c r="R433">
        <v>335.17</v>
      </c>
      <c r="S433">
        <v>550</v>
      </c>
      <c r="T433">
        <v>194</v>
      </c>
      <c r="U433">
        <v>7</v>
      </c>
      <c r="V433">
        <v>101</v>
      </c>
      <c r="W433">
        <v>37</v>
      </c>
      <c r="X433">
        <v>31.57</v>
      </c>
      <c r="Y433">
        <v>1.86</v>
      </c>
      <c r="Z433">
        <v>71.73</v>
      </c>
      <c r="AA433">
        <v>2177.42</v>
      </c>
      <c r="AB433">
        <v>1147.54</v>
      </c>
      <c r="AC433">
        <v>212.5</v>
      </c>
      <c r="AD433">
        <v>110</v>
      </c>
      <c r="AE433">
        <v>214.16</v>
      </c>
      <c r="AF433">
        <v>3861.62</v>
      </c>
      <c r="AG433">
        <v>2410.32</v>
      </c>
      <c r="AH433">
        <v>25.88</v>
      </c>
    </row>
    <row r="434" spans="1:34">
      <c r="A434" t="s">
        <v>902</v>
      </c>
      <c r="B434" t="s">
        <v>262</v>
      </c>
      <c r="C434" t="b">
        <v>1</v>
      </c>
      <c r="D434" t="b">
        <v>0</v>
      </c>
      <c r="E434" t="s">
        <v>1471</v>
      </c>
      <c r="F434" t="s">
        <v>82</v>
      </c>
      <c r="G434" t="s">
        <v>81</v>
      </c>
      <c r="H434">
        <v>19.5</v>
      </c>
      <c r="I434">
        <v>10</v>
      </c>
      <c r="J434">
        <v>250</v>
      </c>
      <c r="K434">
        <v>9637.200000000001</v>
      </c>
      <c r="L434">
        <v>336.51</v>
      </c>
      <c r="M434">
        <v>57.39</v>
      </c>
      <c r="N434">
        <v>9243.299999999999</v>
      </c>
      <c r="O434">
        <v>2722.86</v>
      </c>
      <c r="P434">
        <v>6520.44</v>
      </c>
      <c r="Q434">
        <v>71.92</v>
      </c>
      <c r="R434">
        <v>382.7</v>
      </c>
      <c r="S434">
        <v>568</v>
      </c>
      <c r="T434">
        <v>175</v>
      </c>
      <c r="U434">
        <v>8</v>
      </c>
      <c r="V434">
        <v>75</v>
      </c>
      <c r="W434">
        <v>44</v>
      </c>
      <c r="X434">
        <v>36.97</v>
      </c>
      <c r="Y434">
        <v>2.27</v>
      </c>
      <c r="Z434">
        <v>70.54000000000001</v>
      </c>
      <c r="AA434">
        <v>2177.42</v>
      </c>
      <c r="AB434">
        <v>1147.54</v>
      </c>
      <c r="AC434">
        <v>205.58</v>
      </c>
      <c r="AD434">
        <v>110</v>
      </c>
      <c r="AE434">
        <v>144.14</v>
      </c>
      <c r="AF434">
        <v>3784.68</v>
      </c>
      <c r="AG434">
        <v>2281.14</v>
      </c>
      <c r="AH434">
        <v>24.68</v>
      </c>
    </row>
    <row r="435" spans="1:34">
      <c r="A435" t="s">
        <v>903</v>
      </c>
      <c r="B435" t="s">
        <v>263</v>
      </c>
      <c r="C435" t="b">
        <v>1</v>
      </c>
      <c r="D435" t="b">
        <v>0</v>
      </c>
      <c r="E435" t="s">
        <v>1471</v>
      </c>
      <c r="F435" t="s">
        <v>82</v>
      </c>
      <c r="G435" t="s">
        <v>81</v>
      </c>
      <c r="H435">
        <v>19.1</v>
      </c>
      <c r="I435">
        <v>11</v>
      </c>
      <c r="J435">
        <v>244</v>
      </c>
      <c r="K435">
        <v>9240.709999999999</v>
      </c>
      <c r="L435">
        <v>333.89</v>
      </c>
      <c r="M435">
        <v>0</v>
      </c>
      <c r="N435">
        <v>8906.82</v>
      </c>
      <c r="O435">
        <v>2643.62</v>
      </c>
      <c r="P435">
        <v>6263.2</v>
      </c>
      <c r="Q435">
        <v>75.75</v>
      </c>
      <c r="R435">
        <v>254.45</v>
      </c>
      <c r="S435">
        <v>534</v>
      </c>
      <c r="T435">
        <v>163</v>
      </c>
      <c r="U435">
        <v>16</v>
      </c>
      <c r="V435">
        <v>81</v>
      </c>
      <c r="W435">
        <v>25</v>
      </c>
      <c r="X435">
        <v>36.5</v>
      </c>
      <c r="Y435">
        <v>2.19</v>
      </c>
      <c r="Z435">
        <v>70.31999999999999</v>
      </c>
      <c r="AA435">
        <v>2177.42</v>
      </c>
      <c r="AB435">
        <v>1147.54</v>
      </c>
      <c r="AC435">
        <v>201.2</v>
      </c>
      <c r="AD435">
        <v>110</v>
      </c>
      <c r="AE435">
        <v>199.59</v>
      </c>
      <c r="AF435">
        <v>3835.75</v>
      </c>
      <c r="AG435">
        <v>2097.25</v>
      </c>
      <c r="AH435">
        <v>23.55</v>
      </c>
    </row>
    <row r="436" spans="1:34">
      <c r="A436" t="s">
        <v>427</v>
      </c>
      <c r="B436" t="s">
        <v>75</v>
      </c>
      <c r="C436" t="b">
        <v>0</v>
      </c>
      <c r="D436" t="b">
        <v>0</v>
      </c>
      <c r="E436" t="s">
        <v>1471</v>
      </c>
      <c r="F436" t="s">
        <v>82</v>
      </c>
      <c r="G436" t="s">
        <v>1480</v>
      </c>
      <c r="H436">
        <v>20</v>
      </c>
      <c r="I436">
        <v>12</v>
      </c>
      <c r="J436">
        <v>293</v>
      </c>
      <c r="K436">
        <v>8448.459999999999</v>
      </c>
      <c r="L436">
        <v>294.77</v>
      </c>
      <c r="M436">
        <v>0</v>
      </c>
      <c r="N436">
        <v>8153.69</v>
      </c>
      <c r="O436">
        <v>2361.14</v>
      </c>
      <c r="P436">
        <v>5792.55</v>
      </c>
      <c r="Q436">
        <v>63.89</v>
      </c>
      <c r="R436">
        <v>278.4</v>
      </c>
      <c r="S436">
        <v>512</v>
      </c>
      <c r="T436">
        <v>193</v>
      </c>
      <c r="U436">
        <v>8</v>
      </c>
      <c r="V436">
        <v>100</v>
      </c>
      <c r="W436">
        <v>34</v>
      </c>
      <c r="X436">
        <v>27.83</v>
      </c>
      <c r="Y436">
        <v>1.75</v>
      </c>
      <c r="Z436">
        <v>71.04000000000001</v>
      </c>
      <c r="AA436">
        <v>2177.42</v>
      </c>
      <c r="AB436">
        <v>1147.54</v>
      </c>
      <c r="AC436">
        <v>233.23</v>
      </c>
      <c r="AD436">
        <v>110</v>
      </c>
      <c r="AE436">
        <v>169.2</v>
      </c>
      <c r="AF436">
        <v>3837.39</v>
      </c>
      <c r="AG436">
        <v>1612.87</v>
      </c>
      <c r="AH436">
        <v>19.78</v>
      </c>
    </row>
    <row r="437" spans="1:34">
      <c r="A437" t="s">
        <v>904</v>
      </c>
      <c r="B437" t="s">
        <v>258</v>
      </c>
      <c r="C437" t="b">
        <v>0</v>
      </c>
      <c r="D437" t="b">
        <v>0</v>
      </c>
      <c r="E437" t="s">
        <v>1471</v>
      </c>
      <c r="F437" t="s">
        <v>82</v>
      </c>
      <c r="G437" t="s">
        <v>1481</v>
      </c>
      <c r="H437">
        <v>19</v>
      </c>
      <c r="I437">
        <v>13</v>
      </c>
      <c r="J437">
        <v>221</v>
      </c>
      <c r="K437">
        <v>8770.42</v>
      </c>
      <c r="L437">
        <v>219.48</v>
      </c>
      <c r="M437">
        <v>29.57</v>
      </c>
      <c r="N437">
        <v>8521.370000000001</v>
      </c>
      <c r="O437">
        <v>2449.09</v>
      </c>
      <c r="P437">
        <v>6072.28</v>
      </c>
      <c r="Q437">
        <v>64.15000000000001</v>
      </c>
      <c r="R437">
        <v>425.52</v>
      </c>
      <c r="S437">
        <v>462</v>
      </c>
      <c r="T437">
        <v>151</v>
      </c>
      <c r="U437">
        <v>7</v>
      </c>
      <c r="V437">
        <v>70</v>
      </c>
      <c r="W437">
        <v>41</v>
      </c>
      <c r="X437">
        <v>38.56</v>
      </c>
      <c r="Y437">
        <v>2.09</v>
      </c>
      <c r="Z437">
        <v>71.26000000000001</v>
      </c>
      <c r="AA437">
        <v>2438.71</v>
      </c>
      <c r="AB437">
        <v>1147.54</v>
      </c>
      <c r="AC437">
        <v>210.46</v>
      </c>
      <c r="AD437">
        <v>360</v>
      </c>
      <c r="AE437">
        <v>178.79</v>
      </c>
      <c r="AF437">
        <v>4335.5</v>
      </c>
      <c r="AG437">
        <v>1247.11</v>
      </c>
      <c r="AH437">
        <v>14.64</v>
      </c>
    </row>
    <row r="438" spans="1:34">
      <c r="A438" t="s">
        <v>905</v>
      </c>
      <c r="B438" t="s">
        <v>259</v>
      </c>
      <c r="C438" t="b">
        <v>0</v>
      </c>
      <c r="D438" t="b">
        <v>0</v>
      </c>
      <c r="E438" t="s">
        <v>1471</v>
      </c>
      <c r="F438" t="s">
        <v>82</v>
      </c>
      <c r="G438" t="s">
        <v>1481</v>
      </c>
      <c r="H438">
        <v>19.6</v>
      </c>
      <c r="I438">
        <v>14</v>
      </c>
      <c r="J438">
        <v>200</v>
      </c>
      <c r="K438">
        <v>7779.01</v>
      </c>
      <c r="L438">
        <v>172.23</v>
      </c>
      <c r="M438">
        <v>19.13</v>
      </c>
      <c r="N438">
        <v>7587.65</v>
      </c>
      <c r="O438">
        <v>2137.7</v>
      </c>
      <c r="P438">
        <v>5449.95</v>
      </c>
      <c r="Q438">
        <v>48.86</v>
      </c>
      <c r="R438">
        <v>455.9</v>
      </c>
      <c r="S438">
        <v>405</v>
      </c>
      <c r="T438">
        <v>129</v>
      </c>
      <c r="U438">
        <v>20</v>
      </c>
      <c r="V438">
        <v>71</v>
      </c>
      <c r="W438">
        <v>39</v>
      </c>
      <c r="X438">
        <v>37.94</v>
      </c>
      <c r="Y438">
        <v>2.02</v>
      </c>
      <c r="Z438">
        <v>71.83</v>
      </c>
      <c r="AA438">
        <v>2438.71</v>
      </c>
      <c r="AB438">
        <v>1147.54</v>
      </c>
      <c r="AC438">
        <v>185.64</v>
      </c>
      <c r="AD438">
        <v>360</v>
      </c>
      <c r="AE438">
        <v>197.64</v>
      </c>
      <c r="AF438">
        <v>4329.53</v>
      </c>
      <c r="AG438">
        <v>615.66</v>
      </c>
      <c r="AH438">
        <v>8.109999999999999</v>
      </c>
    </row>
    <row r="439" spans="1:34">
      <c r="A439" t="s">
        <v>906</v>
      </c>
      <c r="B439" t="s">
        <v>260</v>
      </c>
      <c r="C439" t="b">
        <v>0</v>
      </c>
      <c r="D439" t="b">
        <v>0</v>
      </c>
      <c r="E439" t="s">
        <v>1471</v>
      </c>
      <c r="F439" t="s">
        <v>82</v>
      </c>
      <c r="G439" t="s">
        <v>1481</v>
      </c>
      <c r="H439">
        <v>19.4</v>
      </c>
      <c r="I439">
        <v>15</v>
      </c>
      <c r="J439">
        <v>253</v>
      </c>
      <c r="K439">
        <v>10348.61</v>
      </c>
      <c r="L439">
        <v>435.03</v>
      </c>
      <c r="M439">
        <v>60.87</v>
      </c>
      <c r="N439">
        <v>9852.709999999999</v>
      </c>
      <c r="O439">
        <v>2904.35</v>
      </c>
      <c r="P439">
        <v>6948.36</v>
      </c>
      <c r="Q439">
        <v>74.34999999999999</v>
      </c>
      <c r="R439">
        <v>471.76</v>
      </c>
      <c r="S439">
        <v>537</v>
      </c>
      <c r="T439">
        <v>169</v>
      </c>
      <c r="U439">
        <v>4</v>
      </c>
      <c r="V439">
        <v>84</v>
      </c>
      <c r="W439">
        <v>50</v>
      </c>
      <c r="X439">
        <v>38.94</v>
      </c>
      <c r="Y439">
        <v>2.12</v>
      </c>
      <c r="Z439">
        <v>70.52</v>
      </c>
      <c r="AA439">
        <v>2438.71</v>
      </c>
      <c r="AB439">
        <v>1147.54</v>
      </c>
      <c r="AC439">
        <v>211.6</v>
      </c>
      <c r="AD439">
        <v>360</v>
      </c>
      <c r="AE439">
        <v>169.14</v>
      </c>
      <c r="AF439">
        <v>4326.99</v>
      </c>
      <c r="AG439">
        <v>2075.26</v>
      </c>
      <c r="AH439">
        <v>21.06</v>
      </c>
    </row>
    <row r="440" spans="1:34">
      <c r="A440" t="s">
        <v>907</v>
      </c>
      <c r="B440" t="s">
        <v>261</v>
      </c>
      <c r="C440" t="b">
        <v>0</v>
      </c>
      <c r="D440" t="b">
        <v>0</v>
      </c>
      <c r="E440" t="s">
        <v>1471</v>
      </c>
      <c r="F440" t="s">
        <v>82</v>
      </c>
      <c r="G440" t="s">
        <v>1481</v>
      </c>
      <c r="H440">
        <v>17.4</v>
      </c>
      <c r="I440">
        <v>16</v>
      </c>
      <c r="J440">
        <v>269</v>
      </c>
      <c r="K440">
        <v>10998.24</v>
      </c>
      <c r="L440">
        <v>373.15</v>
      </c>
      <c r="M440">
        <v>0</v>
      </c>
      <c r="N440">
        <v>10625.09</v>
      </c>
      <c r="O440">
        <v>3125.79</v>
      </c>
      <c r="P440">
        <v>7499.3</v>
      </c>
      <c r="Q440">
        <v>88.31999999999999</v>
      </c>
      <c r="R440">
        <v>374.05</v>
      </c>
      <c r="S440">
        <v>558</v>
      </c>
      <c r="T440">
        <v>171</v>
      </c>
      <c r="U440">
        <v>15</v>
      </c>
      <c r="V440">
        <v>98</v>
      </c>
      <c r="W440">
        <v>35</v>
      </c>
      <c r="X440">
        <v>39.5</v>
      </c>
      <c r="Y440">
        <v>2.07</v>
      </c>
      <c r="Z440">
        <v>70.58</v>
      </c>
      <c r="AA440">
        <v>2438.71</v>
      </c>
      <c r="AB440">
        <v>1147.54</v>
      </c>
      <c r="AC440">
        <v>193.61</v>
      </c>
      <c r="AD440">
        <v>360</v>
      </c>
      <c r="AE440">
        <v>185.21</v>
      </c>
      <c r="AF440">
        <v>4325.07</v>
      </c>
      <c r="AG440">
        <v>2711.86</v>
      </c>
      <c r="AH440">
        <v>25.52</v>
      </c>
    </row>
    <row r="441" spans="1:34">
      <c r="A441" t="s">
        <v>908</v>
      </c>
      <c r="B441" t="s">
        <v>262</v>
      </c>
      <c r="C441" t="b">
        <v>1</v>
      </c>
      <c r="D441" t="b">
        <v>0</v>
      </c>
      <c r="E441" t="s">
        <v>1471</v>
      </c>
      <c r="F441" t="s">
        <v>82</v>
      </c>
      <c r="G441" t="s">
        <v>1481</v>
      </c>
      <c r="H441">
        <v>19.6</v>
      </c>
      <c r="I441">
        <v>17</v>
      </c>
      <c r="J441">
        <v>241</v>
      </c>
      <c r="K441">
        <v>9551.200000000001</v>
      </c>
      <c r="L441">
        <v>386.39</v>
      </c>
      <c r="M441">
        <v>19.13</v>
      </c>
      <c r="N441">
        <v>9145.68</v>
      </c>
      <c r="O441">
        <v>2645.03</v>
      </c>
      <c r="P441">
        <v>6500.65</v>
      </c>
      <c r="Q441">
        <v>76.2</v>
      </c>
      <c r="R441">
        <v>336.58</v>
      </c>
      <c r="S441">
        <v>516</v>
      </c>
      <c r="T441">
        <v>150</v>
      </c>
      <c r="U441">
        <v>7</v>
      </c>
      <c r="V441">
        <v>91</v>
      </c>
      <c r="W441">
        <v>40</v>
      </c>
      <c r="X441">
        <v>37.95</v>
      </c>
      <c r="Y441">
        <v>2.14</v>
      </c>
      <c r="Z441">
        <v>71.08</v>
      </c>
      <c r="AA441">
        <v>2438.71</v>
      </c>
      <c r="AB441">
        <v>1147.54</v>
      </c>
      <c r="AC441">
        <v>227.32</v>
      </c>
      <c r="AD441">
        <v>360</v>
      </c>
      <c r="AE441">
        <v>187.46</v>
      </c>
      <c r="AF441">
        <v>4361.03</v>
      </c>
      <c r="AG441">
        <v>1726.84</v>
      </c>
      <c r="AH441">
        <v>18.88</v>
      </c>
    </row>
    <row r="442" spans="1:34">
      <c r="A442" t="s">
        <v>909</v>
      </c>
      <c r="B442" t="s">
        <v>263</v>
      </c>
      <c r="C442" t="b">
        <v>1</v>
      </c>
      <c r="D442" t="b">
        <v>0</v>
      </c>
      <c r="E442" t="s">
        <v>1471</v>
      </c>
      <c r="F442" t="s">
        <v>82</v>
      </c>
      <c r="G442" t="s">
        <v>1481</v>
      </c>
      <c r="H442">
        <v>21.1</v>
      </c>
      <c r="I442">
        <v>18</v>
      </c>
      <c r="J442">
        <v>266</v>
      </c>
      <c r="K442">
        <v>10623.46</v>
      </c>
      <c r="L442">
        <v>455.9</v>
      </c>
      <c r="M442">
        <v>39.13</v>
      </c>
      <c r="N442">
        <v>10128.43</v>
      </c>
      <c r="O442">
        <v>2999.63</v>
      </c>
      <c r="P442">
        <v>7128.8</v>
      </c>
      <c r="Q442">
        <v>78.56</v>
      </c>
      <c r="R442">
        <v>419.32</v>
      </c>
      <c r="S442">
        <v>567</v>
      </c>
      <c r="T442">
        <v>178</v>
      </c>
      <c r="U442">
        <v>16</v>
      </c>
      <c r="V442">
        <v>88</v>
      </c>
      <c r="W442">
        <v>49</v>
      </c>
      <c r="X442">
        <v>38.08</v>
      </c>
      <c r="Y442">
        <v>2.13</v>
      </c>
      <c r="Z442">
        <v>70.38</v>
      </c>
      <c r="AA442">
        <v>2438.71</v>
      </c>
      <c r="AB442">
        <v>1147.54</v>
      </c>
      <c r="AC442">
        <v>209.57</v>
      </c>
      <c r="AD442">
        <v>360</v>
      </c>
      <c r="AE442">
        <v>211.64</v>
      </c>
      <c r="AF442">
        <v>4367.46</v>
      </c>
      <c r="AG442">
        <v>2263.46</v>
      </c>
      <c r="AH442">
        <v>22.35</v>
      </c>
    </row>
    <row r="443" spans="1:34">
      <c r="A443" t="s">
        <v>428</v>
      </c>
      <c r="B443" t="s">
        <v>75</v>
      </c>
      <c r="C443" t="b">
        <v>0</v>
      </c>
      <c r="D443" t="b">
        <v>0</v>
      </c>
      <c r="E443" t="s">
        <v>1471</v>
      </c>
      <c r="F443" t="s">
        <v>82</v>
      </c>
      <c r="G443" t="s">
        <v>1481</v>
      </c>
      <c r="H443">
        <v>19.7</v>
      </c>
      <c r="I443">
        <v>19</v>
      </c>
      <c r="J443">
        <v>242</v>
      </c>
      <c r="K443">
        <v>9551.32</v>
      </c>
      <c r="L443">
        <v>322.28</v>
      </c>
      <c r="M443">
        <v>42.7</v>
      </c>
      <c r="N443">
        <v>9186.34</v>
      </c>
      <c r="O443">
        <v>2722.14</v>
      </c>
      <c r="P443">
        <v>6464.2</v>
      </c>
      <c r="Q443">
        <v>68.59999999999999</v>
      </c>
      <c r="R443">
        <v>489.15</v>
      </c>
      <c r="S443">
        <v>494</v>
      </c>
      <c r="T443">
        <v>163</v>
      </c>
      <c r="U443">
        <v>6</v>
      </c>
      <c r="V443">
        <v>79</v>
      </c>
      <c r="W443">
        <v>52</v>
      </c>
      <c r="X443">
        <v>37.96</v>
      </c>
      <c r="Y443">
        <v>2.04</v>
      </c>
      <c r="Z443">
        <v>70.37</v>
      </c>
      <c r="AA443">
        <v>2438.71</v>
      </c>
      <c r="AB443">
        <v>1147.54</v>
      </c>
      <c r="AC443">
        <v>219.5</v>
      </c>
      <c r="AD443">
        <v>360</v>
      </c>
      <c r="AE443">
        <v>197.94</v>
      </c>
      <c r="AF443">
        <v>4363.69</v>
      </c>
      <c r="AG443">
        <v>1542.76</v>
      </c>
      <c r="AH443">
        <v>16.79</v>
      </c>
    </row>
    <row r="444" spans="1:34">
      <c r="A444" t="s">
        <v>910</v>
      </c>
      <c r="B444" t="s">
        <v>258</v>
      </c>
      <c r="C444" t="b">
        <v>0</v>
      </c>
      <c r="D444" t="b">
        <v>0</v>
      </c>
      <c r="E444" t="s">
        <v>1471</v>
      </c>
      <c r="F444" t="s">
        <v>82</v>
      </c>
      <c r="G444" t="s">
        <v>1481</v>
      </c>
      <c r="H444">
        <v>19.9</v>
      </c>
      <c r="I444">
        <v>20</v>
      </c>
      <c r="J444">
        <v>244</v>
      </c>
      <c r="K444">
        <v>9954.780000000001</v>
      </c>
      <c r="L444">
        <v>316.54</v>
      </c>
      <c r="M444">
        <v>62.61</v>
      </c>
      <c r="N444">
        <v>9575.629999999999</v>
      </c>
      <c r="O444">
        <v>2816.72</v>
      </c>
      <c r="P444">
        <v>6758.91</v>
      </c>
      <c r="Q444">
        <v>71.62</v>
      </c>
      <c r="R444">
        <v>523.92</v>
      </c>
      <c r="S444">
        <v>527</v>
      </c>
      <c r="T444">
        <v>160</v>
      </c>
      <c r="U444">
        <v>7</v>
      </c>
      <c r="V444">
        <v>84</v>
      </c>
      <c r="W444">
        <v>54</v>
      </c>
      <c r="X444">
        <v>39.24</v>
      </c>
      <c r="Y444">
        <v>2.16</v>
      </c>
      <c r="Z444">
        <v>70.58</v>
      </c>
      <c r="AA444">
        <v>2438.71</v>
      </c>
      <c r="AB444">
        <v>1147.54</v>
      </c>
      <c r="AC444">
        <v>234.5</v>
      </c>
      <c r="AD444">
        <v>360</v>
      </c>
      <c r="AE444">
        <v>222.7</v>
      </c>
      <c r="AF444">
        <v>4403.45</v>
      </c>
      <c r="AG444">
        <v>1759.92</v>
      </c>
      <c r="AH444">
        <v>18.38</v>
      </c>
    </row>
    <row r="445" spans="1:34">
      <c r="A445" t="s">
        <v>911</v>
      </c>
      <c r="B445" t="s">
        <v>259</v>
      </c>
      <c r="C445" t="b">
        <v>0</v>
      </c>
      <c r="D445" t="b">
        <v>0</v>
      </c>
      <c r="E445" t="s">
        <v>1471</v>
      </c>
      <c r="F445" t="s">
        <v>82</v>
      </c>
      <c r="G445" t="s">
        <v>1481</v>
      </c>
      <c r="H445">
        <v>17.3</v>
      </c>
      <c r="I445">
        <v>21</v>
      </c>
      <c r="J445">
        <v>233</v>
      </c>
      <c r="K445">
        <v>9036.469999999999</v>
      </c>
      <c r="L445">
        <v>274.89</v>
      </c>
      <c r="M445">
        <v>20</v>
      </c>
      <c r="N445">
        <v>8741.58</v>
      </c>
      <c r="O445">
        <v>2526.29</v>
      </c>
      <c r="P445">
        <v>6215.29</v>
      </c>
      <c r="Q445">
        <v>57.18</v>
      </c>
      <c r="R445">
        <v>514.15</v>
      </c>
      <c r="S445">
        <v>480</v>
      </c>
      <c r="T445">
        <v>166</v>
      </c>
      <c r="U445">
        <v>10</v>
      </c>
      <c r="V445">
        <v>67</v>
      </c>
      <c r="W445">
        <v>54</v>
      </c>
      <c r="X445">
        <v>37.52</v>
      </c>
      <c r="Y445">
        <v>2.06</v>
      </c>
      <c r="Z445">
        <v>71.09999999999999</v>
      </c>
      <c r="AA445">
        <v>2438.71</v>
      </c>
      <c r="AB445">
        <v>1147.54</v>
      </c>
      <c r="AC445">
        <v>243.9</v>
      </c>
      <c r="AD445">
        <v>360</v>
      </c>
      <c r="AE445">
        <v>152.65</v>
      </c>
      <c r="AF445">
        <v>4342.8</v>
      </c>
      <c r="AG445">
        <v>1301.16</v>
      </c>
      <c r="AH445">
        <v>14.88</v>
      </c>
    </row>
    <row r="446" spans="1:34">
      <c r="A446" t="s">
        <v>912</v>
      </c>
      <c r="B446" t="s">
        <v>260</v>
      </c>
      <c r="C446" t="b">
        <v>0</v>
      </c>
      <c r="D446" t="b">
        <v>0</v>
      </c>
      <c r="E446" t="s">
        <v>1471</v>
      </c>
      <c r="F446" t="s">
        <v>82</v>
      </c>
      <c r="G446" t="s">
        <v>1481</v>
      </c>
      <c r="H446">
        <v>16.6</v>
      </c>
      <c r="I446">
        <v>22</v>
      </c>
      <c r="J446">
        <v>222</v>
      </c>
      <c r="K446">
        <v>9100.84</v>
      </c>
      <c r="L446">
        <v>324.56</v>
      </c>
      <c r="M446">
        <v>80.87</v>
      </c>
      <c r="N446">
        <v>8695.41</v>
      </c>
      <c r="O446">
        <v>2516.76</v>
      </c>
      <c r="P446">
        <v>6178.65</v>
      </c>
      <c r="Q446">
        <v>67.72</v>
      </c>
      <c r="R446">
        <v>329.82</v>
      </c>
      <c r="S446">
        <v>485</v>
      </c>
      <c r="T446">
        <v>147</v>
      </c>
      <c r="U446">
        <v>9</v>
      </c>
      <c r="V446">
        <v>75</v>
      </c>
      <c r="W446">
        <v>37</v>
      </c>
      <c r="X446">
        <v>39.17</v>
      </c>
      <c r="Y446">
        <v>2.18</v>
      </c>
      <c r="Z446">
        <v>71.06</v>
      </c>
      <c r="AA446">
        <v>2438.71</v>
      </c>
      <c r="AB446">
        <v>1147.54</v>
      </c>
      <c r="AC446">
        <v>209.75</v>
      </c>
      <c r="AD446">
        <v>360</v>
      </c>
      <c r="AE446">
        <v>194.8</v>
      </c>
      <c r="AF446">
        <v>4350.8</v>
      </c>
      <c r="AG446">
        <v>1430.31</v>
      </c>
      <c r="AH446">
        <v>16.45</v>
      </c>
    </row>
    <row r="447" spans="1:34">
      <c r="A447" t="s">
        <v>913</v>
      </c>
      <c r="B447" t="s">
        <v>261</v>
      </c>
      <c r="C447" t="b">
        <v>0</v>
      </c>
      <c r="D447" t="b">
        <v>0</v>
      </c>
      <c r="E447" t="s">
        <v>1471</v>
      </c>
      <c r="F447" t="s">
        <v>82</v>
      </c>
      <c r="G447" t="s">
        <v>1481</v>
      </c>
      <c r="H447">
        <v>17.6</v>
      </c>
      <c r="I447">
        <v>23</v>
      </c>
      <c r="J447">
        <v>236</v>
      </c>
      <c r="K447">
        <v>8939.93</v>
      </c>
      <c r="L447">
        <v>301.61</v>
      </c>
      <c r="M447">
        <v>0</v>
      </c>
      <c r="N447">
        <v>8638.32</v>
      </c>
      <c r="O447">
        <v>2532.82</v>
      </c>
      <c r="P447">
        <v>6105.5</v>
      </c>
      <c r="Q447">
        <v>61.4</v>
      </c>
      <c r="R447">
        <v>376.7</v>
      </c>
      <c r="S447">
        <v>487</v>
      </c>
      <c r="T447">
        <v>154</v>
      </c>
      <c r="U447">
        <v>7</v>
      </c>
      <c r="V447">
        <v>82</v>
      </c>
      <c r="W447">
        <v>46</v>
      </c>
      <c r="X447">
        <v>36.6</v>
      </c>
      <c r="Y447">
        <v>2.06</v>
      </c>
      <c r="Z447">
        <v>70.68000000000001</v>
      </c>
      <c r="AA447">
        <v>2438.71</v>
      </c>
      <c r="AB447">
        <v>1147.54</v>
      </c>
      <c r="AC447">
        <v>188.97</v>
      </c>
      <c r="AD447">
        <v>360</v>
      </c>
      <c r="AE447">
        <v>187.41</v>
      </c>
      <c r="AF447">
        <v>4322.63</v>
      </c>
      <c r="AG447">
        <v>1344.77</v>
      </c>
      <c r="AH447">
        <v>15.57</v>
      </c>
    </row>
    <row r="448" spans="1:34">
      <c r="A448" t="s">
        <v>914</v>
      </c>
      <c r="B448" t="s">
        <v>262</v>
      </c>
      <c r="C448" t="b">
        <v>1</v>
      </c>
      <c r="D448" t="b">
        <v>0</v>
      </c>
      <c r="E448" t="s">
        <v>1471</v>
      </c>
      <c r="F448" t="s">
        <v>82</v>
      </c>
      <c r="G448" t="s">
        <v>1481</v>
      </c>
      <c r="H448">
        <v>19.7</v>
      </c>
      <c r="I448">
        <v>24</v>
      </c>
      <c r="J448">
        <v>257</v>
      </c>
      <c r="K448">
        <v>10620.86</v>
      </c>
      <c r="L448">
        <v>406.75</v>
      </c>
      <c r="M448">
        <v>35.65</v>
      </c>
      <c r="N448">
        <v>10178.46</v>
      </c>
      <c r="O448">
        <v>2986.03</v>
      </c>
      <c r="P448">
        <v>7192.43</v>
      </c>
      <c r="Q448">
        <v>74.16</v>
      </c>
      <c r="R448">
        <v>508.15</v>
      </c>
      <c r="S448">
        <v>555</v>
      </c>
      <c r="T448">
        <v>168</v>
      </c>
      <c r="U448">
        <v>8</v>
      </c>
      <c r="V448">
        <v>89</v>
      </c>
      <c r="W448">
        <v>47</v>
      </c>
      <c r="X448">
        <v>39.6</v>
      </c>
      <c r="Y448">
        <v>2.16</v>
      </c>
      <c r="Z448">
        <v>70.66</v>
      </c>
      <c r="AA448">
        <v>2438.71</v>
      </c>
      <c r="AB448">
        <v>1147.54</v>
      </c>
      <c r="AC448">
        <v>211.05</v>
      </c>
      <c r="AD448">
        <v>360</v>
      </c>
      <c r="AE448">
        <v>162.42</v>
      </c>
      <c r="AF448">
        <v>4319.72</v>
      </c>
      <c r="AG448">
        <v>2290.4</v>
      </c>
      <c r="AH448">
        <v>22.5</v>
      </c>
    </row>
    <row r="449" spans="1:34">
      <c r="A449" t="s">
        <v>915</v>
      </c>
      <c r="B449" t="s">
        <v>263</v>
      </c>
      <c r="C449" t="b">
        <v>1</v>
      </c>
      <c r="D449" t="b">
        <v>0</v>
      </c>
      <c r="E449" t="s">
        <v>1471</v>
      </c>
      <c r="F449" t="s">
        <v>82</v>
      </c>
      <c r="G449" t="s">
        <v>1481</v>
      </c>
      <c r="H449">
        <v>18.7</v>
      </c>
      <c r="I449">
        <v>25</v>
      </c>
      <c r="J449">
        <v>264</v>
      </c>
      <c r="K449">
        <v>10959.94</v>
      </c>
      <c r="L449">
        <v>332.14</v>
      </c>
      <c r="M449">
        <v>17.39</v>
      </c>
      <c r="N449">
        <v>10610.41</v>
      </c>
      <c r="O449">
        <v>3192.51</v>
      </c>
      <c r="P449">
        <v>7417.9</v>
      </c>
      <c r="Q449">
        <v>71.55</v>
      </c>
      <c r="R449">
        <v>554.77</v>
      </c>
      <c r="S449">
        <v>562</v>
      </c>
      <c r="T449">
        <v>179</v>
      </c>
      <c r="U449">
        <v>16</v>
      </c>
      <c r="V449">
        <v>85</v>
      </c>
      <c r="W449">
        <v>47</v>
      </c>
      <c r="X449">
        <v>40.19</v>
      </c>
      <c r="Y449">
        <v>2.13</v>
      </c>
      <c r="Z449">
        <v>69.91</v>
      </c>
      <c r="AA449">
        <v>2438.71</v>
      </c>
      <c r="AB449">
        <v>1147.54</v>
      </c>
      <c r="AC449">
        <v>206.32</v>
      </c>
      <c r="AD449">
        <v>360</v>
      </c>
      <c r="AE449">
        <v>208.41</v>
      </c>
      <c r="AF449">
        <v>4360.98</v>
      </c>
      <c r="AG449">
        <v>2430.6</v>
      </c>
      <c r="AH449">
        <v>22.91</v>
      </c>
    </row>
    <row r="450" spans="1:34">
      <c r="A450" t="s">
        <v>429</v>
      </c>
      <c r="B450" t="s">
        <v>75</v>
      </c>
      <c r="C450" t="b">
        <v>0</v>
      </c>
      <c r="D450" t="b">
        <v>0</v>
      </c>
      <c r="E450" t="s">
        <v>1471</v>
      </c>
      <c r="F450" t="s">
        <v>82</v>
      </c>
      <c r="G450" t="s">
        <v>1481</v>
      </c>
      <c r="H450">
        <v>19.5</v>
      </c>
      <c r="I450">
        <v>26</v>
      </c>
      <c r="J450">
        <v>265</v>
      </c>
      <c r="K450">
        <v>9479.059999999999</v>
      </c>
      <c r="L450">
        <v>303.2</v>
      </c>
      <c r="M450">
        <v>22.7</v>
      </c>
      <c r="N450">
        <v>9153.16</v>
      </c>
      <c r="O450">
        <v>2690.91</v>
      </c>
      <c r="P450">
        <v>6462.25</v>
      </c>
      <c r="Q450">
        <v>61.07</v>
      </c>
      <c r="R450">
        <v>479.91</v>
      </c>
      <c r="S450">
        <v>507</v>
      </c>
      <c r="T450">
        <v>181</v>
      </c>
      <c r="U450">
        <v>12</v>
      </c>
      <c r="V450">
        <v>84</v>
      </c>
      <c r="W450">
        <v>48</v>
      </c>
      <c r="X450">
        <v>34.54</v>
      </c>
      <c r="Y450">
        <v>1.91</v>
      </c>
      <c r="Z450">
        <v>70.59999999999999</v>
      </c>
      <c r="AA450">
        <v>2438.71</v>
      </c>
      <c r="AB450">
        <v>1147.54</v>
      </c>
      <c r="AC450">
        <v>181.18</v>
      </c>
      <c r="AD450">
        <v>360</v>
      </c>
      <c r="AE450">
        <v>191.77</v>
      </c>
      <c r="AF450">
        <v>4319.2</v>
      </c>
      <c r="AG450">
        <v>1602.07</v>
      </c>
      <c r="AH450">
        <v>17.5</v>
      </c>
    </row>
    <row r="451" spans="1:34">
      <c r="A451" t="s">
        <v>916</v>
      </c>
      <c r="B451" t="s">
        <v>258</v>
      </c>
      <c r="C451" t="b">
        <v>0</v>
      </c>
      <c r="D451" t="b">
        <v>0</v>
      </c>
      <c r="E451" t="s">
        <v>1471</v>
      </c>
      <c r="F451" t="s">
        <v>82</v>
      </c>
      <c r="G451" t="s">
        <v>1481</v>
      </c>
      <c r="H451">
        <v>19</v>
      </c>
      <c r="I451">
        <v>27</v>
      </c>
      <c r="J451">
        <v>250</v>
      </c>
      <c r="K451">
        <v>8834.690000000001</v>
      </c>
      <c r="L451">
        <v>232.16</v>
      </c>
      <c r="M451">
        <v>53.05</v>
      </c>
      <c r="N451">
        <v>8549.48</v>
      </c>
      <c r="O451">
        <v>2391.23</v>
      </c>
      <c r="P451">
        <v>6158.25</v>
      </c>
      <c r="Q451">
        <v>55.68</v>
      </c>
      <c r="R451">
        <v>539.25</v>
      </c>
      <c r="S451">
        <v>487</v>
      </c>
      <c r="T451">
        <v>167</v>
      </c>
      <c r="U451">
        <v>14</v>
      </c>
      <c r="V451">
        <v>83</v>
      </c>
      <c r="W451">
        <v>58</v>
      </c>
      <c r="X451">
        <v>34.2</v>
      </c>
      <c r="Y451">
        <v>1.95</v>
      </c>
      <c r="Z451">
        <v>72.03</v>
      </c>
      <c r="AA451">
        <v>2438.71</v>
      </c>
      <c r="AB451">
        <v>1147.54</v>
      </c>
      <c r="AC451">
        <v>209.76</v>
      </c>
      <c r="AD451">
        <v>360</v>
      </c>
      <c r="AE451">
        <v>147.59</v>
      </c>
      <c r="AF451">
        <v>4303.6</v>
      </c>
      <c r="AG451">
        <v>1259.72</v>
      </c>
      <c r="AH451">
        <v>14.73</v>
      </c>
    </row>
    <row r="452" spans="1:34">
      <c r="A452" t="s">
        <v>917</v>
      </c>
      <c r="B452" t="s">
        <v>259</v>
      </c>
      <c r="C452" t="b">
        <v>0</v>
      </c>
      <c r="D452" t="b">
        <v>0</v>
      </c>
      <c r="E452" t="s">
        <v>1471</v>
      </c>
      <c r="F452" t="s">
        <v>82</v>
      </c>
      <c r="G452" t="s">
        <v>1481</v>
      </c>
      <c r="H452">
        <v>21.1</v>
      </c>
      <c r="I452">
        <v>28</v>
      </c>
      <c r="J452">
        <v>240</v>
      </c>
      <c r="K452">
        <v>9640.92</v>
      </c>
      <c r="L452">
        <v>222.15</v>
      </c>
      <c r="M452">
        <v>10.43</v>
      </c>
      <c r="N452">
        <v>9408.34</v>
      </c>
      <c r="O452">
        <v>2729.71</v>
      </c>
      <c r="P452">
        <v>6678.63</v>
      </c>
      <c r="Q452">
        <v>67.61</v>
      </c>
      <c r="R452">
        <v>527.88</v>
      </c>
      <c r="S452">
        <v>524</v>
      </c>
      <c r="T452">
        <v>160</v>
      </c>
      <c r="U452">
        <v>11</v>
      </c>
      <c r="V452">
        <v>80</v>
      </c>
      <c r="W452">
        <v>62</v>
      </c>
      <c r="X452">
        <v>39.2</v>
      </c>
      <c r="Y452">
        <v>2.18</v>
      </c>
      <c r="Z452">
        <v>70.98999999999999</v>
      </c>
      <c r="AA452">
        <v>2438.71</v>
      </c>
      <c r="AB452">
        <v>1147.54</v>
      </c>
      <c r="AC452">
        <v>213.84</v>
      </c>
      <c r="AD452">
        <v>360</v>
      </c>
      <c r="AE452">
        <v>175.44</v>
      </c>
      <c r="AF452">
        <v>4335.53</v>
      </c>
      <c r="AG452">
        <v>1747.61</v>
      </c>
      <c r="AH452">
        <v>18.58</v>
      </c>
    </row>
    <row r="453" spans="1:34">
      <c r="A453" t="s">
        <v>918</v>
      </c>
      <c r="B453" t="s">
        <v>260</v>
      </c>
      <c r="C453" t="b">
        <v>0</v>
      </c>
      <c r="D453" t="b">
        <v>0</v>
      </c>
      <c r="E453" t="s">
        <v>1471</v>
      </c>
      <c r="F453" t="s">
        <v>82</v>
      </c>
      <c r="G453" t="s">
        <v>1482</v>
      </c>
      <c r="H453">
        <v>22.8</v>
      </c>
      <c r="I453">
        <v>0</v>
      </c>
      <c r="J453">
        <v>274</v>
      </c>
      <c r="K453">
        <v>11206.04</v>
      </c>
      <c r="L453">
        <v>281.87</v>
      </c>
      <c r="M453">
        <v>53.04</v>
      </c>
      <c r="N453">
        <v>10871.13</v>
      </c>
      <c r="O453">
        <v>3129.77</v>
      </c>
      <c r="P453">
        <v>7741.36</v>
      </c>
      <c r="Q453">
        <v>80.09999999999999</v>
      </c>
      <c r="R453">
        <v>623.0599999999999</v>
      </c>
      <c r="S453">
        <v>609</v>
      </c>
      <c r="T453">
        <v>178</v>
      </c>
      <c r="U453">
        <v>8</v>
      </c>
      <c r="V453">
        <v>96</v>
      </c>
      <c r="W453">
        <v>49</v>
      </c>
      <c r="X453">
        <v>39.68</v>
      </c>
      <c r="Y453">
        <v>2.22</v>
      </c>
      <c r="Z453">
        <v>71.20999999999999</v>
      </c>
      <c r="AA453">
        <v>2438.71</v>
      </c>
      <c r="AB453">
        <v>1147.54</v>
      </c>
      <c r="AC453">
        <v>198.2</v>
      </c>
      <c r="AD453">
        <v>360</v>
      </c>
      <c r="AE453">
        <v>189.25</v>
      </c>
      <c r="AF453">
        <v>4333.7</v>
      </c>
      <c r="AG453">
        <v>2704.5</v>
      </c>
      <c r="AH453">
        <v>24.88</v>
      </c>
    </row>
    <row r="454" spans="1:34">
      <c r="A454" t="s">
        <v>919</v>
      </c>
      <c r="B454" t="s">
        <v>261</v>
      </c>
      <c r="C454" t="b">
        <v>0</v>
      </c>
      <c r="D454" t="b">
        <v>0</v>
      </c>
      <c r="E454" t="s">
        <v>1471</v>
      </c>
      <c r="F454" t="s">
        <v>82</v>
      </c>
      <c r="G454" t="s">
        <v>1482</v>
      </c>
      <c r="H454">
        <v>25</v>
      </c>
      <c r="I454">
        <v>1</v>
      </c>
      <c r="J454">
        <v>318</v>
      </c>
      <c r="K454">
        <v>12807.87</v>
      </c>
      <c r="L454">
        <v>626.36</v>
      </c>
      <c r="M454">
        <v>0</v>
      </c>
      <c r="N454">
        <v>12181.51</v>
      </c>
      <c r="O454">
        <v>3644.39</v>
      </c>
      <c r="P454">
        <v>8537.120000000001</v>
      </c>
      <c r="Q454">
        <v>90.3</v>
      </c>
      <c r="R454">
        <v>517.66</v>
      </c>
      <c r="S454">
        <v>660</v>
      </c>
      <c r="T454">
        <v>223</v>
      </c>
      <c r="U454">
        <v>18</v>
      </c>
      <c r="V454">
        <v>95</v>
      </c>
      <c r="W454">
        <v>59</v>
      </c>
      <c r="X454">
        <v>38.31</v>
      </c>
      <c r="Y454">
        <v>2.08</v>
      </c>
      <c r="Z454">
        <v>70.08</v>
      </c>
      <c r="AA454">
        <v>2438.71</v>
      </c>
      <c r="AB454">
        <v>1147.54</v>
      </c>
      <c r="AC454">
        <v>239.59</v>
      </c>
      <c r="AD454">
        <v>360</v>
      </c>
      <c r="AE454">
        <v>201.95</v>
      </c>
      <c r="AF454">
        <v>4387.79</v>
      </c>
      <c r="AG454">
        <v>3541.37</v>
      </c>
      <c r="AH454">
        <v>29.07</v>
      </c>
    </row>
    <row r="455" spans="1:34">
      <c r="A455" t="s">
        <v>920</v>
      </c>
      <c r="B455" t="s">
        <v>262</v>
      </c>
      <c r="C455" t="b">
        <v>1</v>
      </c>
      <c r="D455" t="b">
        <v>0</v>
      </c>
      <c r="E455" t="s">
        <v>1471</v>
      </c>
      <c r="F455" t="s">
        <v>82</v>
      </c>
      <c r="G455" t="s">
        <v>1482</v>
      </c>
      <c r="H455">
        <v>23.7</v>
      </c>
      <c r="I455">
        <v>2</v>
      </c>
      <c r="J455">
        <v>305</v>
      </c>
      <c r="K455">
        <v>13179.04</v>
      </c>
      <c r="L455">
        <v>462.56</v>
      </c>
      <c r="M455">
        <v>74.78</v>
      </c>
      <c r="N455">
        <v>12641.7</v>
      </c>
      <c r="O455">
        <v>3654.32</v>
      </c>
      <c r="P455">
        <v>8987.379999999999</v>
      </c>
      <c r="Q455">
        <v>90.7</v>
      </c>
      <c r="R455">
        <v>664.11</v>
      </c>
      <c r="S455">
        <v>699</v>
      </c>
      <c r="T455">
        <v>211</v>
      </c>
      <c r="U455">
        <v>16</v>
      </c>
      <c r="V455">
        <v>94</v>
      </c>
      <c r="W455">
        <v>69</v>
      </c>
      <c r="X455">
        <v>41.45</v>
      </c>
      <c r="Y455">
        <v>2.29</v>
      </c>
      <c r="Z455">
        <v>71.09</v>
      </c>
      <c r="AA455">
        <v>2438.71</v>
      </c>
      <c r="AB455">
        <v>1147.54</v>
      </c>
      <c r="AC455">
        <v>210.66</v>
      </c>
      <c r="AD455">
        <v>360</v>
      </c>
      <c r="AE455">
        <v>191.33</v>
      </c>
      <c r="AF455">
        <v>4348.24</v>
      </c>
      <c r="AG455">
        <v>3884.33</v>
      </c>
      <c r="AH455">
        <v>30.73</v>
      </c>
    </row>
    <row r="456" spans="1:34">
      <c r="A456" t="s">
        <v>921</v>
      </c>
      <c r="B456" t="s">
        <v>263</v>
      </c>
      <c r="C456" t="b">
        <v>1</v>
      </c>
      <c r="D456" t="b">
        <v>0</v>
      </c>
      <c r="E456" t="s">
        <v>1471</v>
      </c>
      <c r="F456" t="s">
        <v>82</v>
      </c>
      <c r="G456" t="s">
        <v>1482</v>
      </c>
      <c r="H456">
        <v>26.3</v>
      </c>
      <c r="I456">
        <v>3</v>
      </c>
      <c r="J456">
        <v>290</v>
      </c>
      <c r="K456">
        <v>11717.34</v>
      </c>
      <c r="L456">
        <v>503.54</v>
      </c>
      <c r="M456">
        <v>62</v>
      </c>
      <c r="N456">
        <v>11151.8</v>
      </c>
      <c r="O456">
        <v>3332.38</v>
      </c>
      <c r="P456">
        <v>7819.42</v>
      </c>
      <c r="Q456">
        <v>84.84999999999999</v>
      </c>
      <c r="R456">
        <v>644.6799999999999</v>
      </c>
      <c r="S456">
        <v>620</v>
      </c>
      <c r="T456">
        <v>183</v>
      </c>
      <c r="U456">
        <v>13</v>
      </c>
      <c r="V456">
        <v>107</v>
      </c>
      <c r="W456">
        <v>68</v>
      </c>
      <c r="X456">
        <v>38.45</v>
      </c>
      <c r="Y456">
        <v>2.14</v>
      </c>
      <c r="Z456">
        <v>70.12</v>
      </c>
      <c r="AA456">
        <v>2438.71</v>
      </c>
      <c r="AB456">
        <v>1147.54</v>
      </c>
      <c r="AC456">
        <v>251.31</v>
      </c>
      <c r="AD456">
        <v>360</v>
      </c>
      <c r="AE456">
        <v>164.14</v>
      </c>
      <c r="AF456">
        <v>4361.7</v>
      </c>
      <c r="AG456">
        <v>2728.19</v>
      </c>
      <c r="AH456">
        <v>24.46</v>
      </c>
    </row>
    <row r="457" spans="1:34">
      <c r="A457" t="s">
        <v>430</v>
      </c>
      <c r="B457" t="s">
        <v>75</v>
      </c>
      <c r="C457" t="b">
        <v>0</v>
      </c>
      <c r="D457" t="b">
        <v>0</v>
      </c>
      <c r="E457" t="s">
        <v>1471</v>
      </c>
      <c r="F457" t="s">
        <v>82</v>
      </c>
      <c r="G457" t="s">
        <v>1498</v>
      </c>
      <c r="H457">
        <v>25.1</v>
      </c>
      <c r="I457">
        <v>4</v>
      </c>
      <c r="J457">
        <v>257</v>
      </c>
      <c r="K457">
        <v>9946.99</v>
      </c>
      <c r="L457">
        <v>349.67</v>
      </c>
      <c r="M457">
        <v>20.87</v>
      </c>
      <c r="N457">
        <v>9576.450000000001</v>
      </c>
      <c r="O457">
        <v>2820.59</v>
      </c>
      <c r="P457">
        <v>6755.86</v>
      </c>
      <c r="Q457">
        <v>69.86</v>
      </c>
      <c r="R457">
        <v>522.34</v>
      </c>
      <c r="S457">
        <v>516</v>
      </c>
      <c r="T457">
        <v>180</v>
      </c>
      <c r="U457">
        <v>9</v>
      </c>
      <c r="V457">
        <v>77</v>
      </c>
      <c r="W457">
        <v>50</v>
      </c>
      <c r="X457">
        <v>37.26</v>
      </c>
      <c r="Y457">
        <v>2.01</v>
      </c>
      <c r="Z457">
        <v>70.55</v>
      </c>
      <c r="AA457">
        <v>2438.71</v>
      </c>
      <c r="AB457">
        <v>1147.54</v>
      </c>
      <c r="AC457">
        <v>258.47</v>
      </c>
      <c r="AD457">
        <v>360</v>
      </c>
      <c r="AE457">
        <v>217.96</v>
      </c>
      <c r="AF457">
        <v>4422.68</v>
      </c>
      <c r="AG457">
        <v>1740.98</v>
      </c>
      <c r="AH457">
        <v>18.18</v>
      </c>
    </row>
    <row r="458" spans="1:34">
      <c r="A458" t="s">
        <v>922</v>
      </c>
      <c r="B458" t="s">
        <v>258</v>
      </c>
      <c r="C458" t="b">
        <v>0</v>
      </c>
      <c r="D458" t="b">
        <v>0</v>
      </c>
      <c r="E458" t="s">
        <v>1471</v>
      </c>
      <c r="F458" t="s">
        <v>82</v>
      </c>
      <c r="G458" t="s">
        <v>1483</v>
      </c>
      <c r="H458">
        <v>27.8</v>
      </c>
      <c r="I458">
        <v>5</v>
      </c>
      <c r="J458">
        <v>247</v>
      </c>
      <c r="K458">
        <v>10276.47</v>
      </c>
      <c r="L458">
        <v>276.37</v>
      </c>
      <c r="M458">
        <v>20</v>
      </c>
      <c r="N458">
        <v>9980.1</v>
      </c>
      <c r="O458">
        <v>2855.01</v>
      </c>
      <c r="P458">
        <v>7125.09</v>
      </c>
      <c r="Q458">
        <v>77.48</v>
      </c>
      <c r="R458">
        <v>447.3</v>
      </c>
      <c r="S458">
        <v>539</v>
      </c>
      <c r="T458">
        <v>168</v>
      </c>
      <c r="U458">
        <v>12</v>
      </c>
      <c r="V458">
        <v>79</v>
      </c>
      <c r="W458">
        <v>45</v>
      </c>
      <c r="X458">
        <v>40.41</v>
      </c>
      <c r="Y458">
        <v>2.18</v>
      </c>
      <c r="Z458">
        <v>71.39</v>
      </c>
      <c r="AA458">
        <v>2520</v>
      </c>
      <c r="AB458">
        <v>1147.54</v>
      </c>
      <c r="AC458">
        <v>297.52</v>
      </c>
      <c r="AD458">
        <v>360</v>
      </c>
      <c r="AE458">
        <v>227.51</v>
      </c>
      <c r="AF458">
        <v>4552.57</v>
      </c>
      <c r="AG458">
        <v>2047.74</v>
      </c>
      <c r="AH458">
        <v>20.52</v>
      </c>
    </row>
    <row r="459" spans="1:34">
      <c r="A459" t="s">
        <v>923</v>
      </c>
      <c r="B459" t="s">
        <v>259</v>
      </c>
      <c r="C459" t="b">
        <v>0</v>
      </c>
      <c r="D459" t="b">
        <v>0</v>
      </c>
      <c r="E459" t="s">
        <v>1471</v>
      </c>
      <c r="F459" t="s">
        <v>82</v>
      </c>
      <c r="G459" t="s">
        <v>1483</v>
      </c>
      <c r="H459">
        <v>26.7</v>
      </c>
      <c r="I459">
        <v>6</v>
      </c>
      <c r="J459">
        <v>239</v>
      </c>
      <c r="K459">
        <v>9704.26</v>
      </c>
      <c r="L459">
        <v>268.37</v>
      </c>
      <c r="M459">
        <v>49.56</v>
      </c>
      <c r="N459">
        <v>9386.33</v>
      </c>
      <c r="O459">
        <v>2711.45</v>
      </c>
      <c r="P459">
        <v>6674.88</v>
      </c>
      <c r="Q459">
        <v>59.34</v>
      </c>
      <c r="R459">
        <v>592.99</v>
      </c>
      <c r="S459">
        <v>523</v>
      </c>
      <c r="T459">
        <v>154</v>
      </c>
      <c r="U459">
        <v>7</v>
      </c>
      <c r="V459">
        <v>85</v>
      </c>
      <c r="W459">
        <v>60</v>
      </c>
      <c r="X459">
        <v>39.27</v>
      </c>
      <c r="Y459">
        <v>2.19</v>
      </c>
      <c r="Z459">
        <v>71.11</v>
      </c>
      <c r="AA459">
        <v>2520</v>
      </c>
      <c r="AB459">
        <v>1147.54</v>
      </c>
      <c r="AC459">
        <v>276.81</v>
      </c>
      <c r="AD459">
        <v>360</v>
      </c>
      <c r="AE459">
        <v>177.84</v>
      </c>
      <c r="AF459">
        <v>4482.19</v>
      </c>
      <c r="AG459">
        <v>1540.36</v>
      </c>
      <c r="AH459">
        <v>16.41</v>
      </c>
    </row>
    <row r="460" spans="1:34">
      <c r="A460" t="s">
        <v>924</v>
      </c>
      <c r="B460" t="s">
        <v>260</v>
      </c>
      <c r="C460" t="b">
        <v>0</v>
      </c>
      <c r="D460" t="b">
        <v>0</v>
      </c>
      <c r="E460" t="s">
        <v>1471</v>
      </c>
      <c r="F460" t="s">
        <v>82</v>
      </c>
      <c r="G460" t="s">
        <v>1483</v>
      </c>
      <c r="H460">
        <v>27.3</v>
      </c>
      <c r="I460">
        <v>7</v>
      </c>
      <c r="J460">
        <v>229</v>
      </c>
      <c r="K460">
        <v>9256.370000000001</v>
      </c>
      <c r="L460">
        <v>286.59</v>
      </c>
      <c r="M460">
        <v>53.9</v>
      </c>
      <c r="N460">
        <v>8915.879999999999</v>
      </c>
      <c r="O460">
        <v>2632.61</v>
      </c>
      <c r="P460">
        <v>6283.27</v>
      </c>
      <c r="Q460">
        <v>60.62</v>
      </c>
      <c r="R460">
        <v>537.98</v>
      </c>
      <c r="S460">
        <v>494</v>
      </c>
      <c r="T460">
        <v>165</v>
      </c>
      <c r="U460">
        <v>8</v>
      </c>
      <c r="V460">
        <v>64</v>
      </c>
      <c r="W460">
        <v>52</v>
      </c>
      <c r="X460">
        <v>38.93</v>
      </c>
      <c r="Y460">
        <v>2.16</v>
      </c>
      <c r="Z460">
        <v>70.47</v>
      </c>
      <c r="AA460">
        <v>2520</v>
      </c>
      <c r="AB460">
        <v>1147.54</v>
      </c>
      <c r="AC460">
        <v>265.48</v>
      </c>
      <c r="AD460">
        <v>360</v>
      </c>
      <c r="AE460">
        <v>194.23</v>
      </c>
      <c r="AF460">
        <v>4487.25</v>
      </c>
      <c r="AG460">
        <v>1197.42</v>
      </c>
      <c r="AH460">
        <v>13.43</v>
      </c>
    </row>
    <row r="461" spans="1:34">
      <c r="A461" t="s">
        <v>925</v>
      </c>
      <c r="B461" t="s">
        <v>261</v>
      </c>
      <c r="C461" t="b">
        <v>0</v>
      </c>
      <c r="D461" t="b">
        <v>0</v>
      </c>
      <c r="E461" t="s">
        <v>1471</v>
      </c>
      <c r="F461" t="s">
        <v>1475</v>
      </c>
      <c r="G461" t="s">
        <v>1483</v>
      </c>
      <c r="H461">
        <v>28.4</v>
      </c>
      <c r="I461">
        <v>8</v>
      </c>
      <c r="J461">
        <v>258</v>
      </c>
      <c r="K461">
        <v>10846.83</v>
      </c>
      <c r="L461">
        <v>317.45</v>
      </c>
      <c r="M461">
        <v>35.65</v>
      </c>
      <c r="N461">
        <v>10493.73</v>
      </c>
      <c r="O461">
        <v>3064.02</v>
      </c>
      <c r="P461">
        <v>7429.71</v>
      </c>
      <c r="Q461">
        <v>67.55</v>
      </c>
      <c r="R461">
        <v>700.6</v>
      </c>
      <c r="S461">
        <v>564</v>
      </c>
      <c r="T461">
        <v>180</v>
      </c>
      <c r="U461">
        <v>12</v>
      </c>
      <c r="V461">
        <v>78</v>
      </c>
      <c r="W461">
        <v>71</v>
      </c>
      <c r="X461">
        <v>40.67</v>
      </c>
      <c r="Y461">
        <v>2.19</v>
      </c>
      <c r="Z461">
        <v>70.8</v>
      </c>
      <c r="AA461">
        <v>2520</v>
      </c>
      <c r="AB461">
        <v>1147.54</v>
      </c>
      <c r="AC461">
        <v>267.24</v>
      </c>
      <c r="AD461">
        <v>360</v>
      </c>
      <c r="AE461">
        <v>180.06</v>
      </c>
      <c r="AF461">
        <v>4474.84</v>
      </c>
      <c r="AG461">
        <v>2186.72</v>
      </c>
      <c r="AH461">
        <v>20.84</v>
      </c>
    </row>
    <row r="462" spans="1:34">
      <c r="A462" t="s">
        <v>926</v>
      </c>
      <c r="B462" t="s">
        <v>262</v>
      </c>
      <c r="C462" t="b">
        <v>1</v>
      </c>
      <c r="D462" t="b">
        <v>0</v>
      </c>
      <c r="E462" t="s">
        <v>1471</v>
      </c>
      <c r="F462" t="s">
        <v>1475</v>
      </c>
      <c r="G462" t="s">
        <v>1483</v>
      </c>
      <c r="H462">
        <v>28.7</v>
      </c>
      <c r="I462">
        <v>9</v>
      </c>
      <c r="J462">
        <v>232</v>
      </c>
      <c r="K462">
        <v>10869.49</v>
      </c>
      <c r="L462">
        <v>277.85</v>
      </c>
      <c r="M462">
        <v>17.39</v>
      </c>
      <c r="N462">
        <v>10574.25</v>
      </c>
      <c r="O462">
        <v>3159.19</v>
      </c>
      <c r="P462">
        <v>7415.06</v>
      </c>
      <c r="Q462">
        <v>78.79000000000001</v>
      </c>
      <c r="R462">
        <v>533.35</v>
      </c>
      <c r="S462">
        <v>551</v>
      </c>
      <c r="T462">
        <v>159</v>
      </c>
      <c r="U462">
        <v>12</v>
      </c>
      <c r="V462">
        <v>73</v>
      </c>
      <c r="W462">
        <v>49</v>
      </c>
      <c r="X462">
        <v>45.58</v>
      </c>
      <c r="Y462">
        <v>2.38</v>
      </c>
      <c r="Z462">
        <v>70.12</v>
      </c>
      <c r="AA462">
        <v>2520</v>
      </c>
      <c r="AB462">
        <v>1147.54</v>
      </c>
      <c r="AC462">
        <v>298.36</v>
      </c>
      <c r="AD462">
        <v>360</v>
      </c>
      <c r="AE462">
        <v>204.33</v>
      </c>
      <c r="AF462">
        <v>4530.23</v>
      </c>
      <c r="AG462">
        <v>2272.69</v>
      </c>
      <c r="AH462">
        <v>21.49</v>
      </c>
    </row>
    <row r="463" spans="1:34">
      <c r="A463" t="s">
        <v>927</v>
      </c>
      <c r="B463" t="s">
        <v>263</v>
      </c>
      <c r="C463" t="b">
        <v>1</v>
      </c>
      <c r="D463" t="b">
        <v>0</v>
      </c>
      <c r="E463" t="s">
        <v>1471</v>
      </c>
      <c r="F463" t="s">
        <v>1475</v>
      </c>
      <c r="G463" t="s">
        <v>1483</v>
      </c>
      <c r="H463">
        <v>28</v>
      </c>
      <c r="I463">
        <v>10</v>
      </c>
      <c r="J463">
        <v>270</v>
      </c>
      <c r="K463">
        <v>12400.78</v>
      </c>
      <c r="L463">
        <v>349</v>
      </c>
      <c r="M463">
        <v>0</v>
      </c>
      <c r="N463">
        <v>12051.78</v>
      </c>
      <c r="O463">
        <v>3668.69</v>
      </c>
      <c r="P463">
        <v>8383.09</v>
      </c>
      <c r="Q463">
        <v>82.69</v>
      </c>
      <c r="R463">
        <v>758.4299999999999</v>
      </c>
      <c r="S463">
        <v>615</v>
      </c>
      <c r="T463">
        <v>191</v>
      </c>
      <c r="U463">
        <v>15</v>
      </c>
      <c r="V463">
        <v>79</v>
      </c>
      <c r="W463">
        <v>72</v>
      </c>
      <c r="X463">
        <v>44.64</v>
      </c>
      <c r="Y463">
        <v>2.28</v>
      </c>
      <c r="Z463">
        <v>69.56</v>
      </c>
      <c r="AA463">
        <v>2520</v>
      </c>
      <c r="AB463">
        <v>1147.54</v>
      </c>
      <c r="AC463">
        <v>297.24</v>
      </c>
      <c r="AD463">
        <v>360</v>
      </c>
      <c r="AE463">
        <v>157.82</v>
      </c>
      <c r="AF463">
        <v>4482.6</v>
      </c>
      <c r="AG463">
        <v>3059.37</v>
      </c>
      <c r="AH463">
        <v>25.39</v>
      </c>
    </row>
    <row r="464" spans="1:34">
      <c r="A464" t="s">
        <v>431</v>
      </c>
      <c r="B464" t="s">
        <v>75</v>
      </c>
      <c r="C464" t="b">
        <v>0</v>
      </c>
      <c r="D464" t="b">
        <v>0</v>
      </c>
      <c r="E464" t="s">
        <v>1471</v>
      </c>
      <c r="F464" t="s">
        <v>1475</v>
      </c>
      <c r="G464" t="s">
        <v>1483</v>
      </c>
      <c r="H464">
        <v>29.3</v>
      </c>
      <c r="I464">
        <v>11</v>
      </c>
      <c r="J464">
        <v>230</v>
      </c>
      <c r="K464">
        <v>9155.6</v>
      </c>
      <c r="L464">
        <v>324.59</v>
      </c>
      <c r="M464">
        <v>50.43</v>
      </c>
      <c r="N464">
        <v>8780.58</v>
      </c>
      <c r="O464">
        <v>2677.88</v>
      </c>
      <c r="P464">
        <v>6102.7</v>
      </c>
      <c r="Q464">
        <v>63.21</v>
      </c>
      <c r="R464">
        <v>524.79</v>
      </c>
      <c r="S464">
        <v>460</v>
      </c>
      <c r="T464">
        <v>162</v>
      </c>
      <c r="U464">
        <v>13</v>
      </c>
      <c r="V464">
        <v>68</v>
      </c>
      <c r="W464">
        <v>50</v>
      </c>
      <c r="X464">
        <v>38.18</v>
      </c>
      <c r="Y464">
        <v>2</v>
      </c>
      <c r="Z464">
        <v>69.5</v>
      </c>
      <c r="AA464">
        <v>2520</v>
      </c>
      <c r="AB464">
        <v>1147.54</v>
      </c>
      <c r="AC464">
        <v>293.16</v>
      </c>
      <c r="AD464">
        <v>360</v>
      </c>
      <c r="AE464">
        <v>207.47</v>
      </c>
      <c r="AF464">
        <v>4528.17</v>
      </c>
      <c r="AG464">
        <v>986.53</v>
      </c>
      <c r="AH464">
        <v>11.24</v>
      </c>
    </row>
    <row r="465" spans="1:34">
      <c r="A465" t="s">
        <v>928</v>
      </c>
      <c r="B465" t="s">
        <v>258</v>
      </c>
      <c r="C465" t="b">
        <v>0</v>
      </c>
      <c r="D465" t="b">
        <v>0</v>
      </c>
      <c r="E465" t="s">
        <v>1471</v>
      </c>
      <c r="F465" t="s">
        <v>1475</v>
      </c>
      <c r="G465" t="s">
        <v>1483</v>
      </c>
      <c r="H465">
        <v>30.5</v>
      </c>
      <c r="I465">
        <v>12</v>
      </c>
      <c r="J465">
        <v>191</v>
      </c>
      <c r="K465">
        <v>8734.83</v>
      </c>
      <c r="L465">
        <v>254.59</v>
      </c>
      <c r="M465">
        <v>18.26</v>
      </c>
      <c r="N465">
        <v>8461.98</v>
      </c>
      <c r="O465">
        <v>2568.88</v>
      </c>
      <c r="P465">
        <v>5893.1</v>
      </c>
      <c r="Q465">
        <v>53.5</v>
      </c>
      <c r="R465">
        <v>544.5599999999999</v>
      </c>
      <c r="S465">
        <v>441</v>
      </c>
      <c r="T465">
        <v>129</v>
      </c>
      <c r="U465">
        <v>8</v>
      </c>
      <c r="V465">
        <v>62</v>
      </c>
      <c r="W465">
        <v>50</v>
      </c>
      <c r="X465">
        <v>44.3</v>
      </c>
      <c r="Y465">
        <v>2.31</v>
      </c>
      <c r="Z465">
        <v>69.64</v>
      </c>
      <c r="AA465">
        <v>2520</v>
      </c>
      <c r="AB465">
        <v>1147.54</v>
      </c>
      <c r="AC465">
        <v>310.02</v>
      </c>
      <c r="AD465">
        <v>360</v>
      </c>
      <c r="AE465">
        <v>196.33</v>
      </c>
      <c r="AF465">
        <v>4533.89</v>
      </c>
      <c r="AG465">
        <v>761.15</v>
      </c>
      <c r="AH465">
        <v>8.99</v>
      </c>
    </row>
    <row r="466" spans="1:34">
      <c r="A466" t="s">
        <v>929</v>
      </c>
      <c r="B466" t="s">
        <v>259</v>
      </c>
      <c r="C466" t="b">
        <v>0</v>
      </c>
      <c r="D466" t="b">
        <v>0</v>
      </c>
      <c r="E466" t="s">
        <v>1471</v>
      </c>
      <c r="F466" t="s">
        <v>1475</v>
      </c>
      <c r="G466" t="s">
        <v>1484</v>
      </c>
      <c r="H466">
        <v>30.6</v>
      </c>
      <c r="I466">
        <v>13</v>
      </c>
      <c r="J466">
        <v>251</v>
      </c>
      <c r="K466">
        <v>10441.67</v>
      </c>
      <c r="L466">
        <v>369.58</v>
      </c>
      <c r="M466">
        <v>23.48</v>
      </c>
      <c r="N466">
        <v>10048.61</v>
      </c>
      <c r="O466">
        <v>2988.13</v>
      </c>
      <c r="P466">
        <v>7060.48</v>
      </c>
      <c r="Q466">
        <v>62.54</v>
      </c>
      <c r="R466">
        <v>713.01</v>
      </c>
      <c r="S466">
        <v>538</v>
      </c>
      <c r="T466">
        <v>173</v>
      </c>
      <c r="U466">
        <v>9</v>
      </c>
      <c r="V466">
        <v>78</v>
      </c>
      <c r="W466">
        <v>62</v>
      </c>
      <c r="X466">
        <v>40.03</v>
      </c>
      <c r="Y466">
        <v>2.14</v>
      </c>
      <c r="Z466">
        <v>70.26000000000001</v>
      </c>
      <c r="AA466">
        <v>2520</v>
      </c>
      <c r="AB466">
        <v>1147.54</v>
      </c>
      <c r="AC466">
        <v>292.43</v>
      </c>
      <c r="AD466">
        <v>360</v>
      </c>
      <c r="AE466">
        <v>178.57</v>
      </c>
      <c r="AF466">
        <v>4498.54</v>
      </c>
      <c r="AG466">
        <v>1786.39</v>
      </c>
      <c r="AH466">
        <v>17.78</v>
      </c>
    </row>
    <row r="467" spans="1:34">
      <c r="A467" t="s">
        <v>930</v>
      </c>
      <c r="B467" t="s">
        <v>260</v>
      </c>
      <c r="C467" t="b">
        <v>0</v>
      </c>
      <c r="D467" t="b">
        <v>1</v>
      </c>
      <c r="E467" t="s">
        <v>1471</v>
      </c>
      <c r="F467" t="s">
        <v>1475</v>
      </c>
      <c r="G467" t="s">
        <v>1485</v>
      </c>
      <c r="H467">
        <v>30.4</v>
      </c>
      <c r="I467">
        <v>14</v>
      </c>
      <c r="J467">
        <v>168</v>
      </c>
      <c r="K467">
        <v>7060.77</v>
      </c>
      <c r="L467">
        <v>246.08</v>
      </c>
      <c r="M467">
        <v>0</v>
      </c>
      <c r="N467">
        <v>6814.69</v>
      </c>
      <c r="O467">
        <v>1978.7</v>
      </c>
      <c r="P467">
        <v>4835.99</v>
      </c>
      <c r="Q467">
        <v>54.58</v>
      </c>
      <c r="R467">
        <v>186.73</v>
      </c>
      <c r="S467">
        <v>386</v>
      </c>
      <c r="T467">
        <v>110</v>
      </c>
      <c r="U467">
        <v>6</v>
      </c>
      <c r="V467">
        <v>58</v>
      </c>
      <c r="W467">
        <v>22</v>
      </c>
      <c r="X467">
        <v>40.56</v>
      </c>
      <c r="Y467">
        <v>2.3</v>
      </c>
      <c r="Z467">
        <v>70.95999999999999</v>
      </c>
      <c r="AA467">
        <v>2250</v>
      </c>
      <c r="AB467">
        <v>1147.54</v>
      </c>
      <c r="AC467">
        <v>279.21</v>
      </c>
      <c r="AD467">
        <v>110</v>
      </c>
      <c r="AE467">
        <v>183.4</v>
      </c>
      <c r="AF467">
        <v>3970.15</v>
      </c>
      <c r="AG467">
        <v>624.53</v>
      </c>
      <c r="AH467">
        <v>9.16</v>
      </c>
    </row>
    <row r="468" spans="1:34">
      <c r="A468" t="s">
        <v>931</v>
      </c>
      <c r="B468" t="s">
        <v>261</v>
      </c>
      <c r="C468" t="b">
        <v>0</v>
      </c>
      <c r="D468" t="b">
        <v>1</v>
      </c>
      <c r="E468" t="s">
        <v>1471</v>
      </c>
      <c r="F468" t="s">
        <v>1475</v>
      </c>
      <c r="G468" t="s">
        <v>1485</v>
      </c>
      <c r="H468">
        <v>27.8</v>
      </c>
      <c r="I468">
        <v>15</v>
      </c>
      <c r="J468">
        <v>247</v>
      </c>
      <c r="K468">
        <v>11291.14</v>
      </c>
      <c r="L468">
        <v>343.46</v>
      </c>
      <c r="M468">
        <v>0</v>
      </c>
      <c r="N468">
        <v>10947.68</v>
      </c>
      <c r="O468">
        <v>3352.57</v>
      </c>
      <c r="P468">
        <v>7595.11</v>
      </c>
      <c r="Q468">
        <v>77.72</v>
      </c>
      <c r="R468">
        <v>498.55</v>
      </c>
      <c r="S468">
        <v>598</v>
      </c>
      <c r="T468">
        <v>155</v>
      </c>
      <c r="U468">
        <v>10</v>
      </c>
      <c r="V468">
        <v>92</v>
      </c>
      <c r="W468">
        <v>49</v>
      </c>
      <c r="X468">
        <v>44.32</v>
      </c>
      <c r="Y468">
        <v>2.42</v>
      </c>
      <c r="Z468">
        <v>69.38</v>
      </c>
      <c r="AA468">
        <v>2250</v>
      </c>
      <c r="AB468">
        <v>1147.54</v>
      </c>
      <c r="AC468">
        <v>274.25</v>
      </c>
      <c r="AD468">
        <v>110</v>
      </c>
      <c r="AE468">
        <v>147.73</v>
      </c>
      <c r="AF468">
        <v>3929.52</v>
      </c>
      <c r="AG468">
        <v>3089.32</v>
      </c>
      <c r="AH468">
        <v>28.22</v>
      </c>
    </row>
    <row r="469" spans="1:34">
      <c r="A469" t="s">
        <v>932</v>
      </c>
      <c r="B469" t="s">
        <v>262</v>
      </c>
      <c r="C469" t="b">
        <v>1</v>
      </c>
      <c r="D469" t="b">
        <v>1</v>
      </c>
      <c r="E469" t="s">
        <v>1471</v>
      </c>
      <c r="F469" t="s">
        <v>1475</v>
      </c>
      <c r="G469" t="s">
        <v>1485</v>
      </c>
      <c r="H469">
        <v>29.4</v>
      </c>
      <c r="I469">
        <v>16</v>
      </c>
      <c r="J469">
        <v>329</v>
      </c>
      <c r="K469">
        <v>13830.99</v>
      </c>
      <c r="L469">
        <v>306.07</v>
      </c>
      <c r="M469">
        <v>53.92</v>
      </c>
      <c r="N469">
        <v>13471</v>
      </c>
      <c r="O469">
        <v>3945.44</v>
      </c>
      <c r="P469">
        <v>9525.559999999999</v>
      </c>
      <c r="Q469">
        <v>115.22</v>
      </c>
      <c r="R469">
        <v>440.96</v>
      </c>
      <c r="S469">
        <v>763</v>
      </c>
      <c r="T469">
        <v>225</v>
      </c>
      <c r="U469">
        <v>20</v>
      </c>
      <c r="V469">
        <v>104</v>
      </c>
      <c r="W469">
        <v>48</v>
      </c>
      <c r="X469">
        <v>40.95</v>
      </c>
      <c r="Y469">
        <v>2.32</v>
      </c>
      <c r="Z469">
        <v>70.70999999999999</v>
      </c>
      <c r="AA469">
        <v>2250</v>
      </c>
      <c r="AB469">
        <v>1147.54</v>
      </c>
      <c r="AC469">
        <v>290.15</v>
      </c>
      <c r="AD469">
        <v>110</v>
      </c>
      <c r="AE469">
        <v>168.21</v>
      </c>
      <c r="AF469">
        <v>3965.9</v>
      </c>
      <c r="AG469">
        <v>5003.48</v>
      </c>
      <c r="AH469">
        <v>37.14</v>
      </c>
    </row>
    <row r="470" spans="1:34">
      <c r="A470" t="s">
        <v>933</v>
      </c>
      <c r="B470" t="s">
        <v>263</v>
      </c>
      <c r="C470" t="b">
        <v>1</v>
      </c>
      <c r="D470" t="b">
        <v>1</v>
      </c>
      <c r="E470" t="s">
        <v>1471</v>
      </c>
      <c r="F470" t="s">
        <v>1475</v>
      </c>
      <c r="G470" t="s">
        <v>1485</v>
      </c>
      <c r="H470">
        <v>28.7</v>
      </c>
      <c r="I470">
        <v>17</v>
      </c>
      <c r="J470">
        <v>228</v>
      </c>
      <c r="K470">
        <v>10199.85</v>
      </c>
      <c r="L470">
        <v>201.72</v>
      </c>
      <c r="M470">
        <v>54.78</v>
      </c>
      <c r="N470">
        <v>9943.35</v>
      </c>
      <c r="O470">
        <v>3013.58</v>
      </c>
      <c r="P470">
        <v>6929.77</v>
      </c>
      <c r="Q470">
        <v>81.41</v>
      </c>
      <c r="R470">
        <v>277.78</v>
      </c>
      <c r="S470">
        <v>539</v>
      </c>
      <c r="T470">
        <v>150</v>
      </c>
      <c r="U470">
        <v>13</v>
      </c>
      <c r="V470">
        <v>78</v>
      </c>
      <c r="W470">
        <v>27</v>
      </c>
      <c r="X470">
        <v>43.61</v>
      </c>
      <c r="Y470">
        <v>2.36</v>
      </c>
      <c r="Z470">
        <v>69.69</v>
      </c>
      <c r="AA470">
        <v>2250</v>
      </c>
      <c r="AB470">
        <v>1147.54</v>
      </c>
      <c r="AC470">
        <v>298.23</v>
      </c>
      <c r="AD470">
        <v>110</v>
      </c>
      <c r="AE470">
        <v>219.39</v>
      </c>
      <c r="AF470">
        <v>4025.16</v>
      </c>
      <c r="AG470">
        <v>2545.42</v>
      </c>
      <c r="AH470">
        <v>25.6</v>
      </c>
    </row>
    <row r="471" spans="1:34">
      <c r="A471" t="s">
        <v>432</v>
      </c>
      <c r="B471" t="s">
        <v>75</v>
      </c>
      <c r="C471" t="b">
        <v>0</v>
      </c>
      <c r="D471" t="b">
        <v>0</v>
      </c>
      <c r="E471" t="s">
        <v>1471</v>
      </c>
      <c r="F471" t="s">
        <v>1475</v>
      </c>
      <c r="G471" t="s">
        <v>1486</v>
      </c>
      <c r="H471">
        <v>25.7</v>
      </c>
      <c r="I471">
        <v>18</v>
      </c>
      <c r="J471">
        <v>194</v>
      </c>
      <c r="K471">
        <v>6112.89</v>
      </c>
      <c r="L471">
        <v>119.12</v>
      </c>
      <c r="M471">
        <v>13.04</v>
      </c>
      <c r="N471">
        <v>5980.73</v>
      </c>
      <c r="O471">
        <v>1750.64</v>
      </c>
      <c r="P471">
        <v>4230.09</v>
      </c>
      <c r="Q471">
        <v>41.97</v>
      </c>
      <c r="R471">
        <v>310.71</v>
      </c>
      <c r="S471">
        <v>368</v>
      </c>
      <c r="T471">
        <v>122</v>
      </c>
      <c r="U471">
        <v>8</v>
      </c>
      <c r="V471">
        <v>72</v>
      </c>
      <c r="W471">
        <v>28</v>
      </c>
      <c r="X471">
        <v>30.83</v>
      </c>
      <c r="Y471">
        <v>1.9</v>
      </c>
      <c r="Z471">
        <v>70.73</v>
      </c>
      <c r="AA471">
        <v>2250</v>
      </c>
      <c r="AB471">
        <v>1147.54</v>
      </c>
      <c r="AC471">
        <v>272.09</v>
      </c>
      <c r="AD471">
        <v>110</v>
      </c>
      <c r="AE471">
        <v>173.79</v>
      </c>
      <c r="AF471">
        <v>3953.42</v>
      </c>
      <c r="AG471">
        <v>-76.01000000000001</v>
      </c>
      <c r="AH471">
        <v>-1.27</v>
      </c>
    </row>
    <row r="472" spans="1:34">
      <c r="A472" t="s">
        <v>934</v>
      </c>
      <c r="B472" t="s">
        <v>258</v>
      </c>
      <c r="C472" t="b">
        <v>0</v>
      </c>
      <c r="D472" t="b">
        <v>0</v>
      </c>
      <c r="E472" t="s">
        <v>1471</v>
      </c>
      <c r="F472" t="s">
        <v>1475</v>
      </c>
      <c r="G472" t="s">
        <v>1486</v>
      </c>
      <c r="H472">
        <v>26.1</v>
      </c>
      <c r="I472">
        <v>19</v>
      </c>
      <c r="J472">
        <v>164</v>
      </c>
      <c r="K472">
        <v>4899.87</v>
      </c>
      <c r="L472">
        <v>120.86</v>
      </c>
      <c r="M472">
        <v>0</v>
      </c>
      <c r="N472">
        <v>4779.01</v>
      </c>
      <c r="O472">
        <v>1366.65</v>
      </c>
      <c r="P472">
        <v>3412.36</v>
      </c>
      <c r="Q472">
        <v>32.81</v>
      </c>
      <c r="R472">
        <v>268.62</v>
      </c>
      <c r="S472">
        <v>281</v>
      </c>
      <c r="T472">
        <v>112</v>
      </c>
      <c r="U472">
        <v>4</v>
      </c>
      <c r="V472">
        <v>52</v>
      </c>
      <c r="W472">
        <v>27</v>
      </c>
      <c r="X472">
        <v>29.14</v>
      </c>
      <c r="Y472">
        <v>1.71</v>
      </c>
      <c r="Z472">
        <v>71.40000000000001</v>
      </c>
      <c r="AA472">
        <v>2250</v>
      </c>
      <c r="AB472">
        <v>1147.54</v>
      </c>
      <c r="AC472">
        <v>245.36</v>
      </c>
      <c r="AD472">
        <v>110</v>
      </c>
      <c r="AE472">
        <v>190.86</v>
      </c>
      <c r="AF472">
        <v>3943.76</v>
      </c>
      <c r="AG472">
        <v>-832.83</v>
      </c>
      <c r="AH472">
        <v>-17.43</v>
      </c>
    </row>
    <row r="473" spans="1:34">
      <c r="A473" t="s">
        <v>935</v>
      </c>
      <c r="B473" t="s">
        <v>259</v>
      </c>
      <c r="C473" t="b">
        <v>0</v>
      </c>
      <c r="D473" t="b">
        <v>0</v>
      </c>
      <c r="E473" t="s">
        <v>1471</v>
      </c>
      <c r="F473" t="s">
        <v>1475</v>
      </c>
      <c r="G473" t="s">
        <v>1486</v>
      </c>
      <c r="H473">
        <v>26.4</v>
      </c>
      <c r="I473">
        <v>20</v>
      </c>
      <c r="J473">
        <v>140</v>
      </c>
      <c r="K473">
        <v>4265.15</v>
      </c>
      <c r="L473">
        <v>101.74</v>
      </c>
      <c r="M473">
        <v>18.26</v>
      </c>
      <c r="N473">
        <v>4145.15</v>
      </c>
      <c r="O473">
        <v>1161.16</v>
      </c>
      <c r="P473">
        <v>2983.99</v>
      </c>
      <c r="Q473">
        <v>24.82</v>
      </c>
      <c r="R473">
        <v>312.96</v>
      </c>
      <c r="S473">
        <v>244</v>
      </c>
      <c r="T473">
        <v>112</v>
      </c>
      <c r="U473">
        <v>3</v>
      </c>
      <c r="V473">
        <v>28</v>
      </c>
      <c r="W473">
        <v>40</v>
      </c>
      <c r="X473">
        <v>29.61</v>
      </c>
      <c r="Y473">
        <v>1.74</v>
      </c>
      <c r="Z473">
        <v>71.98999999999999</v>
      </c>
      <c r="AA473">
        <v>2250</v>
      </c>
      <c r="AB473">
        <v>1147.54</v>
      </c>
      <c r="AC473">
        <v>272.4</v>
      </c>
      <c r="AD473">
        <v>110</v>
      </c>
      <c r="AE473">
        <v>195.21</v>
      </c>
      <c r="AF473">
        <v>3975.15</v>
      </c>
      <c r="AG473">
        <v>-1328.94</v>
      </c>
      <c r="AH473">
        <v>-32.06</v>
      </c>
    </row>
    <row r="474" spans="1:34">
      <c r="A474" t="s">
        <v>936</v>
      </c>
      <c r="B474" t="s">
        <v>260</v>
      </c>
      <c r="C474" t="b">
        <v>0</v>
      </c>
      <c r="D474" t="b">
        <v>0</v>
      </c>
      <c r="E474" t="s">
        <v>1471</v>
      </c>
      <c r="F474" t="s">
        <v>1475</v>
      </c>
      <c r="G474" t="s">
        <v>81</v>
      </c>
      <c r="H474">
        <v>25.9</v>
      </c>
      <c r="I474">
        <v>21</v>
      </c>
      <c r="J474">
        <v>263</v>
      </c>
      <c r="K474">
        <v>7937.15</v>
      </c>
      <c r="L474">
        <v>333.03</v>
      </c>
      <c r="M474">
        <v>17.39</v>
      </c>
      <c r="N474">
        <v>7586.73</v>
      </c>
      <c r="O474">
        <v>2181.76</v>
      </c>
      <c r="P474">
        <v>5404.97</v>
      </c>
      <c r="Q474">
        <v>55.53</v>
      </c>
      <c r="R474">
        <v>273.77</v>
      </c>
      <c r="S474">
        <v>471</v>
      </c>
      <c r="T474">
        <v>186</v>
      </c>
      <c r="U474">
        <v>5</v>
      </c>
      <c r="V474">
        <v>77</v>
      </c>
      <c r="W474">
        <v>32</v>
      </c>
      <c r="X474">
        <v>28.85</v>
      </c>
      <c r="Y474">
        <v>1.79</v>
      </c>
      <c r="Z474">
        <v>71.23999999999999</v>
      </c>
      <c r="AA474">
        <v>2250</v>
      </c>
      <c r="AB474">
        <v>1147.54</v>
      </c>
      <c r="AC474">
        <v>241.58</v>
      </c>
      <c r="AD474">
        <v>110</v>
      </c>
      <c r="AE474">
        <v>183.53</v>
      </c>
      <c r="AF474">
        <v>3932.65</v>
      </c>
      <c r="AG474">
        <v>1143.02</v>
      </c>
      <c r="AH474">
        <v>15.07</v>
      </c>
    </row>
    <row r="475" spans="1:34">
      <c r="A475" t="s">
        <v>937</v>
      </c>
      <c r="B475" t="s">
        <v>261</v>
      </c>
      <c r="C475" t="b">
        <v>0</v>
      </c>
      <c r="D475" t="b">
        <v>0</v>
      </c>
      <c r="E475" t="s">
        <v>1471</v>
      </c>
      <c r="F475" t="s">
        <v>1475</v>
      </c>
      <c r="G475" t="s">
        <v>81</v>
      </c>
      <c r="H475">
        <v>26.6</v>
      </c>
      <c r="I475">
        <v>22</v>
      </c>
      <c r="J475">
        <v>302</v>
      </c>
      <c r="K475">
        <v>9906.74</v>
      </c>
      <c r="L475">
        <v>296.5</v>
      </c>
      <c r="M475">
        <v>20</v>
      </c>
      <c r="N475">
        <v>9590.24</v>
      </c>
      <c r="O475">
        <v>2743</v>
      </c>
      <c r="P475">
        <v>6847.24</v>
      </c>
      <c r="Q475">
        <v>76.95999999999999</v>
      </c>
      <c r="R475">
        <v>235.15</v>
      </c>
      <c r="S475">
        <v>570</v>
      </c>
      <c r="T475">
        <v>187</v>
      </c>
      <c r="U475">
        <v>10</v>
      </c>
      <c r="V475">
        <v>115</v>
      </c>
      <c r="W475">
        <v>27</v>
      </c>
      <c r="X475">
        <v>31.76</v>
      </c>
      <c r="Y475">
        <v>1.89</v>
      </c>
      <c r="Z475">
        <v>71.40000000000001</v>
      </c>
      <c r="AA475">
        <v>2250</v>
      </c>
      <c r="AB475">
        <v>1147.54</v>
      </c>
      <c r="AC475">
        <v>283.87</v>
      </c>
      <c r="AD475">
        <v>110</v>
      </c>
      <c r="AE475">
        <v>229.03</v>
      </c>
      <c r="AF475">
        <v>4020.44</v>
      </c>
      <c r="AG475">
        <v>2514.69</v>
      </c>
      <c r="AH475">
        <v>26.22</v>
      </c>
    </row>
    <row r="476" spans="1:34">
      <c r="A476" t="s">
        <v>938</v>
      </c>
      <c r="B476" t="s">
        <v>262</v>
      </c>
      <c r="C476" t="b">
        <v>1</v>
      </c>
      <c r="D476" t="b">
        <v>0</v>
      </c>
      <c r="E476" t="s">
        <v>1471</v>
      </c>
      <c r="F476" t="s">
        <v>1475</v>
      </c>
      <c r="G476" t="s">
        <v>81</v>
      </c>
      <c r="H476">
        <v>25.5</v>
      </c>
      <c r="I476">
        <v>23</v>
      </c>
      <c r="J476">
        <v>257</v>
      </c>
      <c r="K476">
        <v>9633.040000000001</v>
      </c>
      <c r="L476">
        <v>266.09</v>
      </c>
      <c r="M476">
        <v>8.699999999999999</v>
      </c>
      <c r="N476">
        <v>9358.25</v>
      </c>
      <c r="O476">
        <v>2776.6</v>
      </c>
      <c r="P476">
        <v>6581.65</v>
      </c>
      <c r="Q476">
        <v>68.27</v>
      </c>
      <c r="R476">
        <v>322.25</v>
      </c>
      <c r="S476">
        <v>558</v>
      </c>
      <c r="T476">
        <v>168</v>
      </c>
      <c r="U476">
        <v>6</v>
      </c>
      <c r="V476">
        <v>89</v>
      </c>
      <c r="W476">
        <v>37</v>
      </c>
      <c r="X476">
        <v>36.41</v>
      </c>
      <c r="Y476">
        <v>2.17</v>
      </c>
      <c r="Z476">
        <v>70.33</v>
      </c>
      <c r="AA476">
        <v>2250</v>
      </c>
      <c r="AB476">
        <v>1147.54</v>
      </c>
      <c r="AC476">
        <v>260.62</v>
      </c>
      <c r="AD476">
        <v>110</v>
      </c>
      <c r="AE476">
        <v>173.64</v>
      </c>
      <c r="AF476">
        <v>3941.8</v>
      </c>
      <c r="AG476">
        <v>2249.33</v>
      </c>
      <c r="AH476">
        <v>24.04</v>
      </c>
    </row>
    <row r="477" spans="1:34">
      <c r="A477" t="s">
        <v>939</v>
      </c>
      <c r="B477" t="s">
        <v>263</v>
      </c>
      <c r="C477" t="b">
        <v>1</v>
      </c>
      <c r="D477" t="b">
        <v>0</v>
      </c>
      <c r="E477" t="s">
        <v>1471</v>
      </c>
      <c r="F477" t="s">
        <v>1475</v>
      </c>
      <c r="G477" t="s">
        <v>81</v>
      </c>
      <c r="H477">
        <v>28</v>
      </c>
      <c r="I477">
        <v>24</v>
      </c>
      <c r="J477">
        <v>210</v>
      </c>
      <c r="K477">
        <v>7811.14</v>
      </c>
      <c r="L477">
        <v>179.12</v>
      </c>
      <c r="M477">
        <v>66.95999999999999</v>
      </c>
      <c r="N477">
        <v>7565.06</v>
      </c>
      <c r="O477">
        <v>2208.91</v>
      </c>
      <c r="P477">
        <v>5356.15</v>
      </c>
      <c r="Q477">
        <v>66.66</v>
      </c>
      <c r="R477">
        <v>213.9</v>
      </c>
      <c r="S477">
        <v>454</v>
      </c>
      <c r="T477">
        <v>140</v>
      </c>
      <c r="U477">
        <v>9</v>
      </c>
      <c r="V477">
        <v>70</v>
      </c>
      <c r="W477">
        <v>26</v>
      </c>
      <c r="X477">
        <v>36.02</v>
      </c>
      <c r="Y477">
        <v>2.16</v>
      </c>
      <c r="Z477">
        <v>70.8</v>
      </c>
      <c r="AA477">
        <v>2250</v>
      </c>
      <c r="AB477">
        <v>1147.54</v>
      </c>
      <c r="AC477">
        <v>266.24</v>
      </c>
      <c r="AD477">
        <v>110</v>
      </c>
      <c r="AE477">
        <v>187.1</v>
      </c>
      <c r="AF477">
        <v>3960.88</v>
      </c>
      <c r="AG477">
        <v>1114.71</v>
      </c>
      <c r="AH477">
        <v>14.73</v>
      </c>
    </row>
    <row r="478" spans="1:34">
      <c r="A478" t="s">
        <v>433</v>
      </c>
      <c r="B478" t="s">
        <v>75</v>
      </c>
      <c r="C478" t="b">
        <v>0</v>
      </c>
      <c r="D478" t="b">
        <v>0</v>
      </c>
      <c r="E478" t="s">
        <v>1471</v>
      </c>
      <c r="F478" t="s">
        <v>82</v>
      </c>
      <c r="G478" t="s">
        <v>81</v>
      </c>
      <c r="H478">
        <v>26.6</v>
      </c>
      <c r="I478">
        <v>25</v>
      </c>
      <c r="J478">
        <v>198</v>
      </c>
      <c r="K478">
        <v>6711.89</v>
      </c>
      <c r="L478">
        <v>296.07</v>
      </c>
      <c r="M478">
        <v>13.91</v>
      </c>
      <c r="N478">
        <v>6401.91</v>
      </c>
      <c r="O478">
        <v>1877.95</v>
      </c>
      <c r="P478">
        <v>4523.96</v>
      </c>
      <c r="Q478">
        <v>48.68</v>
      </c>
      <c r="R478">
        <v>158.42</v>
      </c>
      <c r="S478">
        <v>385</v>
      </c>
      <c r="T478">
        <v>130</v>
      </c>
      <c r="U478">
        <v>7</v>
      </c>
      <c r="V478">
        <v>68</v>
      </c>
      <c r="W478">
        <v>19</v>
      </c>
      <c r="X478">
        <v>32.33</v>
      </c>
      <c r="Y478">
        <v>1.94</v>
      </c>
      <c r="Z478">
        <v>70.67</v>
      </c>
      <c r="AA478">
        <v>2250</v>
      </c>
      <c r="AB478">
        <v>1147.54</v>
      </c>
      <c r="AC478">
        <v>278.24</v>
      </c>
      <c r="AD478">
        <v>110</v>
      </c>
      <c r="AE478">
        <v>209.71</v>
      </c>
      <c r="AF478">
        <v>3995.49</v>
      </c>
      <c r="AG478">
        <v>321.37</v>
      </c>
      <c r="AH478">
        <v>5.02</v>
      </c>
    </row>
    <row r="479" spans="1:34">
      <c r="A479" t="s">
        <v>940</v>
      </c>
      <c r="B479" t="s">
        <v>258</v>
      </c>
      <c r="C479" t="b">
        <v>0</v>
      </c>
      <c r="D479" t="b">
        <v>0</v>
      </c>
      <c r="E479" t="s">
        <v>1471</v>
      </c>
      <c r="F479" t="s">
        <v>82</v>
      </c>
      <c r="G479" t="s">
        <v>81</v>
      </c>
      <c r="H479">
        <v>26.3</v>
      </c>
      <c r="I479">
        <v>26</v>
      </c>
      <c r="J479">
        <v>232</v>
      </c>
      <c r="K479">
        <v>6397.15</v>
      </c>
      <c r="L479">
        <v>268.69</v>
      </c>
      <c r="M479">
        <v>33.91</v>
      </c>
      <c r="N479">
        <v>6094.55</v>
      </c>
      <c r="O479">
        <v>1788.98</v>
      </c>
      <c r="P479">
        <v>4305.57</v>
      </c>
      <c r="Q479">
        <v>48.3</v>
      </c>
      <c r="R479">
        <v>184.61</v>
      </c>
      <c r="S479">
        <v>375</v>
      </c>
      <c r="T479">
        <v>157</v>
      </c>
      <c r="U479">
        <v>4</v>
      </c>
      <c r="V479">
        <v>75</v>
      </c>
      <c r="W479">
        <v>23</v>
      </c>
      <c r="X479">
        <v>26.27</v>
      </c>
      <c r="Y479">
        <v>1.62</v>
      </c>
      <c r="Z479">
        <v>70.65000000000001</v>
      </c>
      <c r="AA479">
        <v>2250</v>
      </c>
      <c r="AB479">
        <v>1147.54</v>
      </c>
      <c r="AC479">
        <v>262.05</v>
      </c>
      <c r="AD479">
        <v>110</v>
      </c>
      <c r="AE479">
        <v>149.84</v>
      </c>
      <c r="AF479">
        <v>3919.43</v>
      </c>
      <c r="AG479">
        <v>153.23</v>
      </c>
      <c r="AH479">
        <v>2.51</v>
      </c>
    </row>
    <row r="480" spans="1:34">
      <c r="A480" t="s">
        <v>941</v>
      </c>
      <c r="B480" t="s">
        <v>259</v>
      </c>
      <c r="C480" t="b">
        <v>0</v>
      </c>
      <c r="D480" t="b">
        <v>0</v>
      </c>
      <c r="E480" t="s">
        <v>1471</v>
      </c>
      <c r="F480" t="s">
        <v>82</v>
      </c>
      <c r="G480" t="s">
        <v>81</v>
      </c>
      <c r="H480">
        <v>27</v>
      </c>
      <c r="I480">
        <v>27</v>
      </c>
      <c r="J480">
        <v>247</v>
      </c>
      <c r="K480">
        <v>6748.52</v>
      </c>
      <c r="L480">
        <v>185.21</v>
      </c>
      <c r="M480">
        <v>40</v>
      </c>
      <c r="N480">
        <v>6523.31</v>
      </c>
      <c r="O480">
        <v>1906.71</v>
      </c>
      <c r="P480">
        <v>4616.6</v>
      </c>
      <c r="Q480">
        <v>49.33</v>
      </c>
      <c r="R480">
        <v>294.83</v>
      </c>
      <c r="S480">
        <v>393</v>
      </c>
      <c r="T480">
        <v>156</v>
      </c>
      <c r="U480">
        <v>9</v>
      </c>
      <c r="V480">
        <v>91</v>
      </c>
      <c r="W480">
        <v>32</v>
      </c>
      <c r="X480">
        <v>26.41</v>
      </c>
      <c r="Y480">
        <v>1.59</v>
      </c>
      <c r="Z480">
        <v>70.77</v>
      </c>
      <c r="AA480">
        <v>2250</v>
      </c>
      <c r="AB480">
        <v>1147.54</v>
      </c>
      <c r="AC480">
        <v>255.07</v>
      </c>
      <c r="AD480">
        <v>110</v>
      </c>
      <c r="AE480">
        <v>143.88</v>
      </c>
      <c r="AF480">
        <v>3906.49</v>
      </c>
      <c r="AG480">
        <v>365.95</v>
      </c>
      <c r="AH480">
        <v>5.61</v>
      </c>
    </row>
    <row r="481" spans="1:34">
      <c r="A481" t="s">
        <v>942</v>
      </c>
      <c r="B481" t="s">
        <v>260</v>
      </c>
      <c r="C481" t="b">
        <v>0</v>
      </c>
      <c r="D481" t="b">
        <v>0</v>
      </c>
      <c r="E481" t="s">
        <v>1471</v>
      </c>
      <c r="F481" t="s">
        <v>82</v>
      </c>
      <c r="G481" t="s">
        <v>81</v>
      </c>
      <c r="H481">
        <v>26.1</v>
      </c>
      <c r="I481">
        <v>28</v>
      </c>
      <c r="J481">
        <v>240</v>
      </c>
      <c r="K481">
        <v>7002.43</v>
      </c>
      <c r="L481">
        <v>172.17</v>
      </c>
      <c r="M481">
        <v>0</v>
      </c>
      <c r="N481">
        <v>6830.26</v>
      </c>
      <c r="O481">
        <v>1960.66</v>
      </c>
      <c r="P481">
        <v>4869.6</v>
      </c>
      <c r="Q481">
        <v>56.25</v>
      </c>
      <c r="R481">
        <v>209.1</v>
      </c>
      <c r="S481">
        <v>410</v>
      </c>
      <c r="T481">
        <v>160</v>
      </c>
      <c r="U481">
        <v>12</v>
      </c>
      <c r="V481">
        <v>80</v>
      </c>
      <c r="W481">
        <v>25</v>
      </c>
      <c r="X481">
        <v>28.46</v>
      </c>
      <c r="Y481">
        <v>1.71</v>
      </c>
      <c r="Z481">
        <v>71.29000000000001</v>
      </c>
      <c r="AA481">
        <v>2250</v>
      </c>
      <c r="AB481">
        <v>1147.54</v>
      </c>
      <c r="AC481">
        <v>237.35</v>
      </c>
      <c r="AD481">
        <v>110</v>
      </c>
      <c r="AE481">
        <v>206.71</v>
      </c>
      <c r="AF481">
        <v>3951.6</v>
      </c>
      <c r="AG481">
        <v>652.65</v>
      </c>
      <c r="AH481">
        <v>9.56</v>
      </c>
    </row>
    <row r="482" spans="1:34">
      <c r="A482" t="s">
        <v>943</v>
      </c>
      <c r="B482" t="s">
        <v>261</v>
      </c>
      <c r="C482" t="b">
        <v>0</v>
      </c>
      <c r="D482" t="b">
        <v>0</v>
      </c>
      <c r="E482" t="s">
        <v>1471</v>
      </c>
      <c r="F482" t="s">
        <v>82</v>
      </c>
      <c r="G482" t="s">
        <v>1477</v>
      </c>
      <c r="H482">
        <v>26.9</v>
      </c>
      <c r="I482">
        <v>0</v>
      </c>
      <c r="J482">
        <v>314</v>
      </c>
      <c r="K482">
        <v>9918.950000000001</v>
      </c>
      <c r="L482">
        <v>272.17</v>
      </c>
      <c r="M482">
        <v>13.04</v>
      </c>
      <c r="N482">
        <v>9633.74</v>
      </c>
      <c r="O482">
        <v>2704.78</v>
      </c>
      <c r="P482">
        <v>6928.96</v>
      </c>
      <c r="Q482">
        <v>79.37</v>
      </c>
      <c r="R482">
        <v>341.91</v>
      </c>
      <c r="S482">
        <v>574</v>
      </c>
      <c r="T482">
        <v>196</v>
      </c>
      <c r="U482">
        <v>18</v>
      </c>
      <c r="V482">
        <v>118</v>
      </c>
      <c r="W482">
        <v>44</v>
      </c>
      <c r="X482">
        <v>30.68</v>
      </c>
      <c r="Y482">
        <v>1.83</v>
      </c>
      <c r="Z482">
        <v>71.92</v>
      </c>
      <c r="AA482">
        <v>2250</v>
      </c>
      <c r="AB482">
        <v>1147.54</v>
      </c>
      <c r="AC482">
        <v>262.04</v>
      </c>
      <c r="AD482">
        <v>110</v>
      </c>
      <c r="AE482">
        <v>218.37</v>
      </c>
      <c r="AF482">
        <v>3987.95</v>
      </c>
      <c r="AG482">
        <v>2519.73</v>
      </c>
      <c r="AH482">
        <v>26.16</v>
      </c>
    </row>
    <row r="483" spans="1:34">
      <c r="A483" t="s">
        <v>944</v>
      </c>
      <c r="B483" t="s">
        <v>262</v>
      </c>
      <c r="C483" t="b">
        <v>1</v>
      </c>
      <c r="D483" t="b">
        <v>0</v>
      </c>
      <c r="E483" t="s">
        <v>1471</v>
      </c>
      <c r="F483" t="s">
        <v>82</v>
      </c>
      <c r="G483" t="s">
        <v>1477</v>
      </c>
      <c r="H483">
        <v>28.3</v>
      </c>
      <c r="I483">
        <v>1</v>
      </c>
      <c r="J483">
        <v>280</v>
      </c>
      <c r="K483">
        <v>10953.64</v>
      </c>
      <c r="L483">
        <v>287.81</v>
      </c>
      <c r="M483">
        <v>53.91</v>
      </c>
      <c r="N483">
        <v>10611.92</v>
      </c>
      <c r="O483">
        <v>3017.25</v>
      </c>
      <c r="P483">
        <v>7594.67</v>
      </c>
      <c r="Q483">
        <v>72.26000000000001</v>
      </c>
      <c r="R483">
        <v>535.74</v>
      </c>
      <c r="S483">
        <v>636</v>
      </c>
      <c r="T483">
        <v>190</v>
      </c>
      <c r="U483">
        <v>17</v>
      </c>
      <c r="V483">
        <v>90</v>
      </c>
      <c r="W483">
        <v>55</v>
      </c>
      <c r="X483">
        <v>37.9</v>
      </c>
      <c r="Y483">
        <v>2.27</v>
      </c>
      <c r="Z483">
        <v>71.56999999999999</v>
      </c>
      <c r="AA483">
        <v>2250</v>
      </c>
      <c r="AB483">
        <v>1147.54</v>
      </c>
      <c r="AC483">
        <v>287.97</v>
      </c>
      <c r="AD483">
        <v>110</v>
      </c>
      <c r="AE483">
        <v>213.38</v>
      </c>
      <c r="AF483">
        <v>4008.89</v>
      </c>
      <c r="AG483">
        <v>2977.78</v>
      </c>
      <c r="AH483">
        <v>28.06</v>
      </c>
    </row>
    <row r="484" spans="1:34">
      <c r="A484" t="s">
        <v>945</v>
      </c>
      <c r="B484" t="s">
        <v>263</v>
      </c>
      <c r="C484" t="b">
        <v>1</v>
      </c>
      <c r="D484" t="b">
        <v>0</v>
      </c>
      <c r="E484" t="s">
        <v>1471</v>
      </c>
      <c r="F484" t="s">
        <v>82</v>
      </c>
      <c r="G484" t="s">
        <v>1477</v>
      </c>
      <c r="H484">
        <v>27.9</v>
      </c>
      <c r="I484">
        <v>2</v>
      </c>
      <c r="J484">
        <v>205</v>
      </c>
      <c r="K484">
        <v>8275.440000000001</v>
      </c>
      <c r="L484">
        <v>225.19</v>
      </c>
      <c r="M484">
        <v>0</v>
      </c>
      <c r="N484">
        <v>8050.25</v>
      </c>
      <c r="O484">
        <v>2328.84</v>
      </c>
      <c r="P484">
        <v>5721.41</v>
      </c>
      <c r="Q484">
        <v>57.44</v>
      </c>
      <c r="R484">
        <v>419.37</v>
      </c>
      <c r="S484">
        <v>484</v>
      </c>
      <c r="T484">
        <v>140</v>
      </c>
      <c r="U484">
        <v>11</v>
      </c>
      <c r="V484">
        <v>65</v>
      </c>
      <c r="W484">
        <v>41</v>
      </c>
      <c r="X484">
        <v>39.27</v>
      </c>
      <c r="Y484">
        <v>2.36</v>
      </c>
      <c r="Z484">
        <v>71.06999999999999</v>
      </c>
      <c r="AA484">
        <v>2250</v>
      </c>
      <c r="AB484">
        <v>1147.54</v>
      </c>
      <c r="AC484">
        <v>291.21</v>
      </c>
      <c r="AD484">
        <v>110</v>
      </c>
      <c r="AE484">
        <v>205.9</v>
      </c>
      <c r="AF484">
        <v>4004.65</v>
      </c>
      <c r="AG484">
        <v>1239.95</v>
      </c>
      <c r="AH484">
        <v>15.4</v>
      </c>
    </row>
    <row r="485" spans="1:34">
      <c r="A485" t="s">
        <v>434</v>
      </c>
      <c r="B485" t="s">
        <v>75</v>
      </c>
      <c r="C485" t="b">
        <v>0</v>
      </c>
      <c r="D485" t="b">
        <v>0</v>
      </c>
      <c r="E485" t="s">
        <v>1471</v>
      </c>
      <c r="F485" t="s">
        <v>82</v>
      </c>
      <c r="G485" t="s">
        <v>1477</v>
      </c>
      <c r="H485">
        <v>27.4</v>
      </c>
      <c r="I485">
        <v>3</v>
      </c>
      <c r="J485">
        <v>220</v>
      </c>
      <c r="K485">
        <v>6440.73</v>
      </c>
      <c r="L485">
        <v>178.25</v>
      </c>
      <c r="M485">
        <v>19.13</v>
      </c>
      <c r="N485">
        <v>6243.35</v>
      </c>
      <c r="O485">
        <v>1811.93</v>
      </c>
      <c r="P485">
        <v>4431.42</v>
      </c>
      <c r="Q485">
        <v>47.9</v>
      </c>
      <c r="R485">
        <v>187.12</v>
      </c>
      <c r="S485">
        <v>374</v>
      </c>
      <c r="T485">
        <v>153</v>
      </c>
      <c r="U485">
        <v>9</v>
      </c>
      <c r="V485">
        <v>67</v>
      </c>
      <c r="W485">
        <v>23</v>
      </c>
      <c r="X485">
        <v>28.38</v>
      </c>
      <c r="Y485">
        <v>1.7</v>
      </c>
      <c r="Z485">
        <v>70.98</v>
      </c>
      <c r="AA485">
        <v>2250</v>
      </c>
      <c r="AB485">
        <v>1147.54</v>
      </c>
      <c r="AC485">
        <v>294.35</v>
      </c>
      <c r="AD485">
        <v>110</v>
      </c>
      <c r="AE485">
        <v>162.63</v>
      </c>
      <c r="AF485">
        <v>3964.52</v>
      </c>
      <c r="AG485">
        <v>231.88</v>
      </c>
      <c r="AH485">
        <v>3.71</v>
      </c>
    </row>
    <row r="486" spans="1:34">
      <c r="A486" t="s">
        <v>946</v>
      </c>
      <c r="B486" t="s">
        <v>258</v>
      </c>
      <c r="C486" t="b">
        <v>0</v>
      </c>
      <c r="D486" t="b">
        <v>0</v>
      </c>
      <c r="E486" t="s">
        <v>1471</v>
      </c>
      <c r="F486" t="s">
        <v>82</v>
      </c>
      <c r="G486" t="s">
        <v>1477</v>
      </c>
      <c r="H486">
        <v>28.9</v>
      </c>
      <c r="I486">
        <v>4</v>
      </c>
      <c r="J486">
        <v>238</v>
      </c>
      <c r="K486">
        <v>6785.05</v>
      </c>
      <c r="L486">
        <v>268.68</v>
      </c>
      <c r="M486">
        <v>18.26</v>
      </c>
      <c r="N486">
        <v>6498.11</v>
      </c>
      <c r="O486">
        <v>1881.12</v>
      </c>
      <c r="P486">
        <v>4616.99</v>
      </c>
      <c r="Q486">
        <v>48.73</v>
      </c>
      <c r="R486">
        <v>252.71</v>
      </c>
      <c r="S486">
        <v>400</v>
      </c>
      <c r="T486">
        <v>154</v>
      </c>
      <c r="U486">
        <v>16</v>
      </c>
      <c r="V486">
        <v>84</v>
      </c>
      <c r="W486">
        <v>27</v>
      </c>
      <c r="X486">
        <v>27.3</v>
      </c>
      <c r="Y486">
        <v>1.68</v>
      </c>
      <c r="Z486">
        <v>71.05</v>
      </c>
      <c r="AA486">
        <v>2250</v>
      </c>
      <c r="AB486">
        <v>1147.54</v>
      </c>
      <c r="AC486">
        <v>297.99</v>
      </c>
      <c r="AD486">
        <v>110</v>
      </c>
      <c r="AE486">
        <v>185.39</v>
      </c>
      <c r="AF486">
        <v>3990.92</v>
      </c>
      <c r="AG486">
        <v>324.63</v>
      </c>
      <c r="AH486">
        <v>5</v>
      </c>
    </row>
    <row r="487" spans="1:34">
      <c r="A487" t="s">
        <v>947</v>
      </c>
      <c r="B487" t="s">
        <v>259</v>
      </c>
      <c r="C487" t="b">
        <v>0</v>
      </c>
      <c r="D487" t="b">
        <v>0</v>
      </c>
      <c r="E487" t="s">
        <v>1471</v>
      </c>
      <c r="F487" t="s">
        <v>82</v>
      </c>
      <c r="G487" t="s">
        <v>81</v>
      </c>
      <c r="H487">
        <v>26</v>
      </c>
      <c r="I487">
        <v>5</v>
      </c>
      <c r="J487">
        <v>181</v>
      </c>
      <c r="K487">
        <v>5335.51</v>
      </c>
      <c r="L487">
        <v>184.33</v>
      </c>
      <c r="M487">
        <v>0</v>
      </c>
      <c r="N487">
        <v>5151.18</v>
      </c>
      <c r="O487">
        <v>1514.71</v>
      </c>
      <c r="P487">
        <v>3636.47</v>
      </c>
      <c r="Q487">
        <v>35.75</v>
      </c>
      <c r="R487">
        <v>310.12</v>
      </c>
      <c r="S487">
        <v>312</v>
      </c>
      <c r="T487">
        <v>131</v>
      </c>
      <c r="U487">
        <v>2</v>
      </c>
      <c r="V487">
        <v>50</v>
      </c>
      <c r="W487">
        <v>43</v>
      </c>
      <c r="X487">
        <v>28.46</v>
      </c>
      <c r="Y487">
        <v>1.72</v>
      </c>
      <c r="Z487">
        <v>70.59</v>
      </c>
      <c r="AA487">
        <v>2250</v>
      </c>
      <c r="AB487">
        <v>1147.54</v>
      </c>
      <c r="AC487">
        <v>246.63</v>
      </c>
      <c r="AD487">
        <v>110</v>
      </c>
      <c r="AE487">
        <v>186.2</v>
      </c>
      <c r="AF487">
        <v>3940.37</v>
      </c>
      <c r="AG487">
        <v>-649.77</v>
      </c>
      <c r="AH487">
        <v>-12.61</v>
      </c>
    </row>
    <row r="488" spans="1:34">
      <c r="A488" t="s">
        <v>948</v>
      </c>
      <c r="B488" t="s">
        <v>260</v>
      </c>
      <c r="C488" t="b">
        <v>0</v>
      </c>
      <c r="D488" t="b">
        <v>0</v>
      </c>
      <c r="E488" t="s">
        <v>1471</v>
      </c>
      <c r="F488" t="s">
        <v>82</v>
      </c>
      <c r="G488" t="s">
        <v>81</v>
      </c>
      <c r="H488">
        <v>29.7</v>
      </c>
      <c r="I488">
        <v>6</v>
      </c>
      <c r="J488">
        <v>222</v>
      </c>
      <c r="K488">
        <v>7046.71</v>
      </c>
      <c r="L488">
        <v>176.51</v>
      </c>
      <c r="M488">
        <v>29.57</v>
      </c>
      <c r="N488">
        <v>6840.63</v>
      </c>
      <c r="O488">
        <v>1953.32</v>
      </c>
      <c r="P488">
        <v>4887.31</v>
      </c>
      <c r="Q488">
        <v>46.87</v>
      </c>
      <c r="R488">
        <v>379.57</v>
      </c>
      <c r="S488">
        <v>414</v>
      </c>
      <c r="T488">
        <v>156</v>
      </c>
      <c r="U488">
        <v>6</v>
      </c>
      <c r="V488">
        <v>66</v>
      </c>
      <c r="W488">
        <v>41</v>
      </c>
      <c r="X488">
        <v>30.81</v>
      </c>
      <c r="Y488">
        <v>1.86</v>
      </c>
      <c r="Z488">
        <v>71.45</v>
      </c>
      <c r="AA488">
        <v>2177.42</v>
      </c>
      <c r="AB488">
        <v>1147.54</v>
      </c>
      <c r="AC488">
        <v>324.77</v>
      </c>
      <c r="AD488">
        <v>110</v>
      </c>
      <c r="AE488">
        <v>197.81</v>
      </c>
      <c r="AF488">
        <v>3957.54</v>
      </c>
      <c r="AG488">
        <v>503.33</v>
      </c>
      <c r="AH488">
        <v>7.36</v>
      </c>
    </row>
    <row r="489" spans="1:34">
      <c r="A489" t="s">
        <v>949</v>
      </c>
      <c r="B489" t="s">
        <v>261</v>
      </c>
      <c r="C489" t="b">
        <v>0</v>
      </c>
      <c r="D489" t="b">
        <v>0</v>
      </c>
      <c r="E489" t="s">
        <v>1471</v>
      </c>
      <c r="F489" t="s">
        <v>82</v>
      </c>
      <c r="G489" t="s">
        <v>81</v>
      </c>
      <c r="H489">
        <v>30.8</v>
      </c>
      <c r="I489">
        <v>7</v>
      </c>
      <c r="J489">
        <v>192</v>
      </c>
      <c r="K489">
        <v>6727.65</v>
      </c>
      <c r="L489">
        <v>217.38</v>
      </c>
      <c r="M489">
        <v>65.22</v>
      </c>
      <c r="N489">
        <v>6445.05</v>
      </c>
      <c r="O489">
        <v>1900.87</v>
      </c>
      <c r="P489">
        <v>4544.18</v>
      </c>
      <c r="Q489">
        <v>40.08</v>
      </c>
      <c r="R489">
        <v>509.45</v>
      </c>
      <c r="S489">
        <v>384</v>
      </c>
      <c r="T489">
        <v>133</v>
      </c>
      <c r="U489">
        <v>3</v>
      </c>
      <c r="V489">
        <v>59</v>
      </c>
      <c r="W489">
        <v>53</v>
      </c>
      <c r="X489">
        <v>33.57</v>
      </c>
      <c r="Y489">
        <v>2</v>
      </c>
      <c r="Z489">
        <v>70.51000000000001</v>
      </c>
      <c r="AA489">
        <v>2177.42</v>
      </c>
      <c r="AB489">
        <v>1147.54</v>
      </c>
      <c r="AC489">
        <v>329.21</v>
      </c>
      <c r="AD489">
        <v>110</v>
      </c>
      <c r="AE489">
        <v>188.95</v>
      </c>
      <c r="AF489">
        <v>3953.12</v>
      </c>
      <c r="AG489">
        <v>41.53</v>
      </c>
      <c r="AH489">
        <v>0.64</v>
      </c>
    </row>
    <row r="490" spans="1:34">
      <c r="A490" t="s">
        <v>950</v>
      </c>
      <c r="B490" t="s">
        <v>262</v>
      </c>
      <c r="C490" t="b">
        <v>1</v>
      </c>
      <c r="D490" t="b">
        <v>0</v>
      </c>
      <c r="E490" t="s">
        <v>1471</v>
      </c>
      <c r="F490" t="s">
        <v>82</v>
      </c>
      <c r="G490" t="s">
        <v>81</v>
      </c>
      <c r="H490">
        <v>29.5</v>
      </c>
      <c r="I490">
        <v>8</v>
      </c>
      <c r="J490">
        <v>170</v>
      </c>
      <c r="K490">
        <v>6650.31</v>
      </c>
      <c r="L490">
        <v>273.03</v>
      </c>
      <c r="M490">
        <v>34.78</v>
      </c>
      <c r="N490">
        <v>6342.5</v>
      </c>
      <c r="O490">
        <v>1822.03</v>
      </c>
      <c r="P490">
        <v>4520.47</v>
      </c>
      <c r="Q490">
        <v>46.85</v>
      </c>
      <c r="R490">
        <v>267.63</v>
      </c>
      <c r="S490">
        <v>386</v>
      </c>
      <c r="T490">
        <v>109</v>
      </c>
      <c r="U490">
        <v>6</v>
      </c>
      <c r="V490">
        <v>61</v>
      </c>
      <c r="W490">
        <v>29</v>
      </c>
      <c r="X490">
        <v>37.31</v>
      </c>
      <c r="Y490">
        <v>2.27</v>
      </c>
      <c r="Z490">
        <v>71.27</v>
      </c>
      <c r="AA490">
        <v>2177.42</v>
      </c>
      <c r="AB490">
        <v>1147.54</v>
      </c>
      <c r="AC490">
        <v>286.94</v>
      </c>
      <c r="AD490">
        <v>110</v>
      </c>
      <c r="AE490">
        <v>153.14</v>
      </c>
      <c r="AF490">
        <v>3875.04</v>
      </c>
      <c r="AG490">
        <v>330.95</v>
      </c>
      <c r="AH490">
        <v>5.22</v>
      </c>
    </row>
    <row r="491" spans="1:34">
      <c r="A491" t="s">
        <v>951</v>
      </c>
      <c r="B491" t="s">
        <v>263</v>
      </c>
      <c r="C491" t="b">
        <v>1</v>
      </c>
      <c r="D491" t="b">
        <v>0</v>
      </c>
      <c r="E491" t="s">
        <v>1471</v>
      </c>
      <c r="F491" t="s">
        <v>82</v>
      </c>
      <c r="G491" t="s">
        <v>81</v>
      </c>
      <c r="H491">
        <v>30.5</v>
      </c>
      <c r="I491">
        <v>9</v>
      </c>
      <c r="J491">
        <v>212</v>
      </c>
      <c r="K491">
        <v>8104.17</v>
      </c>
      <c r="L491">
        <v>168.69</v>
      </c>
      <c r="M491">
        <v>0</v>
      </c>
      <c r="N491">
        <v>7935.48</v>
      </c>
      <c r="O491">
        <v>2253.75</v>
      </c>
      <c r="P491">
        <v>5681.73</v>
      </c>
      <c r="Q491">
        <v>63.23</v>
      </c>
      <c r="R491">
        <v>341.9</v>
      </c>
      <c r="S491">
        <v>467</v>
      </c>
      <c r="T491">
        <v>158</v>
      </c>
      <c r="U491">
        <v>10</v>
      </c>
      <c r="V491">
        <v>54</v>
      </c>
      <c r="W491">
        <v>39</v>
      </c>
      <c r="X491">
        <v>37.43</v>
      </c>
      <c r="Y491">
        <v>2.2</v>
      </c>
      <c r="Z491">
        <v>71.59999999999999</v>
      </c>
      <c r="AA491">
        <v>2177.42</v>
      </c>
      <c r="AB491">
        <v>1147.54</v>
      </c>
      <c r="AC491">
        <v>291.33</v>
      </c>
      <c r="AD491">
        <v>110</v>
      </c>
      <c r="AE491">
        <v>187.35</v>
      </c>
      <c r="AF491">
        <v>3913.64</v>
      </c>
      <c r="AG491">
        <v>1362.96</v>
      </c>
      <c r="AH491">
        <v>17.18</v>
      </c>
    </row>
    <row r="492" spans="1:34">
      <c r="A492" t="s">
        <v>435</v>
      </c>
      <c r="B492" t="s">
        <v>75</v>
      </c>
      <c r="C492" t="b">
        <v>0</v>
      </c>
      <c r="D492" t="b">
        <v>0</v>
      </c>
      <c r="E492" t="s">
        <v>1471</v>
      </c>
      <c r="F492" t="s">
        <v>82</v>
      </c>
      <c r="G492" t="s">
        <v>81</v>
      </c>
      <c r="H492">
        <v>31.4</v>
      </c>
      <c r="I492">
        <v>10</v>
      </c>
      <c r="J492">
        <v>204</v>
      </c>
      <c r="K492">
        <v>6053.68</v>
      </c>
      <c r="L492">
        <v>216.51</v>
      </c>
      <c r="M492">
        <v>0</v>
      </c>
      <c r="N492">
        <v>5837.17</v>
      </c>
      <c r="O492">
        <v>1634.93</v>
      </c>
      <c r="P492">
        <v>4202.24</v>
      </c>
      <c r="Q492">
        <v>46.01</v>
      </c>
      <c r="R492">
        <v>256</v>
      </c>
      <c r="S492">
        <v>354</v>
      </c>
      <c r="T492">
        <v>140</v>
      </c>
      <c r="U492">
        <v>7</v>
      </c>
      <c r="V492">
        <v>64</v>
      </c>
      <c r="W492">
        <v>27</v>
      </c>
      <c r="X492">
        <v>28.61</v>
      </c>
      <c r="Y492">
        <v>1.74</v>
      </c>
      <c r="Z492">
        <v>71.98999999999999</v>
      </c>
      <c r="AA492">
        <v>2177.42</v>
      </c>
      <c r="AB492">
        <v>1147.54</v>
      </c>
      <c r="AC492">
        <v>314.16</v>
      </c>
      <c r="AD492">
        <v>110</v>
      </c>
      <c r="AE492">
        <v>181.86</v>
      </c>
      <c r="AF492">
        <v>3930.98</v>
      </c>
      <c r="AG492">
        <v>-30.75</v>
      </c>
      <c r="AH492">
        <v>-0.53</v>
      </c>
    </row>
    <row r="493" spans="1:34">
      <c r="A493" t="s">
        <v>952</v>
      </c>
      <c r="B493" t="s">
        <v>258</v>
      </c>
      <c r="C493" t="b">
        <v>0</v>
      </c>
      <c r="D493" t="b">
        <v>0</v>
      </c>
      <c r="E493" t="s">
        <v>1471</v>
      </c>
      <c r="F493" t="s">
        <v>82</v>
      </c>
      <c r="G493" t="s">
        <v>81</v>
      </c>
      <c r="H493">
        <v>31.8</v>
      </c>
      <c r="I493">
        <v>11</v>
      </c>
      <c r="J493">
        <v>225</v>
      </c>
      <c r="K493">
        <v>6799.77</v>
      </c>
      <c r="L493">
        <v>201.73</v>
      </c>
      <c r="M493">
        <v>0</v>
      </c>
      <c r="N493">
        <v>6598.04</v>
      </c>
      <c r="O493">
        <v>1884.13</v>
      </c>
      <c r="P493">
        <v>4713.91</v>
      </c>
      <c r="Q493">
        <v>52.75</v>
      </c>
      <c r="R493">
        <v>280.88</v>
      </c>
      <c r="S493">
        <v>384</v>
      </c>
      <c r="T493">
        <v>154</v>
      </c>
      <c r="U493">
        <v>5</v>
      </c>
      <c r="V493">
        <v>71</v>
      </c>
      <c r="W493">
        <v>31</v>
      </c>
      <c r="X493">
        <v>29.32</v>
      </c>
      <c r="Y493">
        <v>1.71</v>
      </c>
      <c r="Z493">
        <v>71.44</v>
      </c>
      <c r="AA493">
        <v>2177.42</v>
      </c>
      <c r="AB493">
        <v>1147.54</v>
      </c>
      <c r="AC493">
        <v>296.47</v>
      </c>
      <c r="AD493">
        <v>110</v>
      </c>
      <c r="AE493">
        <v>166.74</v>
      </c>
      <c r="AF493">
        <v>3898.17</v>
      </c>
      <c r="AG493">
        <v>482.11</v>
      </c>
      <c r="AH493">
        <v>7.31</v>
      </c>
    </row>
    <row r="494" spans="1:34">
      <c r="A494" t="s">
        <v>953</v>
      </c>
      <c r="B494" t="s">
        <v>259</v>
      </c>
      <c r="C494" t="b">
        <v>0</v>
      </c>
      <c r="D494" t="b">
        <v>0</v>
      </c>
      <c r="E494" t="s">
        <v>1471</v>
      </c>
      <c r="F494" t="s">
        <v>82</v>
      </c>
      <c r="G494" t="s">
        <v>81</v>
      </c>
      <c r="H494">
        <v>32.2</v>
      </c>
      <c r="I494">
        <v>12</v>
      </c>
      <c r="J494">
        <v>206</v>
      </c>
      <c r="K494">
        <v>5633.74</v>
      </c>
      <c r="L494">
        <v>235.64</v>
      </c>
      <c r="M494">
        <v>0</v>
      </c>
      <c r="N494">
        <v>5398.1</v>
      </c>
      <c r="O494">
        <v>1553.37</v>
      </c>
      <c r="P494">
        <v>3844.73</v>
      </c>
      <c r="Q494">
        <v>37.94</v>
      </c>
      <c r="R494">
        <v>261.92</v>
      </c>
      <c r="S494">
        <v>343</v>
      </c>
      <c r="T494">
        <v>146</v>
      </c>
      <c r="U494">
        <v>6</v>
      </c>
      <c r="V494">
        <v>60</v>
      </c>
      <c r="W494">
        <v>30</v>
      </c>
      <c r="X494">
        <v>26.2</v>
      </c>
      <c r="Y494">
        <v>1.67</v>
      </c>
      <c r="Z494">
        <v>71.22</v>
      </c>
      <c r="AA494">
        <v>2177.42</v>
      </c>
      <c r="AB494">
        <v>1147.54</v>
      </c>
      <c r="AC494">
        <v>324.64</v>
      </c>
      <c r="AD494">
        <v>110</v>
      </c>
      <c r="AE494">
        <v>170.43</v>
      </c>
      <c r="AF494">
        <v>3930.03</v>
      </c>
      <c r="AG494">
        <v>-385.16</v>
      </c>
      <c r="AH494">
        <v>-7.14</v>
      </c>
    </row>
    <row r="495" spans="1:34">
      <c r="A495" t="s">
        <v>954</v>
      </c>
      <c r="B495" t="s">
        <v>260</v>
      </c>
      <c r="C495" t="b">
        <v>0</v>
      </c>
      <c r="D495" t="b">
        <v>0</v>
      </c>
      <c r="E495" t="s">
        <v>1471</v>
      </c>
      <c r="F495" t="s">
        <v>82</v>
      </c>
      <c r="G495" t="s">
        <v>81</v>
      </c>
      <c r="H495">
        <v>31.7</v>
      </c>
      <c r="I495">
        <v>13</v>
      </c>
      <c r="J495">
        <v>200</v>
      </c>
      <c r="K495">
        <v>6088.53</v>
      </c>
      <c r="L495">
        <v>124.34</v>
      </c>
      <c r="M495">
        <v>17.39</v>
      </c>
      <c r="N495">
        <v>5946.8</v>
      </c>
      <c r="O495">
        <v>1689.67</v>
      </c>
      <c r="P495">
        <v>4257.13</v>
      </c>
      <c r="Q495">
        <v>42.89</v>
      </c>
      <c r="R495">
        <v>292.35</v>
      </c>
      <c r="S495">
        <v>348</v>
      </c>
      <c r="T495">
        <v>133</v>
      </c>
      <c r="U495">
        <v>6</v>
      </c>
      <c r="V495">
        <v>67</v>
      </c>
      <c r="W495">
        <v>35</v>
      </c>
      <c r="X495">
        <v>29.73</v>
      </c>
      <c r="Y495">
        <v>1.74</v>
      </c>
      <c r="Z495">
        <v>71.59</v>
      </c>
      <c r="AA495">
        <v>2177.42</v>
      </c>
      <c r="AB495">
        <v>1147.54</v>
      </c>
      <c r="AC495">
        <v>329.93</v>
      </c>
      <c r="AD495">
        <v>110</v>
      </c>
      <c r="AE495">
        <v>219.77</v>
      </c>
      <c r="AF495">
        <v>3984.66</v>
      </c>
      <c r="AG495">
        <v>-62.77</v>
      </c>
      <c r="AH495">
        <v>-1.06</v>
      </c>
    </row>
    <row r="496" spans="1:34">
      <c r="A496" t="s">
        <v>955</v>
      </c>
      <c r="B496" t="s">
        <v>261</v>
      </c>
      <c r="C496" t="b">
        <v>0</v>
      </c>
      <c r="D496" t="b">
        <v>0</v>
      </c>
      <c r="E496" t="s">
        <v>1471</v>
      </c>
      <c r="F496" t="s">
        <v>82</v>
      </c>
      <c r="G496" t="s">
        <v>81</v>
      </c>
      <c r="H496">
        <v>30.8</v>
      </c>
      <c r="I496">
        <v>14</v>
      </c>
      <c r="J496">
        <v>269</v>
      </c>
      <c r="K496">
        <v>9105.809999999999</v>
      </c>
      <c r="L496">
        <v>335.63</v>
      </c>
      <c r="M496">
        <v>19.13</v>
      </c>
      <c r="N496">
        <v>8751.049999999999</v>
      </c>
      <c r="O496">
        <v>2555.84</v>
      </c>
      <c r="P496">
        <v>6195.21</v>
      </c>
      <c r="Q496">
        <v>68.81</v>
      </c>
      <c r="R496">
        <v>389.92</v>
      </c>
      <c r="S496">
        <v>521</v>
      </c>
      <c r="T496">
        <v>192</v>
      </c>
      <c r="U496">
        <v>11</v>
      </c>
      <c r="V496">
        <v>77</v>
      </c>
      <c r="W496">
        <v>48</v>
      </c>
      <c r="X496">
        <v>32.53</v>
      </c>
      <c r="Y496">
        <v>1.94</v>
      </c>
      <c r="Z496">
        <v>70.79000000000001</v>
      </c>
      <c r="AA496">
        <v>2177.42</v>
      </c>
      <c r="AB496">
        <v>1147.54</v>
      </c>
      <c r="AC496">
        <v>285.14</v>
      </c>
      <c r="AD496">
        <v>110</v>
      </c>
      <c r="AE496">
        <v>219.78</v>
      </c>
      <c r="AF496">
        <v>3939.88</v>
      </c>
      <c r="AG496">
        <v>1796.6</v>
      </c>
      <c r="AH496">
        <v>20.53</v>
      </c>
    </row>
    <row r="497" spans="1:34">
      <c r="A497" t="s">
        <v>956</v>
      </c>
      <c r="B497" t="s">
        <v>262</v>
      </c>
      <c r="C497" t="b">
        <v>1</v>
      </c>
      <c r="D497" t="b">
        <v>0</v>
      </c>
      <c r="E497" t="s">
        <v>1471</v>
      </c>
      <c r="F497" t="s">
        <v>82</v>
      </c>
      <c r="G497" t="s">
        <v>81</v>
      </c>
      <c r="H497">
        <v>32.3</v>
      </c>
      <c r="I497">
        <v>15</v>
      </c>
      <c r="J497">
        <v>197</v>
      </c>
      <c r="K497">
        <v>7530.33</v>
      </c>
      <c r="L497">
        <v>191.31</v>
      </c>
      <c r="M497">
        <v>38.26</v>
      </c>
      <c r="N497">
        <v>7300.76</v>
      </c>
      <c r="O497">
        <v>2143.22</v>
      </c>
      <c r="P497">
        <v>5157.54</v>
      </c>
      <c r="Q497">
        <v>53.22</v>
      </c>
      <c r="R497">
        <v>349.33</v>
      </c>
      <c r="S497">
        <v>439</v>
      </c>
      <c r="T497">
        <v>131</v>
      </c>
      <c r="U497">
        <v>9</v>
      </c>
      <c r="V497">
        <v>66</v>
      </c>
      <c r="W497">
        <v>34</v>
      </c>
      <c r="X497">
        <v>37.06</v>
      </c>
      <c r="Y497">
        <v>2.23</v>
      </c>
      <c r="Z497">
        <v>70.64</v>
      </c>
      <c r="AA497">
        <v>2177.42</v>
      </c>
      <c r="AB497">
        <v>1147.54</v>
      </c>
      <c r="AC497">
        <v>300.6</v>
      </c>
      <c r="AD497">
        <v>110</v>
      </c>
      <c r="AE497">
        <v>188.23</v>
      </c>
      <c r="AF497">
        <v>3923.79</v>
      </c>
      <c r="AG497">
        <v>831.2</v>
      </c>
      <c r="AH497">
        <v>11.39</v>
      </c>
    </row>
    <row r="498" spans="1:34">
      <c r="A498" t="s">
        <v>957</v>
      </c>
      <c r="B498" t="s">
        <v>263</v>
      </c>
      <c r="C498" t="b">
        <v>1</v>
      </c>
      <c r="D498" t="b">
        <v>0</v>
      </c>
      <c r="E498" t="s">
        <v>1471</v>
      </c>
      <c r="F498" t="s">
        <v>82</v>
      </c>
      <c r="G498" t="s">
        <v>81</v>
      </c>
      <c r="H498">
        <v>34.9</v>
      </c>
      <c r="I498">
        <v>16</v>
      </c>
      <c r="J498">
        <v>183</v>
      </c>
      <c r="K498">
        <v>7053.73</v>
      </c>
      <c r="L498">
        <v>150.43</v>
      </c>
      <c r="M498">
        <v>25.22</v>
      </c>
      <c r="N498">
        <v>6878.08</v>
      </c>
      <c r="O498">
        <v>1972.73</v>
      </c>
      <c r="P498">
        <v>4905.35</v>
      </c>
      <c r="Q498">
        <v>44.12</v>
      </c>
      <c r="R498">
        <v>445.36</v>
      </c>
      <c r="S498">
        <v>414</v>
      </c>
      <c r="T498">
        <v>122</v>
      </c>
      <c r="U498">
        <v>10</v>
      </c>
      <c r="V498">
        <v>61</v>
      </c>
      <c r="W498">
        <v>49</v>
      </c>
      <c r="X498">
        <v>37.59</v>
      </c>
      <c r="Y498">
        <v>2.26</v>
      </c>
      <c r="Z498">
        <v>71.31999999999999</v>
      </c>
      <c r="AA498">
        <v>2177.42</v>
      </c>
      <c r="AB498">
        <v>1147.54</v>
      </c>
      <c r="AC498">
        <v>369</v>
      </c>
      <c r="AD498">
        <v>110</v>
      </c>
      <c r="AE498">
        <v>206.01</v>
      </c>
      <c r="AF498">
        <v>4009.97</v>
      </c>
      <c r="AG498">
        <v>405.9</v>
      </c>
      <c r="AH498">
        <v>5.9</v>
      </c>
    </row>
    <row r="499" spans="1:34">
      <c r="A499" t="s">
        <v>436</v>
      </c>
      <c r="B499" t="s">
        <v>75</v>
      </c>
      <c r="C499" t="b">
        <v>0</v>
      </c>
      <c r="D499" t="b">
        <v>0</v>
      </c>
      <c r="E499" t="s">
        <v>1471</v>
      </c>
      <c r="F499" t="s">
        <v>82</v>
      </c>
      <c r="G499" t="s">
        <v>81</v>
      </c>
      <c r="H499">
        <v>33.6</v>
      </c>
      <c r="I499">
        <v>17</v>
      </c>
      <c r="J499">
        <v>205</v>
      </c>
      <c r="K499">
        <v>6410.33</v>
      </c>
      <c r="L499">
        <v>233.03</v>
      </c>
      <c r="M499">
        <v>18.26</v>
      </c>
      <c r="N499">
        <v>6159.04</v>
      </c>
      <c r="O499">
        <v>1790</v>
      </c>
      <c r="P499">
        <v>4369.04</v>
      </c>
      <c r="Q499">
        <v>45.38</v>
      </c>
      <c r="R499">
        <v>349.36</v>
      </c>
      <c r="S499">
        <v>384</v>
      </c>
      <c r="T499">
        <v>143</v>
      </c>
      <c r="U499">
        <v>6</v>
      </c>
      <c r="V499">
        <v>62</v>
      </c>
      <c r="W499">
        <v>41</v>
      </c>
      <c r="X499">
        <v>30.04</v>
      </c>
      <c r="Y499">
        <v>1.87</v>
      </c>
      <c r="Z499">
        <v>70.94</v>
      </c>
      <c r="AA499">
        <v>2177.42</v>
      </c>
      <c r="AB499">
        <v>1147.54</v>
      </c>
      <c r="AC499">
        <v>350.65</v>
      </c>
      <c r="AD499">
        <v>110</v>
      </c>
      <c r="AE499">
        <v>188.8</v>
      </c>
      <c r="AF499">
        <v>3974.41</v>
      </c>
      <c r="AG499">
        <v>-0.11</v>
      </c>
      <c r="AH499">
        <v>-0</v>
      </c>
    </row>
    <row r="500" spans="1:34">
      <c r="A500" t="s">
        <v>958</v>
      </c>
      <c r="B500" t="s">
        <v>258</v>
      </c>
      <c r="C500" t="b">
        <v>0</v>
      </c>
      <c r="D500" t="b">
        <v>0</v>
      </c>
      <c r="E500" t="s">
        <v>1471</v>
      </c>
      <c r="F500" t="s">
        <v>82</v>
      </c>
      <c r="G500" t="s">
        <v>81</v>
      </c>
      <c r="H500">
        <v>34.5</v>
      </c>
      <c r="I500">
        <v>18</v>
      </c>
      <c r="J500">
        <v>216</v>
      </c>
      <c r="K500">
        <v>6245.07</v>
      </c>
      <c r="L500">
        <v>179.99</v>
      </c>
      <c r="M500">
        <v>0</v>
      </c>
      <c r="N500">
        <v>6065.08</v>
      </c>
      <c r="O500">
        <v>1740.47</v>
      </c>
      <c r="P500">
        <v>4324.61</v>
      </c>
      <c r="Q500">
        <v>40.86</v>
      </c>
      <c r="R500">
        <v>328.47</v>
      </c>
      <c r="S500">
        <v>377</v>
      </c>
      <c r="T500">
        <v>154</v>
      </c>
      <c r="U500">
        <v>8</v>
      </c>
      <c r="V500">
        <v>62</v>
      </c>
      <c r="W500">
        <v>38</v>
      </c>
      <c r="X500">
        <v>28.08</v>
      </c>
      <c r="Y500">
        <v>1.75</v>
      </c>
      <c r="Z500">
        <v>71.3</v>
      </c>
      <c r="AA500">
        <v>2177.42</v>
      </c>
      <c r="AB500">
        <v>1147.54</v>
      </c>
      <c r="AC500">
        <v>351.91</v>
      </c>
      <c r="AD500">
        <v>110</v>
      </c>
      <c r="AE500">
        <v>168.09</v>
      </c>
      <c r="AF500">
        <v>3954.96</v>
      </c>
      <c r="AG500">
        <v>0.32</v>
      </c>
      <c r="AH500">
        <v>0.01</v>
      </c>
    </row>
    <row r="501" spans="1:34">
      <c r="A501" t="s">
        <v>959</v>
      </c>
      <c r="B501" t="s">
        <v>259</v>
      </c>
      <c r="C501" t="b">
        <v>0</v>
      </c>
      <c r="D501" t="b">
        <v>0</v>
      </c>
      <c r="E501" t="s">
        <v>1471</v>
      </c>
      <c r="F501" t="s">
        <v>82</v>
      </c>
      <c r="G501" t="s">
        <v>81</v>
      </c>
      <c r="H501">
        <v>35.9</v>
      </c>
      <c r="I501">
        <v>19</v>
      </c>
      <c r="J501">
        <v>216</v>
      </c>
      <c r="K501">
        <v>6285.99</v>
      </c>
      <c r="L501">
        <v>194.77</v>
      </c>
      <c r="M501">
        <v>36.52</v>
      </c>
      <c r="N501">
        <v>6054.7</v>
      </c>
      <c r="O501">
        <v>1762.5</v>
      </c>
      <c r="P501">
        <v>4292.2</v>
      </c>
      <c r="Q501">
        <v>43.13</v>
      </c>
      <c r="R501">
        <v>315.09</v>
      </c>
      <c r="S501">
        <v>375</v>
      </c>
      <c r="T501">
        <v>150</v>
      </c>
      <c r="U501">
        <v>13</v>
      </c>
      <c r="V501">
        <v>66</v>
      </c>
      <c r="W501">
        <v>39</v>
      </c>
      <c r="X501">
        <v>28.03</v>
      </c>
      <c r="Y501">
        <v>1.74</v>
      </c>
      <c r="Z501">
        <v>70.89</v>
      </c>
      <c r="AA501">
        <v>2177.42</v>
      </c>
      <c r="AB501">
        <v>1147.54</v>
      </c>
      <c r="AC501">
        <v>351.35</v>
      </c>
      <c r="AD501">
        <v>110</v>
      </c>
      <c r="AE501">
        <v>189.81</v>
      </c>
      <c r="AF501">
        <v>3976.12</v>
      </c>
      <c r="AG501">
        <v>-42.14</v>
      </c>
      <c r="AH501">
        <v>-0.7</v>
      </c>
    </row>
    <row r="502" spans="1:34">
      <c r="A502" t="s">
        <v>960</v>
      </c>
      <c r="B502" t="s">
        <v>260</v>
      </c>
      <c r="C502" t="b">
        <v>0</v>
      </c>
      <c r="D502" t="b">
        <v>0</v>
      </c>
      <c r="E502" t="s">
        <v>1471</v>
      </c>
      <c r="F502" t="s">
        <v>82</v>
      </c>
      <c r="G502" t="s">
        <v>81</v>
      </c>
      <c r="H502">
        <v>37.4</v>
      </c>
      <c r="I502">
        <v>20</v>
      </c>
      <c r="J502">
        <v>229</v>
      </c>
      <c r="K502">
        <v>7404.12</v>
      </c>
      <c r="L502">
        <v>298.24</v>
      </c>
      <c r="M502">
        <v>0</v>
      </c>
      <c r="N502">
        <v>7105.88</v>
      </c>
      <c r="O502">
        <v>2061.18</v>
      </c>
      <c r="P502">
        <v>5044.7</v>
      </c>
      <c r="Q502">
        <v>52.51</v>
      </c>
      <c r="R502">
        <v>304.94</v>
      </c>
      <c r="S502">
        <v>439</v>
      </c>
      <c r="T502">
        <v>163</v>
      </c>
      <c r="U502">
        <v>4</v>
      </c>
      <c r="V502">
        <v>66</v>
      </c>
      <c r="W502">
        <v>38</v>
      </c>
      <c r="X502">
        <v>31.03</v>
      </c>
      <c r="Y502">
        <v>1.92</v>
      </c>
      <c r="Z502">
        <v>70.98999999999999</v>
      </c>
      <c r="AA502">
        <v>2177.42</v>
      </c>
      <c r="AB502">
        <v>1147.54</v>
      </c>
      <c r="AC502">
        <v>369.37</v>
      </c>
      <c r="AD502">
        <v>110</v>
      </c>
      <c r="AE502">
        <v>163.16</v>
      </c>
      <c r="AF502">
        <v>3967.49</v>
      </c>
      <c r="AG502">
        <v>719.76</v>
      </c>
      <c r="AH502">
        <v>10.13</v>
      </c>
    </row>
    <row r="503" spans="1:34">
      <c r="A503" t="s">
        <v>961</v>
      </c>
      <c r="B503" t="s">
        <v>261</v>
      </c>
      <c r="C503" t="b">
        <v>0</v>
      </c>
      <c r="D503" t="b">
        <v>0</v>
      </c>
      <c r="E503" t="s">
        <v>1471</v>
      </c>
      <c r="F503" t="s">
        <v>82</v>
      </c>
      <c r="G503" t="s">
        <v>81</v>
      </c>
      <c r="H503">
        <v>37.3</v>
      </c>
      <c r="I503">
        <v>21</v>
      </c>
      <c r="J503">
        <v>262</v>
      </c>
      <c r="K503">
        <v>8034.58</v>
      </c>
      <c r="L503">
        <v>313.02</v>
      </c>
      <c r="M503">
        <v>28.7</v>
      </c>
      <c r="N503">
        <v>7692.86</v>
      </c>
      <c r="O503">
        <v>2213.75</v>
      </c>
      <c r="P503">
        <v>5479.11</v>
      </c>
      <c r="Q503">
        <v>59.9</v>
      </c>
      <c r="R503">
        <v>348.23</v>
      </c>
      <c r="S503">
        <v>475</v>
      </c>
      <c r="T503">
        <v>165</v>
      </c>
      <c r="U503">
        <v>9</v>
      </c>
      <c r="V503">
        <v>97</v>
      </c>
      <c r="W503">
        <v>40</v>
      </c>
      <c r="X503">
        <v>29.36</v>
      </c>
      <c r="Y503">
        <v>1.81</v>
      </c>
      <c r="Z503">
        <v>71.22</v>
      </c>
      <c r="AA503">
        <v>2177.42</v>
      </c>
      <c r="AB503">
        <v>1147.54</v>
      </c>
      <c r="AC503">
        <v>368.31</v>
      </c>
      <c r="AD503">
        <v>110</v>
      </c>
      <c r="AE503">
        <v>166.7</v>
      </c>
      <c r="AF503">
        <v>3969.97</v>
      </c>
      <c r="AG503">
        <v>1101.01</v>
      </c>
      <c r="AH503">
        <v>14.31</v>
      </c>
    </row>
    <row r="504" spans="1:34">
      <c r="A504" t="s">
        <v>962</v>
      </c>
      <c r="B504" t="s">
        <v>262</v>
      </c>
      <c r="C504" t="b">
        <v>1</v>
      </c>
      <c r="D504" t="b">
        <v>0</v>
      </c>
      <c r="E504" t="s">
        <v>1471</v>
      </c>
      <c r="F504" t="s">
        <v>82</v>
      </c>
      <c r="G504" t="s">
        <v>81</v>
      </c>
      <c r="H504">
        <v>36.9</v>
      </c>
      <c r="I504">
        <v>22</v>
      </c>
      <c r="J504">
        <v>178</v>
      </c>
      <c r="K504">
        <v>6293.83</v>
      </c>
      <c r="L504">
        <v>264.33</v>
      </c>
      <c r="M504">
        <v>34.78</v>
      </c>
      <c r="N504">
        <v>5994.72</v>
      </c>
      <c r="O504">
        <v>1779.54</v>
      </c>
      <c r="P504">
        <v>4215.18</v>
      </c>
      <c r="Q504">
        <v>45.72</v>
      </c>
      <c r="R504">
        <v>268.03</v>
      </c>
      <c r="S504">
        <v>371</v>
      </c>
      <c r="T504">
        <v>127</v>
      </c>
      <c r="U504">
        <v>6</v>
      </c>
      <c r="V504">
        <v>51</v>
      </c>
      <c r="W504">
        <v>34</v>
      </c>
      <c r="X504">
        <v>33.68</v>
      </c>
      <c r="Y504">
        <v>2.08</v>
      </c>
      <c r="Z504">
        <v>70.31</v>
      </c>
      <c r="AA504">
        <v>2177.42</v>
      </c>
      <c r="AB504">
        <v>1147.54</v>
      </c>
      <c r="AC504">
        <v>348.71</v>
      </c>
      <c r="AD504">
        <v>110</v>
      </c>
      <c r="AE504">
        <v>159.65</v>
      </c>
      <c r="AF504">
        <v>3943.32</v>
      </c>
      <c r="AG504">
        <v>-41.89</v>
      </c>
      <c r="AH504">
        <v>-0.7</v>
      </c>
    </row>
    <row r="505" spans="1:34">
      <c r="A505" t="s">
        <v>963</v>
      </c>
      <c r="B505" t="s">
        <v>263</v>
      </c>
      <c r="C505" t="b">
        <v>1</v>
      </c>
      <c r="D505" t="b">
        <v>0</v>
      </c>
      <c r="E505" t="s">
        <v>1471</v>
      </c>
      <c r="F505" t="s">
        <v>82</v>
      </c>
      <c r="G505" t="s">
        <v>81</v>
      </c>
      <c r="H505">
        <v>36.1</v>
      </c>
      <c r="I505">
        <v>23</v>
      </c>
      <c r="J505">
        <v>169</v>
      </c>
      <c r="K505">
        <v>6312.94</v>
      </c>
      <c r="L505">
        <v>247.81</v>
      </c>
      <c r="M505">
        <v>10.43</v>
      </c>
      <c r="N505">
        <v>6054.7</v>
      </c>
      <c r="O505">
        <v>1745.06</v>
      </c>
      <c r="P505">
        <v>4309.64</v>
      </c>
      <c r="Q505">
        <v>46.34</v>
      </c>
      <c r="R505">
        <v>298.08</v>
      </c>
      <c r="S505">
        <v>378</v>
      </c>
      <c r="T505">
        <v>118</v>
      </c>
      <c r="U505">
        <v>9</v>
      </c>
      <c r="V505">
        <v>51</v>
      </c>
      <c r="W505">
        <v>35</v>
      </c>
      <c r="X505">
        <v>35.83</v>
      </c>
      <c r="Y505">
        <v>2.24</v>
      </c>
      <c r="Z505">
        <v>71.18000000000001</v>
      </c>
      <c r="AA505">
        <v>2177.42</v>
      </c>
      <c r="AB505">
        <v>1147.54</v>
      </c>
      <c r="AC505">
        <v>373.59</v>
      </c>
      <c r="AD505">
        <v>110</v>
      </c>
      <c r="AE505">
        <v>202.05</v>
      </c>
      <c r="AF505">
        <v>4010.6</v>
      </c>
      <c r="AG505">
        <v>-45.38</v>
      </c>
      <c r="AH505">
        <v>-0.75</v>
      </c>
    </row>
    <row r="506" spans="1:34">
      <c r="A506" t="s">
        <v>437</v>
      </c>
      <c r="B506" t="s">
        <v>75</v>
      </c>
      <c r="C506" t="b">
        <v>0</v>
      </c>
      <c r="D506" t="b">
        <v>0</v>
      </c>
      <c r="E506" t="s">
        <v>1471</v>
      </c>
      <c r="F506" t="s">
        <v>82</v>
      </c>
      <c r="G506" t="s">
        <v>81</v>
      </c>
      <c r="H506">
        <v>34.6</v>
      </c>
      <c r="I506">
        <v>24</v>
      </c>
      <c r="J506">
        <v>215</v>
      </c>
      <c r="K506">
        <v>7741.64</v>
      </c>
      <c r="L506">
        <v>521.47</v>
      </c>
      <c r="M506">
        <v>0</v>
      </c>
      <c r="N506">
        <v>7220.17</v>
      </c>
      <c r="O506">
        <v>2174.89</v>
      </c>
      <c r="P506">
        <v>5045.28</v>
      </c>
      <c r="Q506">
        <v>38.94</v>
      </c>
      <c r="R506">
        <v>270.87</v>
      </c>
      <c r="S506">
        <v>438</v>
      </c>
      <c r="T506">
        <v>145</v>
      </c>
      <c r="U506">
        <v>7</v>
      </c>
      <c r="V506">
        <v>70</v>
      </c>
      <c r="W506">
        <v>34</v>
      </c>
      <c r="X506">
        <v>33.58</v>
      </c>
      <c r="Y506">
        <v>2.04</v>
      </c>
      <c r="Z506">
        <v>69.88</v>
      </c>
      <c r="AA506">
        <v>2177.42</v>
      </c>
      <c r="AB506">
        <v>1147.54</v>
      </c>
      <c r="AC506">
        <v>351.57</v>
      </c>
      <c r="AD506">
        <v>110</v>
      </c>
      <c r="AE506">
        <v>194.66</v>
      </c>
      <c r="AF506">
        <v>3981.19</v>
      </c>
      <c r="AG506">
        <v>754.28</v>
      </c>
      <c r="AH506">
        <v>10.45</v>
      </c>
    </row>
    <row r="507" spans="1:34">
      <c r="A507" t="s">
        <v>964</v>
      </c>
      <c r="B507" t="s">
        <v>258</v>
      </c>
      <c r="C507" t="b">
        <v>0</v>
      </c>
      <c r="D507" t="b">
        <v>0</v>
      </c>
      <c r="E507" t="s">
        <v>1471</v>
      </c>
      <c r="F507" t="s">
        <v>82</v>
      </c>
      <c r="G507" t="s">
        <v>81</v>
      </c>
      <c r="H507">
        <v>35.3</v>
      </c>
      <c r="I507">
        <v>25</v>
      </c>
      <c r="J507">
        <v>202</v>
      </c>
      <c r="K507">
        <v>5965.94</v>
      </c>
      <c r="L507">
        <v>132.16</v>
      </c>
      <c r="M507">
        <v>17.39</v>
      </c>
      <c r="N507">
        <v>5816.39</v>
      </c>
      <c r="O507">
        <v>1656.89</v>
      </c>
      <c r="P507">
        <v>4159.5</v>
      </c>
      <c r="Q507">
        <v>41.9</v>
      </c>
      <c r="R507">
        <v>300.55</v>
      </c>
      <c r="S507">
        <v>354</v>
      </c>
      <c r="T507">
        <v>147</v>
      </c>
      <c r="U507">
        <v>3</v>
      </c>
      <c r="V507">
        <v>55</v>
      </c>
      <c r="W507">
        <v>31</v>
      </c>
      <c r="X507">
        <v>28.79</v>
      </c>
      <c r="Y507">
        <v>1.75</v>
      </c>
      <c r="Z507">
        <v>71.51000000000001</v>
      </c>
      <c r="AA507">
        <v>2177.42</v>
      </c>
      <c r="AB507">
        <v>1147.54</v>
      </c>
      <c r="AC507">
        <v>383.81</v>
      </c>
      <c r="AD507">
        <v>110</v>
      </c>
      <c r="AE507">
        <v>185.88</v>
      </c>
      <c r="AF507">
        <v>4004.65</v>
      </c>
      <c r="AG507">
        <v>-187.6</v>
      </c>
      <c r="AH507">
        <v>-3.23</v>
      </c>
    </row>
    <row r="508" spans="1:34">
      <c r="A508" t="s">
        <v>965</v>
      </c>
      <c r="B508" t="s">
        <v>259</v>
      </c>
      <c r="C508" t="b">
        <v>0</v>
      </c>
      <c r="D508" t="b">
        <v>0</v>
      </c>
      <c r="E508" t="s">
        <v>1471</v>
      </c>
      <c r="F508" t="s">
        <v>82</v>
      </c>
      <c r="G508" t="s">
        <v>81</v>
      </c>
      <c r="H508">
        <v>36.5</v>
      </c>
      <c r="I508">
        <v>26</v>
      </c>
      <c r="J508">
        <v>225</v>
      </c>
      <c r="K508">
        <v>8163.38</v>
      </c>
      <c r="L508">
        <v>290.09</v>
      </c>
      <c r="M508">
        <v>0</v>
      </c>
      <c r="N508">
        <v>7873.29</v>
      </c>
      <c r="O508">
        <v>2373.9</v>
      </c>
      <c r="P508">
        <v>5499.39</v>
      </c>
      <c r="Q508">
        <v>48.04</v>
      </c>
      <c r="R508">
        <v>333.48</v>
      </c>
      <c r="S508">
        <v>483</v>
      </c>
      <c r="T508">
        <v>157</v>
      </c>
      <c r="U508">
        <v>7</v>
      </c>
      <c r="V508">
        <v>68</v>
      </c>
      <c r="W508">
        <v>32</v>
      </c>
      <c r="X508">
        <v>34.99</v>
      </c>
      <c r="Y508">
        <v>2.15</v>
      </c>
      <c r="Z508">
        <v>69.84999999999999</v>
      </c>
      <c r="AA508">
        <v>2177.42</v>
      </c>
      <c r="AB508">
        <v>1147.54</v>
      </c>
      <c r="AC508">
        <v>360.68</v>
      </c>
      <c r="AD508">
        <v>110</v>
      </c>
      <c r="AE508">
        <v>209.19</v>
      </c>
      <c r="AF508">
        <v>4004.83</v>
      </c>
      <c r="AG508">
        <v>1113.04</v>
      </c>
      <c r="AH508">
        <v>14.14</v>
      </c>
    </row>
    <row r="509" spans="1:34">
      <c r="A509" t="s">
        <v>966</v>
      </c>
      <c r="B509" t="s">
        <v>260</v>
      </c>
      <c r="C509" t="b">
        <v>0</v>
      </c>
      <c r="D509" t="b">
        <v>0</v>
      </c>
      <c r="E509" t="s">
        <v>1471</v>
      </c>
      <c r="F509" t="s">
        <v>82</v>
      </c>
      <c r="G509" t="s">
        <v>81</v>
      </c>
      <c r="H509">
        <v>35.4</v>
      </c>
      <c r="I509">
        <v>27</v>
      </c>
      <c r="J509">
        <v>240</v>
      </c>
      <c r="K509">
        <v>6855.48</v>
      </c>
      <c r="L509">
        <v>293.03</v>
      </c>
      <c r="M509">
        <v>20.87</v>
      </c>
      <c r="N509">
        <v>6541.58</v>
      </c>
      <c r="O509">
        <v>1902.66</v>
      </c>
      <c r="P509">
        <v>4638.92</v>
      </c>
      <c r="Q509">
        <v>49.04</v>
      </c>
      <c r="R509">
        <v>403.72</v>
      </c>
      <c r="S509">
        <v>409</v>
      </c>
      <c r="T509">
        <v>175</v>
      </c>
      <c r="U509">
        <v>13</v>
      </c>
      <c r="V509">
        <v>65</v>
      </c>
      <c r="W509">
        <v>47</v>
      </c>
      <c r="X509">
        <v>27.26</v>
      </c>
      <c r="Y509">
        <v>1.7</v>
      </c>
      <c r="Z509">
        <v>70.91</v>
      </c>
      <c r="AA509">
        <v>2177.42</v>
      </c>
      <c r="AB509">
        <v>1147.54</v>
      </c>
      <c r="AC509">
        <v>357.13</v>
      </c>
      <c r="AD509">
        <v>110</v>
      </c>
      <c r="AE509">
        <v>157.96</v>
      </c>
      <c r="AF509">
        <v>3950.05</v>
      </c>
      <c r="AG509">
        <v>236.11</v>
      </c>
      <c r="AH509">
        <v>3.61</v>
      </c>
    </row>
    <row r="510" spans="1:34">
      <c r="A510" t="s">
        <v>967</v>
      </c>
      <c r="B510" t="s">
        <v>261</v>
      </c>
      <c r="C510" t="b">
        <v>0</v>
      </c>
      <c r="D510" t="b">
        <v>0</v>
      </c>
      <c r="E510" t="s">
        <v>1471</v>
      </c>
      <c r="F510" t="s">
        <v>82</v>
      </c>
      <c r="G510" t="s">
        <v>81</v>
      </c>
      <c r="H510">
        <v>37.3</v>
      </c>
      <c r="I510">
        <v>28</v>
      </c>
      <c r="J510">
        <v>278</v>
      </c>
      <c r="K510">
        <v>8322.51</v>
      </c>
      <c r="L510">
        <v>219.99</v>
      </c>
      <c r="M510">
        <v>22.61</v>
      </c>
      <c r="N510">
        <v>8079.91</v>
      </c>
      <c r="O510">
        <v>2281.84</v>
      </c>
      <c r="P510">
        <v>5798.07</v>
      </c>
      <c r="Q510">
        <v>65.79000000000001</v>
      </c>
      <c r="R510">
        <v>279.14</v>
      </c>
      <c r="S510">
        <v>489</v>
      </c>
      <c r="T510">
        <v>189</v>
      </c>
      <c r="U510">
        <v>10</v>
      </c>
      <c r="V510">
        <v>89</v>
      </c>
      <c r="W510">
        <v>36</v>
      </c>
      <c r="X510">
        <v>29.06</v>
      </c>
      <c r="Y510">
        <v>1.76</v>
      </c>
      <c r="Z510">
        <v>71.76000000000001</v>
      </c>
      <c r="AA510">
        <v>2177.42</v>
      </c>
      <c r="AB510">
        <v>1147.54</v>
      </c>
      <c r="AC510">
        <v>359.99</v>
      </c>
      <c r="AD510">
        <v>110</v>
      </c>
      <c r="AE510">
        <v>187.74</v>
      </c>
      <c r="AF510">
        <v>3982.69</v>
      </c>
      <c r="AG510">
        <v>1470.45</v>
      </c>
      <c r="AH510">
        <v>18.2</v>
      </c>
    </row>
    <row r="511" spans="1:34">
      <c r="A511" t="s">
        <v>968</v>
      </c>
      <c r="B511" t="s">
        <v>262</v>
      </c>
      <c r="C511" t="b">
        <v>1</v>
      </c>
      <c r="D511" t="b">
        <v>0</v>
      </c>
      <c r="E511" t="s">
        <v>1471</v>
      </c>
      <c r="F511" t="s">
        <v>82</v>
      </c>
      <c r="G511" t="s">
        <v>81</v>
      </c>
      <c r="H511">
        <v>35.9</v>
      </c>
      <c r="I511">
        <v>29</v>
      </c>
      <c r="J511">
        <v>197</v>
      </c>
      <c r="K511">
        <v>6993.8</v>
      </c>
      <c r="L511">
        <v>180</v>
      </c>
      <c r="M511">
        <v>20</v>
      </c>
      <c r="N511">
        <v>6793.8</v>
      </c>
      <c r="O511">
        <v>1982.91</v>
      </c>
      <c r="P511">
        <v>4810.89</v>
      </c>
      <c r="Q511">
        <v>46.76</v>
      </c>
      <c r="R511">
        <v>377.99</v>
      </c>
      <c r="S511">
        <v>416</v>
      </c>
      <c r="T511">
        <v>142</v>
      </c>
      <c r="U511">
        <v>14</v>
      </c>
      <c r="V511">
        <v>55</v>
      </c>
      <c r="W511">
        <v>47</v>
      </c>
      <c r="X511">
        <v>34.49</v>
      </c>
      <c r="Y511">
        <v>2.11</v>
      </c>
      <c r="Z511">
        <v>70.81</v>
      </c>
      <c r="AA511">
        <v>2177.42</v>
      </c>
      <c r="AB511">
        <v>1147.54</v>
      </c>
      <c r="AC511">
        <v>367.39</v>
      </c>
      <c r="AD511">
        <v>110</v>
      </c>
      <c r="AE511">
        <v>202.1</v>
      </c>
      <c r="AF511">
        <v>4004.45</v>
      </c>
      <c r="AG511">
        <v>381.69</v>
      </c>
      <c r="AH511">
        <v>5.62</v>
      </c>
    </row>
    <row r="512" spans="1:34">
      <c r="A512" t="s">
        <v>969</v>
      </c>
      <c r="B512" t="s">
        <v>263</v>
      </c>
      <c r="C512" t="b">
        <v>1</v>
      </c>
      <c r="D512" t="b">
        <v>0</v>
      </c>
      <c r="E512" t="s">
        <v>1471</v>
      </c>
      <c r="F512" t="s">
        <v>82</v>
      </c>
      <c r="G512" t="s">
        <v>81</v>
      </c>
      <c r="H512">
        <v>34.8</v>
      </c>
      <c r="I512">
        <v>30</v>
      </c>
      <c r="J512">
        <v>186</v>
      </c>
      <c r="K512">
        <v>6617.19</v>
      </c>
      <c r="L512">
        <v>223.47</v>
      </c>
      <c r="M512">
        <v>33.91</v>
      </c>
      <c r="N512">
        <v>6359.81</v>
      </c>
      <c r="O512">
        <v>1829.55</v>
      </c>
      <c r="P512">
        <v>4530.26</v>
      </c>
      <c r="Q512">
        <v>49.3</v>
      </c>
      <c r="R512">
        <v>312.57</v>
      </c>
      <c r="S512">
        <v>387</v>
      </c>
      <c r="T512">
        <v>133</v>
      </c>
      <c r="U512">
        <v>8</v>
      </c>
      <c r="V512">
        <v>53</v>
      </c>
      <c r="W512">
        <v>38</v>
      </c>
      <c r="X512">
        <v>34.19</v>
      </c>
      <c r="Y512">
        <v>2.08</v>
      </c>
      <c r="Z512">
        <v>71.23</v>
      </c>
      <c r="AA512">
        <v>2177.42</v>
      </c>
      <c r="AB512">
        <v>1147.54</v>
      </c>
      <c r="AC512">
        <v>356.04</v>
      </c>
      <c r="AD512">
        <v>110</v>
      </c>
      <c r="AE512">
        <v>209.21</v>
      </c>
      <c r="AF512">
        <v>4000.21</v>
      </c>
      <c r="AG512">
        <v>168.18</v>
      </c>
      <c r="AH512">
        <v>2.64</v>
      </c>
    </row>
    <row r="513" spans="1:34">
      <c r="A513" t="s">
        <v>438</v>
      </c>
      <c r="B513" t="s">
        <v>75</v>
      </c>
      <c r="C513" t="b">
        <v>0</v>
      </c>
      <c r="D513" t="b">
        <v>0</v>
      </c>
      <c r="E513" t="s">
        <v>1471</v>
      </c>
      <c r="F513" t="s">
        <v>82</v>
      </c>
      <c r="G513" t="s">
        <v>81</v>
      </c>
      <c r="H513">
        <v>35.3</v>
      </c>
      <c r="I513">
        <v>31</v>
      </c>
      <c r="J513">
        <v>207</v>
      </c>
      <c r="K513">
        <v>6179.87</v>
      </c>
      <c r="L513">
        <v>133.04</v>
      </c>
      <c r="M513">
        <v>33.04</v>
      </c>
      <c r="N513">
        <v>6013.79</v>
      </c>
      <c r="O513">
        <v>1747.52</v>
      </c>
      <c r="P513">
        <v>4266.27</v>
      </c>
      <c r="Q513">
        <v>39.8</v>
      </c>
      <c r="R513">
        <v>331.76</v>
      </c>
      <c r="S513">
        <v>382</v>
      </c>
      <c r="T513">
        <v>140</v>
      </c>
      <c r="U513">
        <v>11</v>
      </c>
      <c r="V513">
        <v>67</v>
      </c>
      <c r="W513">
        <v>40</v>
      </c>
      <c r="X513">
        <v>29.05</v>
      </c>
      <c r="Y513">
        <v>1.85</v>
      </c>
      <c r="Z513">
        <v>70.94</v>
      </c>
      <c r="AA513">
        <v>2177.42</v>
      </c>
      <c r="AB513">
        <v>1147.54</v>
      </c>
      <c r="AC513">
        <v>350.97</v>
      </c>
      <c r="AD513">
        <v>110</v>
      </c>
      <c r="AE513">
        <v>234.35</v>
      </c>
      <c r="AF513">
        <v>4020.28</v>
      </c>
      <c r="AG513">
        <v>-125.57</v>
      </c>
      <c r="AH513">
        <v>-2.09</v>
      </c>
    </row>
    <row r="514" spans="1:34">
      <c r="A514" t="s">
        <v>970</v>
      </c>
      <c r="B514" t="s">
        <v>258</v>
      </c>
      <c r="C514" t="b">
        <v>0</v>
      </c>
      <c r="D514" t="b">
        <v>0</v>
      </c>
      <c r="E514" t="s">
        <v>1471</v>
      </c>
      <c r="F514" t="s">
        <v>82</v>
      </c>
      <c r="G514" t="s">
        <v>1477</v>
      </c>
      <c r="H514">
        <v>32.2</v>
      </c>
      <c r="I514">
        <v>0</v>
      </c>
      <c r="J514">
        <v>171</v>
      </c>
      <c r="K514">
        <v>4939.94</v>
      </c>
      <c r="L514">
        <v>268.68</v>
      </c>
      <c r="M514">
        <v>0</v>
      </c>
      <c r="N514">
        <v>4671.26</v>
      </c>
      <c r="O514">
        <v>1442.91</v>
      </c>
      <c r="P514">
        <v>3228.35</v>
      </c>
      <c r="Q514">
        <v>40</v>
      </c>
      <c r="R514">
        <v>233.4</v>
      </c>
      <c r="S514">
        <v>297</v>
      </c>
      <c r="T514">
        <v>131</v>
      </c>
      <c r="U514">
        <v>3</v>
      </c>
      <c r="V514">
        <v>40</v>
      </c>
      <c r="W514">
        <v>27</v>
      </c>
      <c r="X514">
        <v>27.32</v>
      </c>
      <c r="Y514">
        <v>1.74</v>
      </c>
      <c r="Z514">
        <v>69.11</v>
      </c>
      <c r="AA514">
        <v>2177.42</v>
      </c>
      <c r="AB514">
        <v>1147.54</v>
      </c>
      <c r="AC514">
        <v>318.45</v>
      </c>
      <c r="AD514">
        <v>110</v>
      </c>
      <c r="AE514">
        <v>202.14</v>
      </c>
      <c r="AF514">
        <v>3955.55</v>
      </c>
      <c r="AG514">
        <v>-1000.6</v>
      </c>
      <c r="AH514">
        <v>-21.42</v>
      </c>
    </row>
    <row r="515" spans="1:34">
      <c r="A515" t="s">
        <v>971</v>
      </c>
      <c r="B515" t="s">
        <v>259</v>
      </c>
      <c r="C515" t="b">
        <v>0</v>
      </c>
      <c r="D515" t="b">
        <v>0</v>
      </c>
      <c r="E515" t="s">
        <v>1471</v>
      </c>
      <c r="F515" t="s">
        <v>82</v>
      </c>
      <c r="G515" t="s">
        <v>1477</v>
      </c>
      <c r="H515">
        <v>33.1</v>
      </c>
      <c r="I515">
        <v>1</v>
      </c>
      <c r="J515">
        <v>215</v>
      </c>
      <c r="K515">
        <v>6763.36</v>
      </c>
      <c r="L515">
        <v>236.52</v>
      </c>
      <c r="M515">
        <v>48.69</v>
      </c>
      <c r="N515">
        <v>6478.15</v>
      </c>
      <c r="O515">
        <v>1907.32</v>
      </c>
      <c r="P515">
        <v>4570.83</v>
      </c>
      <c r="Q515">
        <v>47.33</v>
      </c>
      <c r="R515">
        <v>334.62</v>
      </c>
      <c r="S515">
        <v>406</v>
      </c>
      <c r="T515">
        <v>147</v>
      </c>
      <c r="U515">
        <v>13</v>
      </c>
      <c r="V515">
        <v>68</v>
      </c>
      <c r="W515">
        <v>31</v>
      </c>
      <c r="X515">
        <v>30.13</v>
      </c>
      <c r="Y515">
        <v>1.89</v>
      </c>
      <c r="Z515">
        <v>70.56</v>
      </c>
      <c r="AA515">
        <v>2177.42</v>
      </c>
      <c r="AB515">
        <v>1147.54</v>
      </c>
      <c r="AC515">
        <v>325.1</v>
      </c>
      <c r="AD515">
        <v>110</v>
      </c>
      <c r="AE515">
        <v>205.27</v>
      </c>
      <c r="AF515">
        <v>3965.33</v>
      </c>
      <c r="AG515">
        <v>223.55</v>
      </c>
      <c r="AH515">
        <v>3.45</v>
      </c>
    </row>
    <row r="516" spans="1:34">
      <c r="A516" t="s">
        <v>972</v>
      </c>
      <c r="B516" t="s">
        <v>260</v>
      </c>
      <c r="C516" t="b">
        <v>0</v>
      </c>
      <c r="D516" t="b">
        <v>0</v>
      </c>
      <c r="E516" t="s">
        <v>1471</v>
      </c>
      <c r="F516" t="s">
        <v>82</v>
      </c>
      <c r="G516" t="s">
        <v>1477</v>
      </c>
      <c r="H516">
        <v>32.9</v>
      </c>
      <c r="I516">
        <v>2</v>
      </c>
      <c r="J516">
        <v>230</v>
      </c>
      <c r="K516">
        <v>9553.719999999999</v>
      </c>
      <c r="L516">
        <v>354.34</v>
      </c>
      <c r="M516">
        <v>40</v>
      </c>
      <c r="N516">
        <v>9159.379999999999</v>
      </c>
      <c r="O516">
        <v>2658.3</v>
      </c>
      <c r="P516">
        <v>6501.08</v>
      </c>
      <c r="Q516">
        <v>52.7</v>
      </c>
      <c r="R516">
        <v>382.62</v>
      </c>
      <c r="S516">
        <v>562</v>
      </c>
      <c r="T516">
        <v>155</v>
      </c>
      <c r="U516">
        <v>7</v>
      </c>
      <c r="V516">
        <v>75</v>
      </c>
      <c r="W516">
        <v>35</v>
      </c>
      <c r="X516">
        <v>39.82</v>
      </c>
      <c r="Y516">
        <v>2.44</v>
      </c>
      <c r="Z516">
        <v>70.98</v>
      </c>
      <c r="AA516">
        <v>2177.42</v>
      </c>
      <c r="AB516">
        <v>1147.54</v>
      </c>
      <c r="AC516">
        <v>332.03</v>
      </c>
      <c r="AD516">
        <v>110</v>
      </c>
      <c r="AE516">
        <v>209.59</v>
      </c>
      <c r="AF516">
        <v>3976.58</v>
      </c>
      <c r="AG516">
        <v>2089.18</v>
      </c>
      <c r="AH516">
        <v>22.81</v>
      </c>
    </row>
    <row r="517" spans="1:34">
      <c r="A517" t="s">
        <v>973</v>
      </c>
      <c r="B517" t="s">
        <v>261</v>
      </c>
      <c r="C517" t="b">
        <v>0</v>
      </c>
      <c r="D517" t="b">
        <v>0</v>
      </c>
      <c r="E517" t="s">
        <v>1471</v>
      </c>
      <c r="F517" t="s">
        <v>82</v>
      </c>
      <c r="G517" t="s">
        <v>1477</v>
      </c>
      <c r="H517">
        <v>34.2</v>
      </c>
      <c r="I517">
        <v>3</v>
      </c>
      <c r="J517">
        <v>292</v>
      </c>
      <c r="K517">
        <v>9938.879999999999</v>
      </c>
      <c r="L517">
        <v>277.36</v>
      </c>
      <c r="M517">
        <v>20</v>
      </c>
      <c r="N517">
        <v>9641.52</v>
      </c>
      <c r="O517">
        <v>2842.27</v>
      </c>
      <c r="P517">
        <v>6799.25</v>
      </c>
      <c r="Q517">
        <v>73.65000000000001</v>
      </c>
      <c r="R517">
        <v>450.91</v>
      </c>
      <c r="S517">
        <v>581</v>
      </c>
      <c r="T517">
        <v>197</v>
      </c>
      <c r="U517">
        <v>9</v>
      </c>
      <c r="V517">
        <v>95</v>
      </c>
      <c r="W517">
        <v>45</v>
      </c>
      <c r="X517">
        <v>33.02</v>
      </c>
      <c r="Y517">
        <v>1.99</v>
      </c>
      <c r="Z517">
        <v>70.52</v>
      </c>
      <c r="AA517">
        <v>2177.42</v>
      </c>
      <c r="AB517">
        <v>1147.54</v>
      </c>
      <c r="AC517">
        <v>357.58</v>
      </c>
      <c r="AD517">
        <v>110</v>
      </c>
      <c r="AE517">
        <v>197.37</v>
      </c>
      <c r="AF517">
        <v>3989.91</v>
      </c>
      <c r="AG517">
        <v>2284.78</v>
      </c>
      <c r="AH517">
        <v>23.7</v>
      </c>
    </row>
    <row r="518" spans="1:34">
      <c r="A518" t="s">
        <v>974</v>
      </c>
      <c r="B518" t="s">
        <v>262</v>
      </c>
      <c r="C518" t="b">
        <v>1</v>
      </c>
      <c r="D518" t="b">
        <v>0</v>
      </c>
      <c r="E518" t="s">
        <v>1471</v>
      </c>
      <c r="F518" t="s">
        <v>82</v>
      </c>
      <c r="G518" t="s">
        <v>1477</v>
      </c>
      <c r="H518">
        <v>33.7</v>
      </c>
      <c r="I518">
        <v>4</v>
      </c>
      <c r="J518">
        <v>202</v>
      </c>
      <c r="K518">
        <v>8187.7</v>
      </c>
      <c r="L518">
        <v>259.11</v>
      </c>
      <c r="M518">
        <v>23.48</v>
      </c>
      <c r="N518">
        <v>7905.11</v>
      </c>
      <c r="O518">
        <v>2265.05</v>
      </c>
      <c r="P518">
        <v>5640.06</v>
      </c>
      <c r="Q518">
        <v>60.18</v>
      </c>
      <c r="R518">
        <v>296.56</v>
      </c>
      <c r="S518">
        <v>485</v>
      </c>
      <c r="T518">
        <v>143</v>
      </c>
      <c r="U518">
        <v>8</v>
      </c>
      <c r="V518">
        <v>59</v>
      </c>
      <c r="W518">
        <v>33</v>
      </c>
      <c r="X518">
        <v>39.13</v>
      </c>
      <c r="Y518">
        <v>2.4</v>
      </c>
      <c r="Z518">
        <v>71.34999999999999</v>
      </c>
      <c r="AA518">
        <v>2177.42</v>
      </c>
      <c r="AB518">
        <v>1147.54</v>
      </c>
      <c r="AC518">
        <v>334.54</v>
      </c>
      <c r="AD518">
        <v>110</v>
      </c>
      <c r="AE518">
        <v>189.71</v>
      </c>
      <c r="AF518">
        <v>3959.21</v>
      </c>
      <c r="AG518">
        <v>1324.11</v>
      </c>
      <c r="AH518">
        <v>16.75</v>
      </c>
    </row>
    <row r="519" spans="1:34">
      <c r="A519" t="s">
        <v>975</v>
      </c>
      <c r="B519" t="s">
        <v>263</v>
      </c>
      <c r="C519" t="b">
        <v>1</v>
      </c>
      <c r="D519" t="b">
        <v>0</v>
      </c>
      <c r="E519" t="s">
        <v>1472</v>
      </c>
      <c r="F519" t="s">
        <v>82</v>
      </c>
      <c r="G519" t="s">
        <v>81</v>
      </c>
      <c r="H519">
        <v>33.5</v>
      </c>
      <c r="I519">
        <v>5</v>
      </c>
      <c r="J519">
        <v>163</v>
      </c>
      <c r="K519">
        <v>6032.04</v>
      </c>
      <c r="L519">
        <v>135.65</v>
      </c>
      <c r="M519">
        <v>20</v>
      </c>
      <c r="N519">
        <v>5876.39</v>
      </c>
      <c r="O519">
        <v>1742.06</v>
      </c>
      <c r="P519">
        <v>4134.33</v>
      </c>
      <c r="Q519">
        <v>45.63</v>
      </c>
      <c r="R519">
        <v>254.47</v>
      </c>
      <c r="S519">
        <v>346</v>
      </c>
      <c r="T519">
        <v>103</v>
      </c>
      <c r="U519">
        <v>12</v>
      </c>
      <c r="V519">
        <v>60</v>
      </c>
      <c r="W519">
        <v>29</v>
      </c>
      <c r="X519">
        <v>36.05</v>
      </c>
      <c r="Y519">
        <v>2.12</v>
      </c>
      <c r="Z519">
        <v>70.34999999999999</v>
      </c>
      <c r="AA519">
        <v>2250</v>
      </c>
      <c r="AB519">
        <v>1147.54</v>
      </c>
      <c r="AC519">
        <v>331.88</v>
      </c>
      <c r="AD519">
        <v>110</v>
      </c>
      <c r="AE519">
        <v>198.45</v>
      </c>
      <c r="AF519">
        <v>4037.87</v>
      </c>
      <c r="AG519">
        <v>-203.64</v>
      </c>
      <c r="AH519">
        <v>-3.47</v>
      </c>
    </row>
    <row r="520" spans="1:34">
      <c r="A520" t="s">
        <v>439</v>
      </c>
      <c r="B520" t="s">
        <v>75</v>
      </c>
      <c r="C520" t="b">
        <v>0</v>
      </c>
      <c r="D520" t="b">
        <v>0</v>
      </c>
      <c r="E520" t="s">
        <v>1472</v>
      </c>
      <c r="F520" t="s">
        <v>1474</v>
      </c>
      <c r="G520" t="s">
        <v>81</v>
      </c>
      <c r="H520">
        <v>34.4</v>
      </c>
      <c r="I520">
        <v>6</v>
      </c>
      <c r="J520">
        <v>241</v>
      </c>
      <c r="K520">
        <v>7267.69</v>
      </c>
      <c r="L520">
        <v>217.38</v>
      </c>
      <c r="M520">
        <v>0</v>
      </c>
      <c r="N520">
        <v>7050.31</v>
      </c>
      <c r="O520">
        <v>2039.54</v>
      </c>
      <c r="P520">
        <v>5010.77</v>
      </c>
      <c r="Q520">
        <v>53.77</v>
      </c>
      <c r="R520">
        <v>318.7</v>
      </c>
      <c r="S520">
        <v>428</v>
      </c>
      <c r="T520">
        <v>178</v>
      </c>
      <c r="U520">
        <v>9</v>
      </c>
      <c r="V520">
        <v>63</v>
      </c>
      <c r="W520">
        <v>39</v>
      </c>
      <c r="X520">
        <v>29.25</v>
      </c>
      <c r="Y520">
        <v>1.78</v>
      </c>
      <c r="Z520">
        <v>71.06999999999999</v>
      </c>
      <c r="AA520">
        <v>2250</v>
      </c>
      <c r="AB520">
        <v>1147.54</v>
      </c>
      <c r="AC520">
        <v>337.24</v>
      </c>
      <c r="AD520">
        <v>110</v>
      </c>
      <c r="AE520">
        <v>179.93</v>
      </c>
      <c r="AF520">
        <v>4024.71</v>
      </c>
      <c r="AG520">
        <v>613.59</v>
      </c>
      <c r="AH520">
        <v>8.699999999999999</v>
      </c>
    </row>
    <row r="521" spans="1:34">
      <c r="A521" t="s">
        <v>976</v>
      </c>
      <c r="B521" t="s">
        <v>258</v>
      </c>
      <c r="C521" t="b">
        <v>0</v>
      </c>
      <c r="D521" t="b">
        <v>0</v>
      </c>
      <c r="E521" t="s">
        <v>1472</v>
      </c>
      <c r="F521" t="s">
        <v>1474</v>
      </c>
      <c r="G521" t="s">
        <v>81</v>
      </c>
      <c r="H521">
        <v>34.5</v>
      </c>
      <c r="I521">
        <v>7</v>
      </c>
      <c r="J521">
        <v>230</v>
      </c>
      <c r="K521">
        <v>7040.66</v>
      </c>
      <c r="L521">
        <v>274.77</v>
      </c>
      <c r="M521">
        <v>0</v>
      </c>
      <c r="N521">
        <v>6765.89</v>
      </c>
      <c r="O521">
        <v>1970.79</v>
      </c>
      <c r="P521">
        <v>4795.1</v>
      </c>
      <c r="Q521">
        <v>54.68</v>
      </c>
      <c r="R521">
        <v>260.55</v>
      </c>
      <c r="S521">
        <v>423</v>
      </c>
      <c r="T521">
        <v>146</v>
      </c>
      <c r="U521">
        <v>9</v>
      </c>
      <c r="V521">
        <v>84</v>
      </c>
      <c r="W521">
        <v>29</v>
      </c>
      <c r="X521">
        <v>29.42</v>
      </c>
      <c r="Y521">
        <v>1.84</v>
      </c>
      <c r="Z521">
        <v>70.87</v>
      </c>
      <c r="AA521">
        <v>2250</v>
      </c>
      <c r="AB521">
        <v>1147.54</v>
      </c>
      <c r="AC521">
        <v>345.68</v>
      </c>
      <c r="AD521">
        <v>110</v>
      </c>
      <c r="AE521">
        <v>189.4</v>
      </c>
      <c r="AF521">
        <v>4042.62</v>
      </c>
      <c r="AG521">
        <v>437.25</v>
      </c>
      <c r="AH521">
        <v>6.46</v>
      </c>
    </row>
    <row r="522" spans="1:34">
      <c r="A522" t="s">
        <v>977</v>
      </c>
      <c r="B522" t="s">
        <v>259</v>
      </c>
      <c r="C522" t="b">
        <v>0</v>
      </c>
      <c r="D522" t="b">
        <v>0</v>
      </c>
      <c r="E522" t="s">
        <v>1472</v>
      </c>
      <c r="F522" t="s">
        <v>1474</v>
      </c>
      <c r="G522" t="s">
        <v>81</v>
      </c>
      <c r="H522">
        <v>33.1</v>
      </c>
      <c r="I522">
        <v>8</v>
      </c>
      <c r="J522">
        <v>191</v>
      </c>
      <c r="K522">
        <v>6887.08</v>
      </c>
      <c r="L522">
        <v>151.31</v>
      </c>
      <c r="M522">
        <v>19.13</v>
      </c>
      <c r="N522">
        <v>6716.64</v>
      </c>
      <c r="O522">
        <v>2005.49</v>
      </c>
      <c r="P522">
        <v>4711.15</v>
      </c>
      <c r="Q522">
        <v>41.77</v>
      </c>
      <c r="R522">
        <v>326.94</v>
      </c>
      <c r="S522">
        <v>419</v>
      </c>
      <c r="T522">
        <v>130</v>
      </c>
      <c r="U522">
        <v>6</v>
      </c>
      <c r="V522">
        <v>61</v>
      </c>
      <c r="W522">
        <v>35</v>
      </c>
      <c r="X522">
        <v>35.17</v>
      </c>
      <c r="Y522">
        <v>2.19</v>
      </c>
      <c r="Z522">
        <v>70.14</v>
      </c>
      <c r="AA522">
        <v>2250</v>
      </c>
      <c r="AB522">
        <v>1147.54</v>
      </c>
      <c r="AC522">
        <v>329.9</v>
      </c>
      <c r="AD522">
        <v>110</v>
      </c>
      <c r="AE522">
        <v>169.24</v>
      </c>
      <c r="AF522">
        <v>4006.68</v>
      </c>
      <c r="AG522">
        <v>335.76</v>
      </c>
      <c r="AH522">
        <v>5</v>
      </c>
    </row>
    <row r="523" spans="1:34">
      <c r="A523" t="s">
        <v>978</v>
      </c>
      <c r="B523" t="s">
        <v>260</v>
      </c>
      <c r="C523" t="b">
        <v>0</v>
      </c>
      <c r="D523" t="b">
        <v>0</v>
      </c>
      <c r="E523" t="s">
        <v>1472</v>
      </c>
      <c r="F523" t="s">
        <v>1474</v>
      </c>
      <c r="G523" t="s">
        <v>81</v>
      </c>
      <c r="H523">
        <v>32.2</v>
      </c>
      <c r="I523">
        <v>9</v>
      </c>
      <c r="J523">
        <v>194</v>
      </c>
      <c r="K523">
        <v>5444.25</v>
      </c>
      <c r="L523">
        <v>232.16</v>
      </c>
      <c r="M523">
        <v>20</v>
      </c>
      <c r="N523">
        <v>5192.09</v>
      </c>
      <c r="O523">
        <v>1582.68</v>
      </c>
      <c r="P523">
        <v>3609.41</v>
      </c>
      <c r="Q523">
        <v>40.65</v>
      </c>
      <c r="R523">
        <v>168.17</v>
      </c>
      <c r="S523">
        <v>320</v>
      </c>
      <c r="T523">
        <v>133</v>
      </c>
      <c r="U523">
        <v>10</v>
      </c>
      <c r="V523">
        <v>61</v>
      </c>
      <c r="W523">
        <v>16</v>
      </c>
      <c r="X523">
        <v>26.76</v>
      </c>
      <c r="Y523">
        <v>1.65</v>
      </c>
      <c r="Z523">
        <v>69.52</v>
      </c>
      <c r="AA523">
        <v>2250</v>
      </c>
      <c r="AB523">
        <v>1147.54</v>
      </c>
      <c r="AC523">
        <v>331.14</v>
      </c>
      <c r="AD523">
        <v>110</v>
      </c>
      <c r="AE523">
        <v>183.99</v>
      </c>
      <c r="AF523">
        <v>4022.67</v>
      </c>
      <c r="AG523">
        <v>-622.08</v>
      </c>
      <c r="AH523">
        <v>-11.98</v>
      </c>
    </row>
    <row r="524" spans="1:34">
      <c r="A524" t="s">
        <v>979</v>
      </c>
      <c r="B524" t="s">
        <v>261</v>
      </c>
      <c r="C524" t="b">
        <v>0</v>
      </c>
      <c r="D524" t="b">
        <v>0</v>
      </c>
      <c r="E524" t="s">
        <v>1472</v>
      </c>
      <c r="F524" t="s">
        <v>1474</v>
      </c>
      <c r="G524" t="s">
        <v>81</v>
      </c>
      <c r="H524">
        <v>33.6</v>
      </c>
      <c r="I524">
        <v>10</v>
      </c>
      <c r="J524">
        <v>265</v>
      </c>
      <c r="K524">
        <v>8716.41</v>
      </c>
      <c r="L524">
        <v>303.46</v>
      </c>
      <c r="M524">
        <v>0</v>
      </c>
      <c r="N524">
        <v>8412.950000000001</v>
      </c>
      <c r="O524">
        <v>2457.02</v>
      </c>
      <c r="P524">
        <v>5955.93</v>
      </c>
      <c r="Q524">
        <v>66.43000000000001</v>
      </c>
      <c r="R524">
        <v>293.27</v>
      </c>
      <c r="S524">
        <v>509</v>
      </c>
      <c r="T524">
        <v>169</v>
      </c>
      <c r="U524">
        <v>7</v>
      </c>
      <c r="V524">
        <v>96</v>
      </c>
      <c r="W524">
        <v>33</v>
      </c>
      <c r="X524">
        <v>31.75</v>
      </c>
      <c r="Y524">
        <v>1.92</v>
      </c>
      <c r="Z524">
        <v>70.79000000000001</v>
      </c>
      <c r="AA524">
        <v>2250</v>
      </c>
      <c r="AB524">
        <v>1147.54</v>
      </c>
      <c r="AC524">
        <v>346.15</v>
      </c>
      <c r="AD524">
        <v>110</v>
      </c>
      <c r="AE524">
        <v>178.69</v>
      </c>
      <c r="AF524">
        <v>4032.38</v>
      </c>
      <c r="AG524">
        <v>1563.85</v>
      </c>
      <c r="AH524">
        <v>18.59</v>
      </c>
    </row>
    <row r="525" spans="1:34">
      <c r="A525" t="s">
        <v>980</v>
      </c>
      <c r="B525" t="s">
        <v>262</v>
      </c>
      <c r="C525" t="b">
        <v>1</v>
      </c>
      <c r="D525" t="b">
        <v>0</v>
      </c>
      <c r="E525" t="s">
        <v>1472</v>
      </c>
      <c r="F525" t="s">
        <v>1474</v>
      </c>
      <c r="G525" t="s">
        <v>81</v>
      </c>
      <c r="H525">
        <v>34.8</v>
      </c>
      <c r="I525">
        <v>11</v>
      </c>
      <c r="J525">
        <v>195</v>
      </c>
      <c r="K525">
        <v>7944.24</v>
      </c>
      <c r="L525">
        <v>132.17</v>
      </c>
      <c r="M525">
        <v>39.13</v>
      </c>
      <c r="N525">
        <v>7772.94</v>
      </c>
      <c r="O525">
        <v>2291.01</v>
      </c>
      <c r="P525">
        <v>5481.93</v>
      </c>
      <c r="Q525">
        <v>54.43</v>
      </c>
      <c r="R525">
        <v>432.12</v>
      </c>
      <c r="S525">
        <v>457</v>
      </c>
      <c r="T525">
        <v>127</v>
      </c>
      <c r="U525">
        <v>7</v>
      </c>
      <c r="V525">
        <v>68</v>
      </c>
      <c r="W525">
        <v>36</v>
      </c>
      <c r="X525">
        <v>39.86</v>
      </c>
      <c r="Y525">
        <v>2.34</v>
      </c>
      <c r="Z525">
        <v>70.53</v>
      </c>
      <c r="AA525">
        <v>2250</v>
      </c>
      <c r="AB525">
        <v>1147.54</v>
      </c>
      <c r="AC525">
        <v>360.29</v>
      </c>
      <c r="AD525">
        <v>110</v>
      </c>
      <c r="AE525">
        <v>196.56</v>
      </c>
      <c r="AF525">
        <v>4064.39</v>
      </c>
      <c r="AG525">
        <v>930.99</v>
      </c>
      <c r="AH525">
        <v>11.98</v>
      </c>
    </row>
    <row r="526" spans="1:34">
      <c r="A526" t="s">
        <v>981</v>
      </c>
      <c r="B526" t="s">
        <v>263</v>
      </c>
      <c r="C526" t="b">
        <v>1</v>
      </c>
      <c r="D526" t="b">
        <v>0</v>
      </c>
      <c r="E526" t="s">
        <v>1472</v>
      </c>
      <c r="F526" t="s">
        <v>1474</v>
      </c>
      <c r="G526" t="s">
        <v>81</v>
      </c>
      <c r="H526">
        <v>35.3</v>
      </c>
      <c r="I526">
        <v>12</v>
      </c>
      <c r="J526">
        <v>201</v>
      </c>
      <c r="K526">
        <v>8189.52</v>
      </c>
      <c r="L526">
        <v>176.51</v>
      </c>
      <c r="M526">
        <v>18.26</v>
      </c>
      <c r="N526">
        <v>7994.75</v>
      </c>
      <c r="O526">
        <v>2422.66</v>
      </c>
      <c r="P526">
        <v>5572.09</v>
      </c>
      <c r="Q526">
        <v>57.2</v>
      </c>
      <c r="R526">
        <v>410.5</v>
      </c>
      <c r="S526">
        <v>466</v>
      </c>
      <c r="T526">
        <v>131</v>
      </c>
      <c r="U526">
        <v>4</v>
      </c>
      <c r="V526">
        <v>70</v>
      </c>
      <c r="W526">
        <v>42</v>
      </c>
      <c r="X526">
        <v>39.77</v>
      </c>
      <c r="Y526">
        <v>2.32</v>
      </c>
      <c r="Z526">
        <v>69.7</v>
      </c>
      <c r="AA526">
        <v>2250</v>
      </c>
      <c r="AB526">
        <v>1147.54</v>
      </c>
      <c r="AC526">
        <v>343.76</v>
      </c>
      <c r="AD526">
        <v>110</v>
      </c>
      <c r="AE526">
        <v>162.57</v>
      </c>
      <c r="AF526">
        <v>4013.87</v>
      </c>
      <c r="AG526">
        <v>1090.52</v>
      </c>
      <c r="AH526">
        <v>13.64</v>
      </c>
    </row>
    <row r="527" spans="1:34">
      <c r="A527" t="s">
        <v>440</v>
      </c>
      <c r="B527" t="s">
        <v>75</v>
      </c>
      <c r="C527" t="b">
        <v>0</v>
      </c>
      <c r="D527" t="b">
        <v>0</v>
      </c>
      <c r="E527" t="s">
        <v>1472</v>
      </c>
      <c r="F527" t="s">
        <v>1474</v>
      </c>
      <c r="G527" t="s">
        <v>81</v>
      </c>
      <c r="H527">
        <v>36.1</v>
      </c>
      <c r="I527">
        <v>13</v>
      </c>
      <c r="J527">
        <v>215</v>
      </c>
      <c r="K527">
        <v>6025.07</v>
      </c>
      <c r="L527">
        <v>178.25</v>
      </c>
      <c r="M527">
        <v>0</v>
      </c>
      <c r="N527">
        <v>5846.82</v>
      </c>
      <c r="O527">
        <v>1710.99</v>
      </c>
      <c r="P527">
        <v>4135.83</v>
      </c>
      <c r="Q527">
        <v>43.91</v>
      </c>
      <c r="R527">
        <v>207.99</v>
      </c>
      <c r="S527">
        <v>358</v>
      </c>
      <c r="T527">
        <v>145</v>
      </c>
      <c r="U527">
        <v>5</v>
      </c>
      <c r="V527">
        <v>70</v>
      </c>
      <c r="W527">
        <v>29</v>
      </c>
      <c r="X527">
        <v>27.19</v>
      </c>
      <c r="Y527">
        <v>1.67</v>
      </c>
      <c r="Z527">
        <v>70.73999999999999</v>
      </c>
      <c r="AA527">
        <v>2250</v>
      </c>
      <c r="AB527">
        <v>1147.54</v>
      </c>
      <c r="AC527">
        <v>369.08</v>
      </c>
      <c r="AD527">
        <v>110</v>
      </c>
      <c r="AE527">
        <v>214</v>
      </c>
      <c r="AF527">
        <v>4090.62</v>
      </c>
      <c r="AG527">
        <v>-206.69</v>
      </c>
      <c r="AH527">
        <v>-3.54</v>
      </c>
    </row>
    <row r="528" spans="1:34">
      <c r="A528" t="s">
        <v>982</v>
      </c>
      <c r="B528" t="s">
        <v>258</v>
      </c>
      <c r="C528" t="b">
        <v>0</v>
      </c>
      <c r="D528" t="b">
        <v>0</v>
      </c>
      <c r="E528" t="s">
        <v>1472</v>
      </c>
      <c r="F528" t="s">
        <v>1474</v>
      </c>
      <c r="G528" t="s">
        <v>81</v>
      </c>
      <c r="H528">
        <v>36.5</v>
      </c>
      <c r="I528">
        <v>14</v>
      </c>
      <c r="J528">
        <v>181</v>
      </c>
      <c r="K528">
        <v>5705.12</v>
      </c>
      <c r="L528">
        <v>135.64</v>
      </c>
      <c r="M528">
        <v>0</v>
      </c>
      <c r="N528">
        <v>5569.48</v>
      </c>
      <c r="O528">
        <v>1681.21</v>
      </c>
      <c r="P528">
        <v>3888.27</v>
      </c>
      <c r="Q528">
        <v>39.63</v>
      </c>
      <c r="R528">
        <v>242.75</v>
      </c>
      <c r="S528">
        <v>327</v>
      </c>
      <c r="T528">
        <v>127</v>
      </c>
      <c r="U528">
        <v>6</v>
      </c>
      <c r="V528">
        <v>54</v>
      </c>
      <c r="W528">
        <v>26</v>
      </c>
      <c r="X528">
        <v>30.77</v>
      </c>
      <c r="Y528">
        <v>1.81</v>
      </c>
      <c r="Z528">
        <v>69.81</v>
      </c>
      <c r="AA528">
        <v>2250</v>
      </c>
      <c r="AB528">
        <v>1147.54</v>
      </c>
      <c r="AC528">
        <v>373.19</v>
      </c>
      <c r="AD528">
        <v>110</v>
      </c>
      <c r="AE528">
        <v>182.27</v>
      </c>
      <c r="AF528">
        <v>4063</v>
      </c>
      <c r="AG528">
        <v>-457.11</v>
      </c>
      <c r="AH528">
        <v>-8.210000000000001</v>
      </c>
    </row>
    <row r="529" spans="1:34">
      <c r="A529" t="s">
        <v>983</v>
      </c>
      <c r="B529" t="s">
        <v>259</v>
      </c>
      <c r="C529" t="b">
        <v>0</v>
      </c>
      <c r="D529" t="b">
        <v>0</v>
      </c>
      <c r="E529" t="s">
        <v>1472</v>
      </c>
      <c r="F529" t="s">
        <v>1474</v>
      </c>
      <c r="G529" t="s">
        <v>81</v>
      </c>
      <c r="H529">
        <v>34.4</v>
      </c>
      <c r="I529">
        <v>15</v>
      </c>
      <c r="J529">
        <v>205</v>
      </c>
      <c r="K529">
        <v>6332.94</v>
      </c>
      <c r="L529">
        <v>103.48</v>
      </c>
      <c r="M529">
        <v>66.09</v>
      </c>
      <c r="N529">
        <v>6163.37</v>
      </c>
      <c r="O529">
        <v>1818.58</v>
      </c>
      <c r="P529">
        <v>4344.79</v>
      </c>
      <c r="Q529">
        <v>50.49</v>
      </c>
      <c r="R529">
        <v>173.55</v>
      </c>
      <c r="S529">
        <v>376</v>
      </c>
      <c r="T529">
        <v>125</v>
      </c>
      <c r="U529">
        <v>7</v>
      </c>
      <c r="V529">
        <v>80</v>
      </c>
      <c r="W529">
        <v>21</v>
      </c>
      <c r="X529">
        <v>30.07</v>
      </c>
      <c r="Y529">
        <v>1.83</v>
      </c>
      <c r="Z529">
        <v>70.48999999999999</v>
      </c>
      <c r="AA529">
        <v>2250</v>
      </c>
      <c r="AB529">
        <v>1147.54</v>
      </c>
      <c r="AC529">
        <v>331.23</v>
      </c>
      <c r="AD529">
        <v>110</v>
      </c>
      <c r="AE529">
        <v>186.71</v>
      </c>
      <c r="AF529">
        <v>4025.48</v>
      </c>
      <c r="AG529">
        <v>95.27</v>
      </c>
      <c r="AH529">
        <v>1.55</v>
      </c>
    </row>
    <row r="530" spans="1:34">
      <c r="A530" t="s">
        <v>984</v>
      </c>
      <c r="B530" t="s">
        <v>260</v>
      </c>
      <c r="C530" t="b">
        <v>0</v>
      </c>
      <c r="D530" t="b">
        <v>0</v>
      </c>
      <c r="E530" t="s">
        <v>1472</v>
      </c>
      <c r="F530" t="s">
        <v>1474</v>
      </c>
      <c r="G530" t="s">
        <v>81</v>
      </c>
      <c r="H530">
        <v>35.5</v>
      </c>
      <c r="I530">
        <v>16</v>
      </c>
      <c r="J530">
        <v>196</v>
      </c>
      <c r="K530">
        <v>5576.46</v>
      </c>
      <c r="L530">
        <v>176.51</v>
      </c>
      <c r="M530">
        <v>0</v>
      </c>
      <c r="N530">
        <v>5399.95</v>
      </c>
      <c r="O530">
        <v>1575.24</v>
      </c>
      <c r="P530">
        <v>3824.71</v>
      </c>
      <c r="Q530">
        <v>36.43</v>
      </c>
      <c r="R530">
        <v>326.75</v>
      </c>
      <c r="S530">
        <v>327</v>
      </c>
      <c r="T530">
        <v>139</v>
      </c>
      <c r="U530">
        <v>6</v>
      </c>
      <c r="V530">
        <v>57</v>
      </c>
      <c r="W530">
        <v>31</v>
      </c>
      <c r="X530">
        <v>27.55</v>
      </c>
      <c r="Y530">
        <v>1.67</v>
      </c>
      <c r="Z530">
        <v>70.83</v>
      </c>
      <c r="AA530">
        <v>2250</v>
      </c>
      <c r="AB530">
        <v>1147.54</v>
      </c>
      <c r="AC530">
        <v>360.87</v>
      </c>
      <c r="AD530">
        <v>110</v>
      </c>
      <c r="AE530">
        <v>179.44</v>
      </c>
      <c r="AF530">
        <v>4047.85</v>
      </c>
      <c r="AG530">
        <v>-586.3200000000001</v>
      </c>
      <c r="AH530">
        <v>-10.86</v>
      </c>
    </row>
    <row r="531" spans="1:34">
      <c r="A531" t="s">
        <v>985</v>
      </c>
      <c r="B531" t="s">
        <v>261</v>
      </c>
      <c r="C531" t="b">
        <v>0</v>
      </c>
      <c r="D531" t="b">
        <v>0</v>
      </c>
      <c r="E531" t="s">
        <v>1472</v>
      </c>
      <c r="F531" t="s">
        <v>1474</v>
      </c>
      <c r="G531" t="s">
        <v>81</v>
      </c>
      <c r="H531">
        <v>34.8</v>
      </c>
      <c r="I531">
        <v>17</v>
      </c>
      <c r="J531">
        <v>276</v>
      </c>
      <c r="K531">
        <v>9593.02</v>
      </c>
      <c r="L531">
        <v>388.67</v>
      </c>
      <c r="M531">
        <v>0</v>
      </c>
      <c r="N531">
        <v>9204.35</v>
      </c>
      <c r="O531">
        <v>2820.4</v>
      </c>
      <c r="P531">
        <v>6383.95</v>
      </c>
      <c r="Q531">
        <v>63.48</v>
      </c>
      <c r="R531">
        <v>476.19</v>
      </c>
      <c r="S531">
        <v>522</v>
      </c>
      <c r="T531">
        <v>198</v>
      </c>
      <c r="U531">
        <v>11</v>
      </c>
      <c r="V531">
        <v>78</v>
      </c>
      <c r="W531">
        <v>51</v>
      </c>
      <c r="X531">
        <v>33.35</v>
      </c>
      <c r="Y531">
        <v>1.89</v>
      </c>
      <c r="Z531">
        <v>69.36</v>
      </c>
      <c r="AA531">
        <v>2250</v>
      </c>
      <c r="AB531">
        <v>1147.54</v>
      </c>
      <c r="AC531">
        <v>368.23</v>
      </c>
      <c r="AD531">
        <v>110</v>
      </c>
      <c r="AE531">
        <v>185.2</v>
      </c>
      <c r="AF531">
        <v>4060.97</v>
      </c>
      <c r="AG531">
        <v>1783.31</v>
      </c>
      <c r="AH531">
        <v>19.37</v>
      </c>
    </row>
    <row r="532" spans="1:34">
      <c r="A532" t="s">
        <v>986</v>
      </c>
      <c r="B532" t="s">
        <v>262</v>
      </c>
      <c r="C532" t="b">
        <v>1</v>
      </c>
      <c r="D532" t="b">
        <v>0</v>
      </c>
      <c r="E532" t="s">
        <v>1472</v>
      </c>
      <c r="F532" t="s">
        <v>1476</v>
      </c>
      <c r="G532" t="s">
        <v>81</v>
      </c>
      <c r="H532">
        <v>34.3</v>
      </c>
      <c r="I532">
        <v>18</v>
      </c>
      <c r="J532">
        <v>212</v>
      </c>
      <c r="K532">
        <v>8424.290000000001</v>
      </c>
      <c r="L532">
        <v>125.21</v>
      </c>
      <c r="M532">
        <v>18.26</v>
      </c>
      <c r="N532">
        <v>8280.82</v>
      </c>
      <c r="O532">
        <v>2457.13</v>
      </c>
      <c r="P532">
        <v>5823.69</v>
      </c>
      <c r="Q532">
        <v>63.68</v>
      </c>
      <c r="R532">
        <v>285.43</v>
      </c>
      <c r="S532">
        <v>456</v>
      </c>
      <c r="T532">
        <v>136</v>
      </c>
      <c r="U532">
        <v>9</v>
      </c>
      <c r="V532">
        <v>76</v>
      </c>
      <c r="W532">
        <v>34</v>
      </c>
      <c r="X532">
        <v>39.06</v>
      </c>
      <c r="Y532">
        <v>2.15</v>
      </c>
      <c r="Z532">
        <v>70.33</v>
      </c>
      <c r="AA532">
        <v>2250</v>
      </c>
      <c r="AB532">
        <v>1147.54</v>
      </c>
      <c r="AC532">
        <v>365.03</v>
      </c>
      <c r="AD532">
        <v>110</v>
      </c>
      <c r="AE532">
        <v>216.55</v>
      </c>
      <c r="AF532">
        <v>4089.12</v>
      </c>
      <c r="AG532">
        <v>1385.46</v>
      </c>
      <c r="AH532">
        <v>16.73</v>
      </c>
    </row>
    <row r="533" spans="1:34">
      <c r="A533" t="s">
        <v>987</v>
      </c>
      <c r="B533" t="s">
        <v>263</v>
      </c>
      <c r="C533" t="b">
        <v>1</v>
      </c>
      <c r="D533" t="b">
        <v>1</v>
      </c>
      <c r="E533" t="s">
        <v>1472</v>
      </c>
      <c r="F533" t="s">
        <v>1476</v>
      </c>
      <c r="G533" t="s">
        <v>289</v>
      </c>
      <c r="H533">
        <v>37.1</v>
      </c>
      <c r="I533">
        <v>19</v>
      </c>
      <c r="J533">
        <v>142</v>
      </c>
      <c r="K533">
        <v>5335.61</v>
      </c>
      <c r="L533">
        <v>131.3</v>
      </c>
      <c r="M533">
        <v>0</v>
      </c>
      <c r="N533">
        <v>5204.31</v>
      </c>
      <c r="O533">
        <v>1602.21</v>
      </c>
      <c r="P533">
        <v>3602.1</v>
      </c>
      <c r="Q533">
        <v>37.85</v>
      </c>
      <c r="R533">
        <v>313.17</v>
      </c>
      <c r="S533">
        <v>294</v>
      </c>
      <c r="T533">
        <v>99</v>
      </c>
      <c r="U533">
        <v>7</v>
      </c>
      <c r="V533">
        <v>43</v>
      </c>
      <c r="W533">
        <v>36</v>
      </c>
      <c r="X533">
        <v>36.65</v>
      </c>
      <c r="Y533">
        <v>2.07</v>
      </c>
      <c r="Z533">
        <v>69.20999999999999</v>
      </c>
      <c r="AA533">
        <v>2250</v>
      </c>
      <c r="AB533">
        <v>1147.54</v>
      </c>
      <c r="AC533">
        <v>372.55</v>
      </c>
      <c r="AD533">
        <v>110</v>
      </c>
      <c r="AE533">
        <v>188.91</v>
      </c>
      <c r="AF533">
        <v>4069</v>
      </c>
      <c r="AG533">
        <v>-817.92</v>
      </c>
      <c r="AH533">
        <v>-15.72</v>
      </c>
    </row>
    <row r="534" spans="1:34">
      <c r="A534" t="s">
        <v>441</v>
      </c>
      <c r="B534" t="s">
        <v>75</v>
      </c>
      <c r="C534" t="b">
        <v>0</v>
      </c>
      <c r="D534" t="b">
        <v>1</v>
      </c>
      <c r="E534" t="s">
        <v>1472</v>
      </c>
      <c r="F534" t="s">
        <v>1476</v>
      </c>
      <c r="G534" t="s">
        <v>1499</v>
      </c>
      <c r="H534">
        <v>34.8</v>
      </c>
      <c r="I534">
        <v>20</v>
      </c>
      <c r="J534">
        <v>121</v>
      </c>
      <c r="K534">
        <v>5407.82</v>
      </c>
      <c r="L534">
        <v>73.91</v>
      </c>
      <c r="M534">
        <v>0</v>
      </c>
      <c r="N534">
        <v>5333.91</v>
      </c>
      <c r="O534">
        <v>1650.88</v>
      </c>
      <c r="P534">
        <v>3683.03</v>
      </c>
      <c r="Q534">
        <v>32.8</v>
      </c>
      <c r="R534">
        <v>386.83</v>
      </c>
      <c r="S534">
        <v>293</v>
      </c>
      <c r="T534">
        <v>82</v>
      </c>
      <c r="U534">
        <v>5</v>
      </c>
      <c r="V534">
        <v>39</v>
      </c>
      <c r="W534">
        <v>41</v>
      </c>
      <c r="X534">
        <v>44.08</v>
      </c>
      <c r="Y534">
        <v>2.42</v>
      </c>
      <c r="Z534">
        <v>69.05</v>
      </c>
      <c r="AA534">
        <v>2250</v>
      </c>
      <c r="AB534">
        <v>1147.54</v>
      </c>
      <c r="AC534">
        <v>330.01</v>
      </c>
      <c r="AD534">
        <v>110</v>
      </c>
      <c r="AE534">
        <v>182.6</v>
      </c>
      <c r="AF534">
        <v>4020.15</v>
      </c>
      <c r="AG534">
        <v>-756.75</v>
      </c>
      <c r="AH534">
        <v>-14.19</v>
      </c>
    </row>
    <row r="535" spans="1:34">
      <c r="A535" t="s">
        <v>988</v>
      </c>
      <c r="B535" t="s">
        <v>258</v>
      </c>
      <c r="C535" t="b">
        <v>0</v>
      </c>
      <c r="D535" t="b">
        <v>1</v>
      </c>
      <c r="E535" t="s">
        <v>1472</v>
      </c>
      <c r="F535" t="s">
        <v>1476</v>
      </c>
      <c r="G535" t="s">
        <v>1499</v>
      </c>
      <c r="H535">
        <v>36.4</v>
      </c>
      <c r="I535">
        <v>21</v>
      </c>
      <c r="J535">
        <v>158</v>
      </c>
      <c r="K535">
        <v>6941.73</v>
      </c>
      <c r="L535">
        <v>129.56</v>
      </c>
      <c r="M535">
        <v>13.91</v>
      </c>
      <c r="N535">
        <v>6798.26</v>
      </c>
      <c r="O535">
        <v>2097.65</v>
      </c>
      <c r="P535">
        <v>4700.61</v>
      </c>
      <c r="Q535">
        <v>52.35</v>
      </c>
      <c r="R535">
        <v>376.25</v>
      </c>
      <c r="S535">
        <v>377</v>
      </c>
      <c r="T535">
        <v>110</v>
      </c>
      <c r="U535">
        <v>13</v>
      </c>
      <c r="V535">
        <v>48</v>
      </c>
      <c r="W535">
        <v>34</v>
      </c>
      <c r="X535">
        <v>43.03</v>
      </c>
      <c r="Y535">
        <v>2.39</v>
      </c>
      <c r="Z535">
        <v>69.14</v>
      </c>
      <c r="AA535">
        <v>2250</v>
      </c>
      <c r="AB535">
        <v>1147.54</v>
      </c>
      <c r="AC535">
        <v>364.52</v>
      </c>
      <c r="AD535">
        <v>110</v>
      </c>
      <c r="AE535">
        <v>199.41</v>
      </c>
      <c r="AF535">
        <v>4071.47</v>
      </c>
      <c r="AG535">
        <v>200.54</v>
      </c>
      <c r="AH535">
        <v>2.95</v>
      </c>
    </row>
    <row r="536" spans="1:34">
      <c r="A536" t="s">
        <v>989</v>
      </c>
      <c r="B536" t="s">
        <v>259</v>
      </c>
      <c r="C536" t="b">
        <v>0</v>
      </c>
      <c r="D536" t="b">
        <v>1</v>
      </c>
      <c r="E536" t="s">
        <v>1472</v>
      </c>
      <c r="F536" t="s">
        <v>1476</v>
      </c>
      <c r="G536" t="s">
        <v>1499</v>
      </c>
      <c r="H536">
        <v>35.1</v>
      </c>
      <c r="I536">
        <v>22</v>
      </c>
      <c r="J536">
        <v>174</v>
      </c>
      <c r="K536">
        <v>7532.97</v>
      </c>
      <c r="L536">
        <v>226.94</v>
      </c>
      <c r="M536">
        <v>0</v>
      </c>
      <c r="N536">
        <v>7306.03</v>
      </c>
      <c r="O536">
        <v>2257.01</v>
      </c>
      <c r="P536">
        <v>5049.02</v>
      </c>
      <c r="Q536">
        <v>43.29</v>
      </c>
      <c r="R536">
        <v>532.04</v>
      </c>
      <c r="S536">
        <v>410</v>
      </c>
      <c r="T536">
        <v>129</v>
      </c>
      <c r="U536">
        <v>11</v>
      </c>
      <c r="V536">
        <v>45</v>
      </c>
      <c r="W536">
        <v>51</v>
      </c>
      <c r="X536">
        <v>41.99</v>
      </c>
      <c r="Y536">
        <v>2.36</v>
      </c>
      <c r="Z536">
        <v>69.11</v>
      </c>
      <c r="AA536">
        <v>2250</v>
      </c>
      <c r="AB536">
        <v>1147.54</v>
      </c>
      <c r="AC536">
        <v>351.71</v>
      </c>
      <c r="AD536">
        <v>110</v>
      </c>
      <c r="AE536">
        <v>190.59</v>
      </c>
      <c r="AF536">
        <v>4049.84</v>
      </c>
      <c r="AG536">
        <v>423.85</v>
      </c>
      <c r="AH536">
        <v>5.8</v>
      </c>
    </row>
    <row r="537" spans="1:34">
      <c r="A537" t="s">
        <v>990</v>
      </c>
      <c r="B537" t="s">
        <v>260</v>
      </c>
      <c r="C537" t="b">
        <v>0</v>
      </c>
      <c r="D537" t="b">
        <v>1</v>
      </c>
      <c r="E537" t="s">
        <v>1472</v>
      </c>
      <c r="F537" t="s">
        <v>1476</v>
      </c>
      <c r="G537" t="s">
        <v>1499</v>
      </c>
      <c r="H537">
        <v>36.8</v>
      </c>
      <c r="I537">
        <v>23</v>
      </c>
      <c r="J537">
        <v>164</v>
      </c>
      <c r="K537">
        <v>7251.25</v>
      </c>
      <c r="L537">
        <v>153.91</v>
      </c>
      <c r="M537">
        <v>12.17</v>
      </c>
      <c r="N537">
        <v>7085.17</v>
      </c>
      <c r="O537">
        <v>2185.63</v>
      </c>
      <c r="P537">
        <v>4899.54</v>
      </c>
      <c r="Q537">
        <v>52.03</v>
      </c>
      <c r="R537">
        <v>290.59</v>
      </c>
      <c r="S537">
        <v>390</v>
      </c>
      <c r="T537">
        <v>109</v>
      </c>
      <c r="U537">
        <v>7</v>
      </c>
      <c r="V537">
        <v>55</v>
      </c>
      <c r="W537">
        <v>35</v>
      </c>
      <c r="X537">
        <v>43.2</v>
      </c>
      <c r="Y537">
        <v>2.38</v>
      </c>
      <c r="Z537">
        <v>69.15000000000001</v>
      </c>
      <c r="AA537">
        <v>2250</v>
      </c>
      <c r="AB537">
        <v>1147.54</v>
      </c>
      <c r="AC537">
        <v>349.32</v>
      </c>
      <c r="AD537">
        <v>110</v>
      </c>
      <c r="AE537">
        <v>189.11</v>
      </c>
      <c r="AF537">
        <v>4045.97</v>
      </c>
      <c r="AG537">
        <v>510.95</v>
      </c>
      <c r="AH537">
        <v>7.21</v>
      </c>
    </row>
    <row r="538" spans="1:34">
      <c r="A538" t="s">
        <v>991</v>
      </c>
      <c r="B538" t="s">
        <v>261</v>
      </c>
      <c r="C538" t="b">
        <v>0</v>
      </c>
      <c r="D538" t="b">
        <v>0</v>
      </c>
      <c r="E538" t="s">
        <v>1472</v>
      </c>
      <c r="F538" t="s">
        <v>1476</v>
      </c>
      <c r="G538" t="s">
        <v>1490</v>
      </c>
      <c r="H538">
        <v>36.7</v>
      </c>
      <c r="I538">
        <v>24</v>
      </c>
      <c r="J538">
        <v>200</v>
      </c>
      <c r="K538">
        <v>6609.47</v>
      </c>
      <c r="L538">
        <v>228.68</v>
      </c>
      <c r="M538">
        <v>20</v>
      </c>
      <c r="N538">
        <v>6360.79</v>
      </c>
      <c r="O538">
        <v>1870.1</v>
      </c>
      <c r="P538">
        <v>4490.69</v>
      </c>
      <c r="Q538">
        <v>43.85</v>
      </c>
      <c r="R538">
        <v>318.13</v>
      </c>
      <c r="S538">
        <v>390</v>
      </c>
      <c r="T538">
        <v>138</v>
      </c>
      <c r="U538">
        <v>6</v>
      </c>
      <c r="V538">
        <v>62</v>
      </c>
      <c r="W538">
        <v>39</v>
      </c>
      <c r="X538">
        <v>31.8</v>
      </c>
      <c r="Y538">
        <v>1.95</v>
      </c>
      <c r="Z538">
        <v>70.59999999999999</v>
      </c>
      <c r="AA538">
        <v>2250</v>
      </c>
      <c r="AB538">
        <v>1147.54</v>
      </c>
      <c r="AC538">
        <v>349.88</v>
      </c>
      <c r="AD538">
        <v>110</v>
      </c>
      <c r="AE538">
        <v>193.18</v>
      </c>
      <c r="AF538">
        <v>4050.6</v>
      </c>
      <c r="AG538">
        <v>78.11</v>
      </c>
      <c r="AH538">
        <v>1.23</v>
      </c>
    </row>
    <row r="539" spans="1:34">
      <c r="A539" t="s">
        <v>992</v>
      </c>
      <c r="B539" t="s">
        <v>262</v>
      </c>
      <c r="C539" t="b">
        <v>1</v>
      </c>
      <c r="D539" t="b">
        <v>0</v>
      </c>
      <c r="E539" t="s">
        <v>1472</v>
      </c>
      <c r="F539" t="s">
        <v>1476</v>
      </c>
      <c r="G539" t="s">
        <v>1490</v>
      </c>
      <c r="H539">
        <v>37.2</v>
      </c>
      <c r="I539">
        <v>25</v>
      </c>
      <c r="J539">
        <v>176</v>
      </c>
      <c r="K539">
        <v>7070.33</v>
      </c>
      <c r="L539">
        <v>194.77</v>
      </c>
      <c r="M539">
        <v>36.52</v>
      </c>
      <c r="N539">
        <v>6839.04</v>
      </c>
      <c r="O539">
        <v>2017.98</v>
      </c>
      <c r="P539">
        <v>4821.06</v>
      </c>
      <c r="Q539">
        <v>40.15</v>
      </c>
      <c r="R539">
        <v>489.13</v>
      </c>
      <c r="S539">
        <v>412</v>
      </c>
      <c r="T539">
        <v>130</v>
      </c>
      <c r="U539">
        <v>12</v>
      </c>
      <c r="V539">
        <v>46</v>
      </c>
      <c r="W539">
        <v>50</v>
      </c>
      <c r="X539">
        <v>38.86</v>
      </c>
      <c r="Y539">
        <v>2.34</v>
      </c>
      <c r="Z539">
        <v>70.48999999999999</v>
      </c>
      <c r="AA539">
        <v>2250</v>
      </c>
      <c r="AB539">
        <v>1147.54</v>
      </c>
      <c r="AC539">
        <v>373.35</v>
      </c>
      <c r="AD539">
        <v>110</v>
      </c>
      <c r="AE539">
        <v>198.99</v>
      </c>
      <c r="AF539">
        <v>4079.88</v>
      </c>
      <c r="AG539">
        <v>211.9</v>
      </c>
      <c r="AH539">
        <v>3.1</v>
      </c>
    </row>
    <row r="540" spans="1:34">
      <c r="A540" t="s">
        <v>993</v>
      </c>
      <c r="B540" t="s">
        <v>263</v>
      </c>
      <c r="C540" t="b">
        <v>1</v>
      </c>
      <c r="D540" t="b">
        <v>0</v>
      </c>
      <c r="E540" t="s">
        <v>1472</v>
      </c>
      <c r="F540" t="s">
        <v>1476</v>
      </c>
      <c r="G540" t="s">
        <v>1490</v>
      </c>
      <c r="H540">
        <v>37</v>
      </c>
      <c r="I540">
        <v>26</v>
      </c>
      <c r="J540">
        <v>137</v>
      </c>
      <c r="K540">
        <v>5015.6</v>
      </c>
      <c r="L540">
        <v>168.69</v>
      </c>
      <c r="M540">
        <v>0</v>
      </c>
      <c r="N540">
        <v>4846.91</v>
      </c>
      <c r="O540">
        <v>1451.42</v>
      </c>
      <c r="P540">
        <v>3395.49</v>
      </c>
      <c r="Q540">
        <v>36.03</v>
      </c>
      <c r="R540">
        <v>240.28</v>
      </c>
      <c r="S540">
        <v>282</v>
      </c>
      <c r="T540">
        <v>97</v>
      </c>
      <c r="U540">
        <v>4</v>
      </c>
      <c r="V540">
        <v>40</v>
      </c>
      <c r="W540">
        <v>25</v>
      </c>
      <c r="X540">
        <v>35.38</v>
      </c>
      <c r="Y540">
        <v>2.06</v>
      </c>
      <c r="Z540">
        <v>70.05</v>
      </c>
      <c r="AA540">
        <v>2250</v>
      </c>
      <c r="AB540">
        <v>1147.54</v>
      </c>
      <c r="AC540">
        <v>387.79</v>
      </c>
      <c r="AD540">
        <v>110</v>
      </c>
      <c r="AE540">
        <v>207.17</v>
      </c>
      <c r="AF540">
        <v>4102.5</v>
      </c>
      <c r="AG540">
        <v>-983.3200000000001</v>
      </c>
      <c r="AH540">
        <v>-20.29</v>
      </c>
    </row>
    <row r="541" spans="1:34">
      <c r="A541" t="s">
        <v>442</v>
      </c>
      <c r="B541" t="s">
        <v>75</v>
      </c>
      <c r="C541" t="b">
        <v>0</v>
      </c>
      <c r="D541" t="b">
        <v>0</v>
      </c>
      <c r="E541" t="s">
        <v>1472</v>
      </c>
      <c r="F541" t="s">
        <v>1476</v>
      </c>
      <c r="G541" t="s">
        <v>81</v>
      </c>
      <c r="H541">
        <v>36.8</v>
      </c>
      <c r="I541">
        <v>27</v>
      </c>
      <c r="J541">
        <v>183</v>
      </c>
      <c r="K541">
        <v>5310.31</v>
      </c>
      <c r="L541">
        <v>90.43000000000001</v>
      </c>
      <c r="M541">
        <v>20</v>
      </c>
      <c r="N541">
        <v>5199.88</v>
      </c>
      <c r="O541">
        <v>1488.84</v>
      </c>
      <c r="P541">
        <v>3711.04</v>
      </c>
      <c r="Q541">
        <v>37.46</v>
      </c>
      <c r="R541">
        <v>312.01</v>
      </c>
      <c r="S541">
        <v>301</v>
      </c>
      <c r="T541">
        <v>138</v>
      </c>
      <c r="U541">
        <v>7</v>
      </c>
      <c r="V541">
        <v>45</v>
      </c>
      <c r="W541">
        <v>37</v>
      </c>
      <c r="X541">
        <v>28.41</v>
      </c>
      <c r="Y541">
        <v>1.64</v>
      </c>
      <c r="Z541">
        <v>71.37</v>
      </c>
      <c r="AA541">
        <v>2250</v>
      </c>
      <c r="AB541">
        <v>1147.54</v>
      </c>
      <c r="AC541">
        <v>383.65</v>
      </c>
      <c r="AD541">
        <v>110</v>
      </c>
      <c r="AE541">
        <v>157.45</v>
      </c>
      <c r="AF541">
        <v>4048.64</v>
      </c>
      <c r="AG541">
        <v>-687.0700000000001</v>
      </c>
      <c r="AH541">
        <v>-13.21</v>
      </c>
    </row>
    <row r="542" spans="1:34">
      <c r="A542" t="s">
        <v>994</v>
      </c>
      <c r="B542" t="s">
        <v>258</v>
      </c>
      <c r="C542" t="b">
        <v>0</v>
      </c>
      <c r="D542" t="b">
        <v>0</v>
      </c>
      <c r="E542" t="s">
        <v>1472</v>
      </c>
      <c r="F542" t="s">
        <v>1476</v>
      </c>
      <c r="G542" t="s">
        <v>81</v>
      </c>
      <c r="H542">
        <v>34.5</v>
      </c>
      <c r="I542">
        <v>28</v>
      </c>
      <c r="J542">
        <v>165</v>
      </c>
      <c r="K542">
        <v>4960.77</v>
      </c>
      <c r="L542">
        <v>76.52</v>
      </c>
      <c r="M542">
        <v>19.13</v>
      </c>
      <c r="N542">
        <v>4865.12</v>
      </c>
      <c r="O542">
        <v>1390.37</v>
      </c>
      <c r="P542">
        <v>3474.75</v>
      </c>
      <c r="Q542">
        <v>29.53</v>
      </c>
      <c r="R542">
        <v>308.4</v>
      </c>
      <c r="S542">
        <v>290</v>
      </c>
      <c r="T542">
        <v>123</v>
      </c>
      <c r="U542">
        <v>7</v>
      </c>
      <c r="V542">
        <v>42</v>
      </c>
      <c r="W542">
        <v>39</v>
      </c>
      <c r="X542">
        <v>29.49</v>
      </c>
      <c r="Y542">
        <v>1.76</v>
      </c>
      <c r="Z542">
        <v>71.42</v>
      </c>
      <c r="AA542">
        <v>2250</v>
      </c>
      <c r="AB542">
        <v>1147.54</v>
      </c>
      <c r="AC542">
        <v>343.3</v>
      </c>
      <c r="AD542">
        <v>110</v>
      </c>
      <c r="AE542">
        <v>186.28</v>
      </c>
      <c r="AF542">
        <v>4037.12</v>
      </c>
      <c r="AG542">
        <v>-900.3</v>
      </c>
      <c r="AH542">
        <v>-18.51</v>
      </c>
    </row>
    <row r="543" spans="1:34">
      <c r="A543" t="s">
        <v>995</v>
      </c>
      <c r="B543" t="s">
        <v>259</v>
      </c>
      <c r="C543" t="b">
        <v>0</v>
      </c>
      <c r="D543" t="b">
        <v>0</v>
      </c>
      <c r="E543" t="s">
        <v>1472</v>
      </c>
      <c r="F543" t="s">
        <v>1476</v>
      </c>
      <c r="G543" t="s">
        <v>81</v>
      </c>
      <c r="H543">
        <v>34.6</v>
      </c>
      <c r="I543">
        <v>29</v>
      </c>
      <c r="J543">
        <v>161</v>
      </c>
      <c r="K543">
        <v>4762.48</v>
      </c>
      <c r="L543">
        <v>191.29</v>
      </c>
      <c r="M543">
        <v>0</v>
      </c>
      <c r="N543">
        <v>4571.19</v>
      </c>
      <c r="O543">
        <v>1336.32</v>
      </c>
      <c r="P543">
        <v>3234.87</v>
      </c>
      <c r="Q543">
        <v>29.48</v>
      </c>
      <c r="R543">
        <v>306.23</v>
      </c>
      <c r="S543">
        <v>277</v>
      </c>
      <c r="T543">
        <v>126</v>
      </c>
      <c r="U543">
        <v>5</v>
      </c>
      <c r="V543">
        <v>35</v>
      </c>
      <c r="W543">
        <v>34</v>
      </c>
      <c r="X543">
        <v>28.39</v>
      </c>
      <c r="Y543">
        <v>1.72</v>
      </c>
      <c r="Z543">
        <v>70.77</v>
      </c>
      <c r="AA543">
        <v>2250</v>
      </c>
      <c r="AB543">
        <v>1147.54</v>
      </c>
      <c r="AC543">
        <v>337.77</v>
      </c>
      <c r="AD543">
        <v>110</v>
      </c>
      <c r="AE543">
        <v>159.86</v>
      </c>
      <c r="AF543">
        <v>4005.17</v>
      </c>
      <c r="AG543">
        <v>-1106.01</v>
      </c>
      <c r="AH543">
        <v>-24.2</v>
      </c>
    </row>
    <row r="544" spans="1:34">
      <c r="A544" t="s">
        <v>996</v>
      </c>
      <c r="B544" t="s">
        <v>260</v>
      </c>
      <c r="C544" t="b">
        <v>0</v>
      </c>
      <c r="D544" t="b">
        <v>0</v>
      </c>
      <c r="E544" t="s">
        <v>1472</v>
      </c>
      <c r="F544" t="s">
        <v>1476</v>
      </c>
      <c r="G544" t="s">
        <v>81</v>
      </c>
      <c r="H544">
        <v>37.6</v>
      </c>
      <c r="I544">
        <v>30</v>
      </c>
      <c r="J544">
        <v>151</v>
      </c>
      <c r="K544">
        <v>4828.65</v>
      </c>
      <c r="L544">
        <v>145.21</v>
      </c>
      <c r="M544">
        <v>40</v>
      </c>
      <c r="N544">
        <v>4643.44</v>
      </c>
      <c r="O544">
        <v>1392</v>
      </c>
      <c r="P544">
        <v>3251.44</v>
      </c>
      <c r="Q544">
        <v>30.86</v>
      </c>
      <c r="R544">
        <v>313.2</v>
      </c>
      <c r="S544">
        <v>273</v>
      </c>
      <c r="T544">
        <v>114</v>
      </c>
      <c r="U544">
        <v>7</v>
      </c>
      <c r="V544">
        <v>37</v>
      </c>
      <c r="W544">
        <v>35</v>
      </c>
      <c r="X544">
        <v>30.75</v>
      </c>
      <c r="Y544">
        <v>1.81</v>
      </c>
      <c r="Z544">
        <v>70.02</v>
      </c>
      <c r="AA544">
        <v>2250</v>
      </c>
      <c r="AB544">
        <v>1147.54</v>
      </c>
      <c r="AC544">
        <v>382.04</v>
      </c>
      <c r="AD544">
        <v>110</v>
      </c>
      <c r="AE544">
        <v>201.16</v>
      </c>
      <c r="AF544">
        <v>4090.74</v>
      </c>
      <c r="AG544">
        <v>-1183.36</v>
      </c>
      <c r="AH544">
        <v>-25.48</v>
      </c>
    </row>
    <row r="545" spans="1:34">
      <c r="A545" t="s">
        <v>997</v>
      </c>
      <c r="B545" t="s">
        <v>261</v>
      </c>
      <c r="C545" t="b">
        <v>0</v>
      </c>
      <c r="D545" t="b">
        <v>0</v>
      </c>
      <c r="E545" t="s">
        <v>1472</v>
      </c>
      <c r="F545" t="s">
        <v>1476</v>
      </c>
      <c r="G545" t="s">
        <v>1477</v>
      </c>
      <c r="H545">
        <v>36.4</v>
      </c>
      <c r="I545">
        <v>0</v>
      </c>
      <c r="J545">
        <v>250</v>
      </c>
      <c r="K545">
        <v>8797.24</v>
      </c>
      <c r="L545">
        <v>216.51</v>
      </c>
      <c r="M545">
        <v>38.26</v>
      </c>
      <c r="N545">
        <v>8542.469999999999</v>
      </c>
      <c r="O545">
        <v>2450.02</v>
      </c>
      <c r="P545">
        <v>6092.45</v>
      </c>
      <c r="Q545">
        <v>56.97</v>
      </c>
      <c r="R545">
        <v>554.41</v>
      </c>
      <c r="S545">
        <v>504</v>
      </c>
      <c r="T545">
        <v>170</v>
      </c>
      <c r="U545">
        <v>8</v>
      </c>
      <c r="V545">
        <v>80</v>
      </c>
      <c r="W545">
        <v>53</v>
      </c>
      <c r="X545">
        <v>34.17</v>
      </c>
      <c r="Y545">
        <v>2.02</v>
      </c>
      <c r="Z545">
        <v>71.31999999999999</v>
      </c>
      <c r="AA545">
        <v>2250</v>
      </c>
      <c r="AB545">
        <v>1147.54</v>
      </c>
      <c r="AC545">
        <v>377.61</v>
      </c>
      <c r="AD545">
        <v>110</v>
      </c>
      <c r="AE545">
        <v>153.13</v>
      </c>
      <c r="AF545">
        <v>4038.28</v>
      </c>
      <c r="AG545">
        <v>1442.79</v>
      </c>
      <c r="AH545">
        <v>16.89</v>
      </c>
    </row>
    <row r="546" spans="1:34">
      <c r="A546" t="s">
        <v>998</v>
      </c>
      <c r="B546" t="s">
        <v>262</v>
      </c>
      <c r="C546" t="b">
        <v>1</v>
      </c>
      <c r="D546" t="b">
        <v>0</v>
      </c>
      <c r="E546" t="s">
        <v>1472</v>
      </c>
      <c r="F546" t="s">
        <v>1476</v>
      </c>
      <c r="G546" t="s">
        <v>1477</v>
      </c>
      <c r="H546">
        <v>37.4</v>
      </c>
      <c r="I546">
        <v>1</v>
      </c>
      <c r="J546">
        <v>174</v>
      </c>
      <c r="K546">
        <v>6626.89</v>
      </c>
      <c r="L546">
        <v>156.52</v>
      </c>
      <c r="M546">
        <v>0</v>
      </c>
      <c r="N546">
        <v>6470.37</v>
      </c>
      <c r="O546">
        <v>1928.35</v>
      </c>
      <c r="P546">
        <v>4542.02</v>
      </c>
      <c r="Q546">
        <v>43.73</v>
      </c>
      <c r="R546">
        <v>366.57</v>
      </c>
      <c r="S546">
        <v>373</v>
      </c>
      <c r="T546">
        <v>125</v>
      </c>
      <c r="U546">
        <v>5</v>
      </c>
      <c r="V546">
        <v>49</v>
      </c>
      <c r="W546">
        <v>43</v>
      </c>
      <c r="X546">
        <v>37.19</v>
      </c>
      <c r="Y546">
        <v>2.14</v>
      </c>
      <c r="Z546">
        <v>70.2</v>
      </c>
      <c r="AA546">
        <v>2250</v>
      </c>
      <c r="AB546">
        <v>1147.54</v>
      </c>
      <c r="AC546">
        <v>396.94</v>
      </c>
      <c r="AD546">
        <v>110</v>
      </c>
      <c r="AE546">
        <v>191.56</v>
      </c>
      <c r="AF546">
        <v>4096.04</v>
      </c>
      <c r="AG546">
        <v>35.68</v>
      </c>
      <c r="AH546">
        <v>0.55</v>
      </c>
    </row>
    <row r="547" spans="1:34">
      <c r="A547" t="s">
        <v>999</v>
      </c>
      <c r="B547" t="s">
        <v>263</v>
      </c>
      <c r="C547" t="b">
        <v>1</v>
      </c>
      <c r="D547" t="b">
        <v>0</v>
      </c>
      <c r="E547" t="s">
        <v>1472</v>
      </c>
      <c r="F547" t="s">
        <v>1476</v>
      </c>
      <c r="G547" t="s">
        <v>1477</v>
      </c>
      <c r="H547">
        <v>37.6</v>
      </c>
      <c r="I547">
        <v>2</v>
      </c>
      <c r="J547">
        <v>178</v>
      </c>
      <c r="K547">
        <v>6996.36</v>
      </c>
      <c r="L547">
        <v>126.09</v>
      </c>
      <c r="M547">
        <v>0</v>
      </c>
      <c r="N547">
        <v>6870.27</v>
      </c>
      <c r="O547">
        <v>2033.3</v>
      </c>
      <c r="P547">
        <v>4836.97</v>
      </c>
      <c r="Q547">
        <v>50.22</v>
      </c>
      <c r="R547">
        <v>358.32</v>
      </c>
      <c r="S547">
        <v>400</v>
      </c>
      <c r="T547">
        <v>120</v>
      </c>
      <c r="U547">
        <v>5</v>
      </c>
      <c r="V547">
        <v>58</v>
      </c>
      <c r="W547">
        <v>38</v>
      </c>
      <c r="X547">
        <v>38.6</v>
      </c>
      <c r="Y547">
        <v>2.25</v>
      </c>
      <c r="Z547">
        <v>70.40000000000001</v>
      </c>
      <c r="AA547">
        <v>2250</v>
      </c>
      <c r="AB547">
        <v>1147.54</v>
      </c>
      <c r="AC547">
        <v>373.48</v>
      </c>
      <c r="AD547">
        <v>110</v>
      </c>
      <c r="AE547">
        <v>174.17</v>
      </c>
      <c r="AF547">
        <v>4055.19</v>
      </c>
      <c r="AG547">
        <v>373.24</v>
      </c>
      <c r="AH547">
        <v>5.43</v>
      </c>
    </row>
    <row r="548" spans="1:34">
      <c r="A548" t="s">
        <v>443</v>
      </c>
      <c r="B548" t="s">
        <v>75</v>
      </c>
      <c r="C548" t="b">
        <v>0</v>
      </c>
      <c r="D548" t="b">
        <v>0</v>
      </c>
      <c r="E548" t="s">
        <v>1472</v>
      </c>
      <c r="F548" t="s">
        <v>1476</v>
      </c>
      <c r="G548" t="s">
        <v>1477</v>
      </c>
      <c r="H548">
        <v>39.1</v>
      </c>
      <c r="I548">
        <v>3</v>
      </c>
      <c r="J548">
        <v>153</v>
      </c>
      <c r="K548">
        <v>5112.1</v>
      </c>
      <c r="L548">
        <v>100.86</v>
      </c>
      <c r="M548">
        <v>0</v>
      </c>
      <c r="N548">
        <v>5011.24</v>
      </c>
      <c r="O548">
        <v>1473.25</v>
      </c>
      <c r="P548">
        <v>3537.99</v>
      </c>
      <c r="Q548">
        <v>35.95</v>
      </c>
      <c r="R548">
        <v>261.31</v>
      </c>
      <c r="S548">
        <v>297</v>
      </c>
      <c r="T548">
        <v>114</v>
      </c>
      <c r="U548">
        <v>5</v>
      </c>
      <c r="V548">
        <v>39</v>
      </c>
      <c r="W548">
        <v>34</v>
      </c>
      <c r="X548">
        <v>32.75</v>
      </c>
      <c r="Y548">
        <v>1.94</v>
      </c>
      <c r="Z548">
        <v>70.59999999999999</v>
      </c>
      <c r="AA548">
        <v>2250</v>
      </c>
      <c r="AB548">
        <v>1147.54</v>
      </c>
      <c r="AC548">
        <v>371.77</v>
      </c>
      <c r="AD548">
        <v>110</v>
      </c>
      <c r="AE548">
        <v>205.28</v>
      </c>
      <c r="AF548">
        <v>4084.59</v>
      </c>
      <c r="AG548">
        <v>-843.86</v>
      </c>
      <c r="AH548">
        <v>-16.84</v>
      </c>
    </row>
    <row r="549" spans="1:34">
      <c r="A549" t="s">
        <v>1000</v>
      </c>
      <c r="B549" t="s">
        <v>258</v>
      </c>
      <c r="C549" t="b">
        <v>0</v>
      </c>
      <c r="D549" t="b">
        <v>0</v>
      </c>
      <c r="E549" t="s">
        <v>1472</v>
      </c>
      <c r="F549" t="s">
        <v>1476</v>
      </c>
      <c r="G549" t="s">
        <v>1500</v>
      </c>
      <c r="H549">
        <v>38.7</v>
      </c>
      <c r="I549">
        <v>4</v>
      </c>
      <c r="J549">
        <v>207</v>
      </c>
      <c r="K549">
        <v>6482.46</v>
      </c>
      <c r="L549">
        <v>395.44</v>
      </c>
      <c r="M549">
        <v>18.26</v>
      </c>
      <c r="N549">
        <v>6068.76</v>
      </c>
      <c r="O549">
        <v>1914.23</v>
      </c>
      <c r="P549">
        <v>4154.53</v>
      </c>
      <c r="Q549">
        <v>38.5</v>
      </c>
      <c r="R549">
        <v>416.73</v>
      </c>
      <c r="S549">
        <v>382</v>
      </c>
      <c r="T549">
        <v>148</v>
      </c>
      <c r="U549">
        <v>10</v>
      </c>
      <c r="V549">
        <v>59</v>
      </c>
      <c r="W549">
        <v>40</v>
      </c>
      <c r="X549">
        <v>29.32</v>
      </c>
      <c r="Y549">
        <v>1.85</v>
      </c>
      <c r="Z549">
        <v>68.45999999999999</v>
      </c>
      <c r="AA549">
        <v>2177.42</v>
      </c>
      <c r="AB549">
        <v>1147.54</v>
      </c>
      <c r="AC549">
        <v>381.67</v>
      </c>
      <c r="AD549">
        <v>360</v>
      </c>
      <c r="AE549">
        <v>185.83</v>
      </c>
      <c r="AF549">
        <v>4252.46</v>
      </c>
      <c r="AG549">
        <v>-553.16</v>
      </c>
      <c r="AH549">
        <v>-9.109999999999999</v>
      </c>
    </row>
    <row r="550" spans="1:34">
      <c r="A550" t="s">
        <v>1001</v>
      </c>
      <c r="B550" t="s">
        <v>259</v>
      </c>
      <c r="C550" t="b">
        <v>0</v>
      </c>
      <c r="D550" t="b">
        <v>0</v>
      </c>
      <c r="E550" t="s">
        <v>1472</v>
      </c>
      <c r="F550" t="s">
        <v>1476</v>
      </c>
      <c r="G550" t="s">
        <v>1501</v>
      </c>
      <c r="H550">
        <v>37.8</v>
      </c>
      <c r="I550">
        <v>5</v>
      </c>
      <c r="J550">
        <v>212</v>
      </c>
      <c r="K550">
        <v>6633.77</v>
      </c>
      <c r="L550">
        <v>452.19</v>
      </c>
      <c r="M550">
        <v>16.52</v>
      </c>
      <c r="N550">
        <v>6165.06</v>
      </c>
      <c r="O550">
        <v>1992.9</v>
      </c>
      <c r="P550">
        <v>4172.16</v>
      </c>
      <c r="Q550">
        <v>41.15</v>
      </c>
      <c r="R550">
        <v>341.74</v>
      </c>
      <c r="S550">
        <v>380</v>
      </c>
      <c r="T550">
        <v>144</v>
      </c>
      <c r="U550">
        <v>8</v>
      </c>
      <c r="V550">
        <v>68</v>
      </c>
      <c r="W550">
        <v>38</v>
      </c>
      <c r="X550">
        <v>29.08</v>
      </c>
      <c r="Y550">
        <v>1.79</v>
      </c>
      <c r="Z550">
        <v>67.67</v>
      </c>
      <c r="AA550">
        <v>2177.42</v>
      </c>
      <c r="AB550">
        <v>1147.54</v>
      </c>
      <c r="AC550">
        <v>383.93</v>
      </c>
      <c r="AD550">
        <v>360</v>
      </c>
      <c r="AE550">
        <v>184.43</v>
      </c>
      <c r="AF550">
        <v>4253.32</v>
      </c>
      <c r="AG550">
        <v>-464.05</v>
      </c>
      <c r="AH550">
        <v>-7.53</v>
      </c>
    </row>
    <row r="551" spans="1:34">
      <c r="A551" t="s">
        <v>1002</v>
      </c>
      <c r="B551" t="s">
        <v>260</v>
      </c>
      <c r="C551" t="b">
        <v>0</v>
      </c>
      <c r="D551" t="b">
        <v>0</v>
      </c>
      <c r="E551" t="s">
        <v>1472</v>
      </c>
      <c r="F551" t="s">
        <v>1476</v>
      </c>
      <c r="G551" t="s">
        <v>1501</v>
      </c>
      <c r="H551">
        <v>37.5</v>
      </c>
      <c r="I551">
        <v>6</v>
      </c>
      <c r="J551">
        <v>202</v>
      </c>
      <c r="K551">
        <v>7252.01</v>
      </c>
      <c r="L551">
        <v>349.98</v>
      </c>
      <c r="M551">
        <v>20.87</v>
      </c>
      <c r="N551">
        <v>6881.16</v>
      </c>
      <c r="O551">
        <v>2093.96</v>
      </c>
      <c r="P551">
        <v>4787.2</v>
      </c>
      <c r="Q551">
        <v>41.74</v>
      </c>
      <c r="R551">
        <v>468.91</v>
      </c>
      <c r="S551">
        <v>414</v>
      </c>
      <c r="T551">
        <v>150</v>
      </c>
      <c r="U551">
        <v>13</v>
      </c>
      <c r="V551">
        <v>52</v>
      </c>
      <c r="W551">
        <v>52</v>
      </c>
      <c r="X551">
        <v>34.07</v>
      </c>
      <c r="Y551">
        <v>2.05</v>
      </c>
      <c r="Z551">
        <v>69.56999999999999</v>
      </c>
      <c r="AA551">
        <v>2177.42</v>
      </c>
      <c r="AB551">
        <v>1147.54</v>
      </c>
      <c r="AC551">
        <v>389.34</v>
      </c>
      <c r="AD551">
        <v>360</v>
      </c>
      <c r="AE551">
        <v>176.92</v>
      </c>
      <c r="AF551">
        <v>4251.22</v>
      </c>
      <c r="AG551">
        <v>25.33</v>
      </c>
      <c r="AH551">
        <v>0.37</v>
      </c>
    </row>
    <row r="552" spans="1:34">
      <c r="A552" t="s">
        <v>1003</v>
      </c>
      <c r="B552" t="s">
        <v>261</v>
      </c>
      <c r="C552" t="b">
        <v>0</v>
      </c>
      <c r="D552" t="b">
        <v>0</v>
      </c>
      <c r="E552" t="s">
        <v>1472</v>
      </c>
      <c r="F552" t="s">
        <v>1476</v>
      </c>
      <c r="G552" t="s">
        <v>1501</v>
      </c>
      <c r="H552">
        <v>39.5</v>
      </c>
      <c r="I552">
        <v>7</v>
      </c>
      <c r="J552">
        <v>245</v>
      </c>
      <c r="K552">
        <v>8495.58</v>
      </c>
      <c r="L552">
        <v>460.87</v>
      </c>
      <c r="M552">
        <v>0</v>
      </c>
      <c r="N552">
        <v>8034.71</v>
      </c>
      <c r="O552">
        <v>2475.17</v>
      </c>
      <c r="P552">
        <v>5559.54</v>
      </c>
      <c r="Q552">
        <v>51.7</v>
      </c>
      <c r="R552">
        <v>508.54</v>
      </c>
      <c r="S552">
        <v>478</v>
      </c>
      <c r="T552">
        <v>175</v>
      </c>
      <c r="U552">
        <v>19</v>
      </c>
      <c r="V552">
        <v>70</v>
      </c>
      <c r="W552">
        <v>57</v>
      </c>
      <c r="X552">
        <v>32.79</v>
      </c>
      <c r="Y552">
        <v>1.95</v>
      </c>
      <c r="Z552">
        <v>69.19</v>
      </c>
      <c r="AA552">
        <v>2177.42</v>
      </c>
      <c r="AB552">
        <v>1147.54</v>
      </c>
      <c r="AC552">
        <v>416.04</v>
      </c>
      <c r="AD552">
        <v>360</v>
      </c>
      <c r="AE552">
        <v>185.08</v>
      </c>
      <c r="AF552">
        <v>4286.08</v>
      </c>
      <c r="AG552">
        <v>713.22</v>
      </c>
      <c r="AH552">
        <v>8.880000000000001</v>
      </c>
    </row>
    <row r="553" spans="1:34">
      <c r="A553" t="s">
        <v>1004</v>
      </c>
      <c r="B553" t="s">
        <v>262</v>
      </c>
      <c r="C553" t="b">
        <v>1</v>
      </c>
      <c r="D553" t="b">
        <v>0</v>
      </c>
      <c r="E553" t="s">
        <v>1472</v>
      </c>
      <c r="F553" t="s">
        <v>1476</v>
      </c>
      <c r="G553" t="s">
        <v>81</v>
      </c>
      <c r="H553">
        <v>40.1</v>
      </c>
      <c r="I553">
        <v>8</v>
      </c>
      <c r="J553">
        <v>195</v>
      </c>
      <c r="K553">
        <v>7403.39</v>
      </c>
      <c r="L553">
        <v>115.65</v>
      </c>
      <c r="M553">
        <v>56.52</v>
      </c>
      <c r="N553">
        <v>7231.22</v>
      </c>
      <c r="O553">
        <v>2139.71</v>
      </c>
      <c r="P553">
        <v>5091.51</v>
      </c>
      <c r="Q553">
        <v>44.92</v>
      </c>
      <c r="R553">
        <v>518.55</v>
      </c>
      <c r="S553">
        <v>432</v>
      </c>
      <c r="T553">
        <v>142</v>
      </c>
      <c r="U553">
        <v>17</v>
      </c>
      <c r="V553">
        <v>53</v>
      </c>
      <c r="W553">
        <v>67</v>
      </c>
      <c r="X553">
        <v>37.08</v>
      </c>
      <c r="Y553">
        <v>2.22</v>
      </c>
      <c r="Z553">
        <v>70.41</v>
      </c>
      <c r="AA553">
        <v>2177.42</v>
      </c>
      <c r="AB553">
        <v>1147.54</v>
      </c>
      <c r="AC553">
        <v>407.4</v>
      </c>
      <c r="AD553">
        <v>110</v>
      </c>
      <c r="AE553">
        <v>208.02</v>
      </c>
      <c r="AF553">
        <v>4050.38</v>
      </c>
      <c r="AG553">
        <v>477.66</v>
      </c>
      <c r="AH553">
        <v>6.61</v>
      </c>
    </row>
    <row r="554" spans="1:34">
      <c r="A554" t="s">
        <v>1005</v>
      </c>
      <c r="B554" t="s">
        <v>263</v>
      </c>
      <c r="C554" t="b">
        <v>1</v>
      </c>
      <c r="D554" t="b">
        <v>0</v>
      </c>
      <c r="E554" t="s">
        <v>1472</v>
      </c>
      <c r="F554" t="s">
        <v>1476</v>
      </c>
      <c r="G554" t="s">
        <v>81</v>
      </c>
      <c r="H554">
        <v>38.9</v>
      </c>
      <c r="I554">
        <v>9</v>
      </c>
      <c r="J554">
        <v>225</v>
      </c>
      <c r="K554">
        <v>8757.299999999999</v>
      </c>
      <c r="L554">
        <v>252.17</v>
      </c>
      <c r="M554">
        <v>45.21</v>
      </c>
      <c r="N554">
        <v>8459.92</v>
      </c>
      <c r="O554">
        <v>2607.75</v>
      </c>
      <c r="P554">
        <v>5852.17</v>
      </c>
      <c r="Q554">
        <v>58.88</v>
      </c>
      <c r="R554">
        <v>505.24</v>
      </c>
      <c r="S554">
        <v>505</v>
      </c>
      <c r="T554">
        <v>158</v>
      </c>
      <c r="U554">
        <v>14</v>
      </c>
      <c r="V554">
        <v>67</v>
      </c>
      <c r="W554">
        <v>59</v>
      </c>
      <c r="X554">
        <v>37.6</v>
      </c>
      <c r="Y554">
        <v>2.24</v>
      </c>
      <c r="Z554">
        <v>69.18000000000001</v>
      </c>
      <c r="AA554">
        <v>2177.42</v>
      </c>
      <c r="AB554">
        <v>1147.54</v>
      </c>
      <c r="AC554">
        <v>387.03</v>
      </c>
      <c r="AD554">
        <v>110</v>
      </c>
      <c r="AE554">
        <v>163.67</v>
      </c>
      <c r="AF554">
        <v>3985.66</v>
      </c>
      <c r="AG554">
        <v>1302.39</v>
      </c>
      <c r="AH554">
        <v>15.39</v>
      </c>
    </row>
    <row r="555" spans="1:34">
      <c r="A555" t="s">
        <v>444</v>
      </c>
      <c r="B555" t="s">
        <v>75</v>
      </c>
      <c r="C555" t="b">
        <v>0</v>
      </c>
      <c r="D555" t="b">
        <v>0</v>
      </c>
      <c r="E555" t="s">
        <v>1472</v>
      </c>
      <c r="F555" t="s">
        <v>1476</v>
      </c>
      <c r="G555" t="s">
        <v>1501</v>
      </c>
      <c r="H555">
        <v>38</v>
      </c>
      <c r="I555">
        <v>10</v>
      </c>
      <c r="J555">
        <v>198</v>
      </c>
      <c r="K555">
        <v>5766.9</v>
      </c>
      <c r="L555">
        <v>419.37</v>
      </c>
      <c r="M555">
        <v>0</v>
      </c>
      <c r="N555">
        <v>5347.53</v>
      </c>
      <c r="O555">
        <v>1685.25</v>
      </c>
      <c r="P555">
        <v>3662.28</v>
      </c>
      <c r="Q555">
        <v>38.24</v>
      </c>
      <c r="R555">
        <v>279.98</v>
      </c>
      <c r="S555">
        <v>342</v>
      </c>
      <c r="T555">
        <v>138</v>
      </c>
      <c r="U555">
        <v>6</v>
      </c>
      <c r="V555">
        <v>60</v>
      </c>
      <c r="W555">
        <v>35</v>
      </c>
      <c r="X555">
        <v>27.01</v>
      </c>
      <c r="Y555">
        <v>1.73</v>
      </c>
      <c r="Z555">
        <v>68.48999999999999</v>
      </c>
      <c r="AA555">
        <v>2177.42</v>
      </c>
      <c r="AB555">
        <v>1147.54</v>
      </c>
      <c r="AC555">
        <v>404.6</v>
      </c>
      <c r="AD555">
        <v>360</v>
      </c>
      <c r="AE555">
        <v>166.16</v>
      </c>
      <c r="AF555">
        <v>4255.72</v>
      </c>
      <c r="AG555">
        <v>-911.66</v>
      </c>
      <c r="AH555">
        <v>-17.05</v>
      </c>
    </row>
    <row r="556" spans="1:34">
      <c r="A556" t="s">
        <v>1006</v>
      </c>
      <c r="B556" t="s">
        <v>258</v>
      </c>
      <c r="C556" t="b">
        <v>0</v>
      </c>
      <c r="D556" t="b">
        <v>0</v>
      </c>
      <c r="E556" t="s">
        <v>1472</v>
      </c>
      <c r="F556" t="s">
        <v>1476</v>
      </c>
      <c r="G556" t="s">
        <v>1501</v>
      </c>
      <c r="H556">
        <v>38.5</v>
      </c>
      <c r="I556">
        <v>11</v>
      </c>
      <c r="J556">
        <v>181</v>
      </c>
      <c r="K556">
        <v>5653.81</v>
      </c>
      <c r="L556">
        <v>338.02</v>
      </c>
      <c r="M556">
        <v>0</v>
      </c>
      <c r="N556">
        <v>5315.79</v>
      </c>
      <c r="O556">
        <v>1631.74</v>
      </c>
      <c r="P556">
        <v>3684.05</v>
      </c>
      <c r="Q556">
        <v>35.39</v>
      </c>
      <c r="R556">
        <v>308.29</v>
      </c>
      <c r="S556">
        <v>329</v>
      </c>
      <c r="T556">
        <v>125</v>
      </c>
      <c r="U556">
        <v>7</v>
      </c>
      <c r="V556">
        <v>56</v>
      </c>
      <c r="W556">
        <v>37</v>
      </c>
      <c r="X556">
        <v>29.37</v>
      </c>
      <c r="Y556">
        <v>1.82</v>
      </c>
      <c r="Z556">
        <v>69.3</v>
      </c>
      <c r="AA556">
        <v>2177.42</v>
      </c>
      <c r="AB556">
        <v>1147.54</v>
      </c>
      <c r="AC556">
        <v>410.36</v>
      </c>
      <c r="AD556">
        <v>360</v>
      </c>
      <c r="AE556">
        <v>191.27</v>
      </c>
      <c r="AF556">
        <v>4286.59</v>
      </c>
      <c r="AG556">
        <v>-946.22</v>
      </c>
      <c r="AH556">
        <v>-17.8</v>
      </c>
    </row>
    <row r="557" spans="1:34">
      <c r="A557" t="s">
        <v>1007</v>
      </c>
      <c r="B557" t="s">
        <v>259</v>
      </c>
      <c r="C557" t="b">
        <v>0</v>
      </c>
      <c r="D557" t="b">
        <v>0</v>
      </c>
      <c r="E557" t="s">
        <v>1472</v>
      </c>
      <c r="F557" t="s">
        <v>1476</v>
      </c>
      <c r="G557" t="s">
        <v>1501</v>
      </c>
      <c r="H557">
        <v>35.5</v>
      </c>
      <c r="I557">
        <v>12</v>
      </c>
      <c r="J557">
        <v>190</v>
      </c>
      <c r="K557">
        <v>6054.64</v>
      </c>
      <c r="L557">
        <v>486.73</v>
      </c>
      <c r="M557">
        <v>38.48</v>
      </c>
      <c r="N557">
        <v>5529.43</v>
      </c>
      <c r="O557">
        <v>1762.31</v>
      </c>
      <c r="P557">
        <v>3767.12</v>
      </c>
      <c r="Q557">
        <v>36.08</v>
      </c>
      <c r="R557">
        <v>350.06</v>
      </c>
      <c r="S557">
        <v>357</v>
      </c>
      <c r="T557">
        <v>145</v>
      </c>
      <c r="U557">
        <v>7</v>
      </c>
      <c r="V557">
        <v>45</v>
      </c>
      <c r="W557">
        <v>38</v>
      </c>
      <c r="X557">
        <v>29.1</v>
      </c>
      <c r="Y557">
        <v>1.88</v>
      </c>
      <c r="Z557">
        <v>68.13</v>
      </c>
      <c r="AA557">
        <v>2177.42</v>
      </c>
      <c r="AB557">
        <v>1147.54</v>
      </c>
      <c r="AC557">
        <v>365.82</v>
      </c>
      <c r="AD557">
        <v>360</v>
      </c>
      <c r="AE557">
        <v>173.18</v>
      </c>
      <c r="AF557">
        <v>4223.96</v>
      </c>
      <c r="AG557">
        <v>-842.98</v>
      </c>
      <c r="AH557">
        <v>-15.25</v>
      </c>
    </row>
    <row r="558" spans="1:34">
      <c r="A558" t="s">
        <v>1008</v>
      </c>
      <c r="B558" t="s">
        <v>260</v>
      </c>
      <c r="C558" t="b">
        <v>0</v>
      </c>
      <c r="D558" t="b">
        <v>0</v>
      </c>
      <c r="E558" t="s">
        <v>1472</v>
      </c>
      <c r="F558" t="s">
        <v>1476</v>
      </c>
      <c r="G558" t="s">
        <v>1501</v>
      </c>
      <c r="H558">
        <v>35.2</v>
      </c>
      <c r="I558">
        <v>13</v>
      </c>
      <c r="J558">
        <v>174</v>
      </c>
      <c r="K558">
        <v>6016.5</v>
      </c>
      <c r="L558">
        <v>298.02</v>
      </c>
      <c r="M558">
        <v>20.87</v>
      </c>
      <c r="N558">
        <v>5697.61</v>
      </c>
      <c r="O558">
        <v>1815.97</v>
      </c>
      <c r="P558">
        <v>3881.64</v>
      </c>
      <c r="Q558">
        <v>38.99</v>
      </c>
      <c r="R558">
        <v>272.12</v>
      </c>
      <c r="S558">
        <v>348</v>
      </c>
      <c r="T558">
        <v>111</v>
      </c>
      <c r="U558">
        <v>3</v>
      </c>
      <c r="V558">
        <v>63</v>
      </c>
      <c r="W558">
        <v>28</v>
      </c>
      <c r="X558">
        <v>32.74</v>
      </c>
      <c r="Y558">
        <v>2</v>
      </c>
      <c r="Z558">
        <v>68.13</v>
      </c>
      <c r="AA558">
        <v>2177.42</v>
      </c>
      <c r="AB558">
        <v>1147.54</v>
      </c>
      <c r="AC558">
        <v>378.33</v>
      </c>
      <c r="AD558">
        <v>360</v>
      </c>
      <c r="AE558">
        <v>212.43</v>
      </c>
      <c r="AF558">
        <v>4275.72</v>
      </c>
      <c r="AG558">
        <v>-705.1900000000001</v>
      </c>
      <c r="AH558">
        <v>-12.38</v>
      </c>
    </row>
    <row r="559" spans="1:34">
      <c r="A559" t="s">
        <v>1009</v>
      </c>
      <c r="B559" t="s">
        <v>261</v>
      </c>
      <c r="C559" t="b">
        <v>0</v>
      </c>
      <c r="D559" t="b">
        <v>0</v>
      </c>
      <c r="E559" t="s">
        <v>1472</v>
      </c>
      <c r="F559" t="s">
        <v>1476</v>
      </c>
      <c r="G559" t="s">
        <v>1501</v>
      </c>
      <c r="H559">
        <v>36.4</v>
      </c>
      <c r="I559">
        <v>14</v>
      </c>
      <c r="J559">
        <v>196</v>
      </c>
      <c r="K559">
        <v>6740.74</v>
      </c>
      <c r="L559">
        <v>420.87</v>
      </c>
      <c r="M559">
        <v>30.43</v>
      </c>
      <c r="N559">
        <v>6289.44</v>
      </c>
      <c r="O559">
        <v>1967.7</v>
      </c>
      <c r="P559">
        <v>4321.74</v>
      </c>
      <c r="Q559">
        <v>51.55</v>
      </c>
      <c r="R559">
        <v>216.98</v>
      </c>
      <c r="S559">
        <v>386</v>
      </c>
      <c r="T559">
        <v>127</v>
      </c>
      <c r="U559">
        <v>9</v>
      </c>
      <c r="V559">
        <v>69</v>
      </c>
      <c r="W559">
        <v>28</v>
      </c>
      <c r="X559">
        <v>32.09</v>
      </c>
      <c r="Y559">
        <v>1.97</v>
      </c>
      <c r="Z559">
        <v>68.70999999999999</v>
      </c>
      <c r="AA559">
        <v>2177.42</v>
      </c>
      <c r="AB559">
        <v>1147.54</v>
      </c>
      <c r="AC559">
        <v>342.17</v>
      </c>
      <c r="AD559">
        <v>360</v>
      </c>
      <c r="AE559">
        <v>192.23</v>
      </c>
      <c r="AF559">
        <v>4219.36</v>
      </c>
      <c r="AG559">
        <v>-166.15</v>
      </c>
      <c r="AH559">
        <v>-2.64</v>
      </c>
    </row>
    <row r="560" spans="1:34">
      <c r="A560" t="s">
        <v>1010</v>
      </c>
      <c r="B560" t="s">
        <v>262</v>
      </c>
      <c r="C560" t="b">
        <v>1</v>
      </c>
      <c r="D560" t="b">
        <v>0</v>
      </c>
      <c r="E560" t="s">
        <v>1472</v>
      </c>
      <c r="F560" t="s">
        <v>1476</v>
      </c>
      <c r="G560" t="s">
        <v>81</v>
      </c>
      <c r="H560">
        <v>36.3</v>
      </c>
      <c r="I560">
        <v>15</v>
      </c>
      <c r="J560">
        <v>185</v>
      </c>
      <c r="K560">
        <v>7863.37</v>
      </c>
      <c r="L560">
        <v>100.87</v>
      </c>
      <c r="M560">
        <v>0</v>
      </c>
      <c r="N560">
        <v>7762.5</v>
      </c>
      <c r="O560">
        <v>2363.38</v>
      </c>
      <c r="P560">
        <v>5399.12</v>
      </c>
      <c r="Q560">
        <v>51.22</v>
      </c>
      <c r="R560">
        <v>625.54</v>
      </c>
      <c r="S560">
        <v>451</v>
      </c>
      <c r="T560">
        <v>143</v>
      </c>
      <c r="U560">
        <v>6</v>
      </c>
      <c r="V560">
        <v>42</v>
      </c>
      <c r="W560">
        <v>59</v>
      </c>
      <c r="X560">
        <v>41.96</v>
      </c>
      <c r="Y560">
        <v>2.44</v>
      </c>
      <c r="Z560">
        <v>69.55</v>
      </c>
      <c r="AA560">
        <v>2177.42</v>
      </c>
      <c r="AB560">
        <v>1147.54</v>
      </c>
      <c r="AC560">
        <v>369.22</v>
      </c>
      <c r="AD560">
        <v>110</v>
      </c>
      <c r="AE560">
        <v>201.64</v>
      </c>
      <c r="AF560">
        <v>4005.82</v>
      </c>
      <c r="AG560">
        <v>716.54</v>
      </c>
      <c r="AH560">
        <v>9.23</v>
      </c>
    </row>
    <row r="561" spans="1:34">
      <c r="A561" t="s">
        <v>1011</v>
      </c>
      <c r="B561" t="s">
        <v>263</v>
      </c>
      <c r="C561" t="b">
        <v>1</v>
      </c>
      <c r="D561" t="b">
        <v>0</v>
      </c>
      <c r="E561" t="s">
        <v>1472</v>
      </c>
      <c r="F561" t="s">
        <v>1476</v>
      </c>
      <c r="G561" t="s">
        <v>81</v>
      </c>
      <c r="H561">
        <v>37.5</v>
      </c>
      <c r="I561">
        <v>16</v>
      </c>
      <c r="J561">
        <v>184</v>
      </c>
      <c r="K561">
        <v>6940.78</v>
      </c>
      <c r="L561">
        <v>160.86</v>
      </c>
      <c r="M561">
        <v>70.43000000000001</v>
      </c>
      <c r="N561">
        <v>6709.49</v>
      </c>
      <c r="O561">
        <v>2028.3</v>
      </c>
      <c r="P561">
        <v>4681.19</v>
      </c>
      <c r="Q561">
        <v>46.43</v>
      </c>
      <c r="R561">
        <v>475.78</v>
      </c>
      <c r="S561">
        <v>403</v>
      </c>
      <c r="T561">
        <v>132</v>
      </c>
      <c r="U561">
        <v>13</v>
      </c>
      <c r="V561">
        <v>52</v>
      </c>
      <c r="W561">
        <v>53</v>
      </c>
      <c r="X561">
        <v>36.46</v>
      </c>
      <c r="Y561">
        <v>2.19</v>
      </c>
      <c r="Z561">
        <v>69.77</v>
      </c>
      <c r="AA561">
        <v>2177.42</v>
      </c>
      <c r="AB561">
        <v>1147.54</v>
      </c>
      <c r="AC561">
        <v>370.63</v>
      </c>
      <c r="AD561">
        <v>110</v>
      </c>
      <c r="AE561">
        <v>206.32</v>
      </c>
      <c r="AF561">
        <v>4011.91</v>
      </c>
      <c r="AG561">
        <v>147.07</v>
      </c>
      <c r="AH561">
        <v>2.19</v>
      </c>
    </row>
    <row r="562" spans="1:34">
      <c r="A562" t="s">
        <v>445</v>
      </c>
      <c r="B562" t="s">
        <v>75</v>
      </c>
      <c r="C562" t="b">
        <v>0</v>
      </c>
      <c r="D562" t="b">
        <v>0</v>
      </c>
      <c r="E562" t="s">
        <v>1472</v>
      </c>
      <c r="F562" t="s">
        <v>1476</v>
      </c>
      <c r="G562" t="s">
        <v>1501</v>
      </c>
      <c r="H562">
        <v>37.8</v>
      </c>
      <c r="I562">
        <v>17</v>
      </c>
      <c r="J562">
        <v>177</v>
      </c>
      <c r="K562">
        <v>5525.94</v>
      </c>
      <c r="L562">
        <v>356.29</v>
      </c>
      <c r="M562">
        <v>20.87</v>
      </c>
      <c r="N562">
        <v>5148.78</v>
      </c>
      <c r="O562">
        <v>1641.89</v>
      </c>
      <c r="P562">
        <v>3506.89</v>
      </c>
      <c r="Q562">
        <v>33.53</v>
      </c>
      <c r="R562">
        <v>294.6</v>
      </c>
      <c r="S562">
        <v>314</v>
      </c>
      <c r="T562">
        <v>139</v>
      </c>
      <c r="U562">
        <v>9</v>
      </c>
      <c r="V562">
        <v>38</v>
      </c>
      <c r="W562">
        <v>32</v>
      </c>
      <c r="X562">
        <v>29.09</v>
      </c>
      <c r="Y562">
        <v>1.77</v>
      </c>
      <c r="Z562">
        <v>68.11</v>
      </c>
      <c r="AA562">
        <v>2177.42</v>
      </c>
      <c r="AB562">
        <v>1147.54</v>
      </c>
      <c r="AC562">
        <v>371.52</v>
      </c>
      <c r="AD562">
        <v>360</v>
      </c>
      <c r="AE562">
        <v>174.35</v>
      </c>
      <c r="AF562">
        <v>4230.83</v>
      </c>
      <c r="AG562">
        <v>-1052.07</v>
      </c>
      <c r="AH562">
        <v>-20.43</v>
      </c>
    </row>
    <row r="563" spans="1:34">
      <c r="A563" t="s">
        <v>1012</v>
      </c>
      <c r="B563" t="s">
        <v>258</v>
      </c>
      <c r="C563" t="b">
        <v>0</v>
      </c>
      <c r="D563" t="b">
        <v>0</v>
      </c>
      <c r="E563" t="s">
        <v>1472</v>
      </c>
      <c r="F563" t="s">
        <v>1476</v>
      </c>
      <c r="G563" t="s">
        <v>1501</v>
      </c>
      <c r="H563">
        <v>36.8</v>
      </c>
      <c r="I563">
        <v>18</v>
      </c>
      <c r="J563">
        <v>172</v>
      </c>
      <c r="K563">
        <v>5111.2</v>
      </c>
      <c r="L563">
        <v>248.72</v>
      </c>
      <c r="M563">
        <v>13.91</v>
      </c>
      <c r="N563">
        <v>4848.57</v>
      </c>
      <c r="O563">
        <v>1505.2</v>
      </c>
      <c r="P563">
        <v>3343.37</v>
      </c>
      <c r="Q563">
        <v>35.95</v>
      </c>
      <c r="R563">
        <v>305.15</v>
      </c>
      <c r="S563">
        <v>299</v>
      </c>
      <c r="T563">
        <v>127</v>
      </c>
      <c r="U563">
        <v>7</v>
      </c>
      <c r="V563">
        <v>45</v>
      </c>
      <c r="W563">
        <v>41</v>
      </c>
      <c r="X563">
        <v>28.19</v>
      </c>
      <c r="Y563">
        <v>1.74</v>
      </c>
      <c r="Z563">
        <v>68.95999999999999</v>
      </c>
      <c r="AA563">
        <v>2177.42</v>
      </c>
      <c r="AB563">
        <v>1147.54</v>
      </c>
      <c r="AC563">
        <v>388.95</v>
      </c>
      <c r="AD563">
        <v>360</v>
      </c>
      <c r="AE563">
        <v>188.33</v>
      </c>
      <c r="AF563">
        <v>4262.24</v>
      </c>
      <c r="AG563">
        <v>-1259.97</v>
      </c>
      <c r="AH563">
        <v>-25.99</v>
      </c>
    </row>
    <row r="564" spans="1:34">
      <c r="A564" t="s">
        <v>1013</v>
      </c>
      <c r="B564" t="s">
        <v>259</v>
      </c>
      <c r="C564" t="b">
        <v>0</v>
      </c>
      <c r="D564" t="b">
        <v>0</v>
      </c>
      <c r="E564" t="s">
        <v>1472</v>
      </c>
      <c r="F564" t="s">
        <v>1476</v>
      </c>
      <c r="G564" t="s">
        <v>1501</v>
      </c>
      <c r="H564">
        <v>38.1</v>
      </c>
      <c r="I564">
        <v>19</v>
      </c>
      <c r="J564">
        <v>197</v>
      </c>
      <c r="K564">
        <v>6084.25</v>
      </c>
      <c r="L564">
        <v>238.08</v>
      </c>
      <c r="M564">
        <v>42.61</v>
      </c>
      <c r="N564">
        <v>5803.56</v>
      </c>
      <c r="O564">
        <v>1800.14</v>
      </c>
      <c r="P564">
        <v>4003.42</v>
      </c>
      <c r="Q564">
        <v>42.57</v>
      </c>
      <c r="R564">
        <v>326.25</v>
      </c>
      <c r="S564">
        <v>349</v>
      </c>
      <c r="T564">
        <v>137</v>
      </c>
      <c r="U564">
        <v>8</v>
      </c>
      <c r="V564">
        <v>60</v>
      </c>
      <c r="W564">
        <v>39</v>
      </c>
      <c r="X564">
        <v>29.46</v>
      </c>
      <c r="Y564">
        <v>1.77</v>
      </c>
      <c r="Z564">
        <v>68.98</v>
      </c>
      <c r="AA564">
        <v>2177.42</v>
      </c>
      <c r="AB564">
        <v>1147.54</v>
      </c>
      <c r="AC564">
        <v>372.28</v>
      </c>
      <c r="AD564">
        <v>360</v>
      </c>
      <c r="AE564">
        <v>189.93</v>
      </c>
      <c r="AF564">
        <v>4247.17</v>
      </c>
      <c r="AG564">
        <v>-612.5700000000001</v>
      </c>
      <c r="AH564">
        <v>-10.56</v>
      </c>
    </row>
    <row r="565" spans="1:34">
      <c r="A565" t="s">
        <v>1014</v>
      </c>
      <c r="B565" t="s">
        <v>260</v>
      </c>
      <c r="C565" t="b">
        <v>0</v>
      </c>
      <c r="D565" t="b">
        <v>0</v>
      </c>
      <c r="E565" t="s">
        <v>1472</v>
      </c>
      <c r="F565" t="s">
        <v>1476</v>
      </c>
      <c r="G565" t="s">
        <v>1501</v>
      </c>
      <c r="H565">
        <v>39</v>
      </c>
      <c r="I565">
        <v>20</v>
      </c>
      <c r="J565">
        <v>167</v>
      </c>
      <c r="K565">
        <v>5199.06</v>
      </c>
      <c r="L565">
        <v>365.43</v>
      </c>
      <c r="M565">
        <v>0</v>
      </c>
      <c r="N565">
        <v>4833.63</v>
      </c>
      <c r="O565">
        <v>1491.55</v>
      </c>
      <c r="P565">
        <v>3342.08</v>
      </c>
      <c r="Q565">
        <v>38.32</v>
      </c>
      <c r="R565">
        <v>217.89</v>
      </c>
      <c r="S565">
        <v>305</v>
      </c>
      <c r="T565">
        <v>112</v>
      </c>
      <c r="U565">
        <v>6</v>
      </c>
      <c r="V565">
        <v>55</v>
      </c>
      <c r="W565">
        <v>23</v>
      </c>
      <c r="X565">
        <v>28.94</v>
      </c>
      <c r="Y565">
        <v>1.83</v>
      </c>
      <c r="Z565">
        <v>69.14</v>
      </c>
      <c r="AA565">
        <v>2177.42</v>
      </c>
      <c r="AB565">
        <v>1147.54</v>
      </c>
      <c r="AC565">
        <v>391.66</v>
      </c>
      <c r="AD565">
        <v>360</v>
      </c>
      <c r="AE565">
        <v>210.16</v>
      </c>
      <c r="AF565">
        <v>4286.78</v>
      </c>
      <c r="AG565">
        <v>-1200.91</v>
      </c>
      <c r="AH565">
        <v>-24.84</v>
      </c>
    </row>
    <row r="566" spans="1:34">
      <c r="A566" t="s">
        <v>1015</v>
      </c>
      <c r="B566" t="s">
        <v>261</v>
      </c>
      <c r="C566" t="b">
        <v>0</v>
      </c>
      <c r="D566" t="b">
        <v>0</v>
      </c>
      <c r="E566" t="s">
        <v>1472</v>
      </c>
      <c r="F566" t="s">
        <v>1476</v>
      </c>
      <c r="G566" t="s">
        <v>1501</v>
      </c>
      <c r="H566">
        <v>37.6</v>
      </c>
      <c r="I566">
        <v>21</v>
      </c>
      <c r="J566">
        <v>238</v>
      </c>
      <c r="K566">
        <v>7562.42</v>
      </c>
      <c r="L566">
        <v>515.42</v>
      </c>
      <c r="M566">
        <v>0</v>
      </c>
      <c r="N566">
        <v>7047</v>
      </c>
      <c r="O566">
        <v>2143.79</v>
      </c>
      <c r="P566">
        <v>4903.21</v>
      </c>
      <c r="Q566">
        <v>49.29</v>
      </c>
      <c r="R566">
        <v>445.98</v>
      </c>
      <c r="S566">
        <v>438</v>
      </c>
      <c r="T566">
        <v>179</v>
      </c>
      <c r="U566">
        <v>10</v>
      </c>
      <c r="V566">
        <v>59</v>
      </c>
      <c r="W566">
        <v>56</v>
      </c>
      <c r="X566">
        <v>29.61</v>
      </c>
      <c r="Y566">
        <v>1.84</v>
      </c>
      <c r="Z566">
        <v>69.58</v>
      </c>
      <c r="AA566">
        <v>2177.42</v>
      </c>
      <c r="AB566">
        <v>1147.54</v>
      </c>
      <c r="AC566">
        <v>399.06</v>
      </c>
      <c r="AD566">
        <v>360</v>
      </c>
      <c r="AE566">
        <v>200.15</v>
      </c>
      <c r="AF566">
        <v>4284.17</v>
      </c>
      <c r="AG566">
        <v>123.77</v>
      </c>
      <c r="AH566">
        <v>1.76</v>
      </c>
    </row>
    <row r="567" spans="1:34">
      <c r="A567" t="s">
        <v>1016</v>
      </c>
      <c r="B567" t="s">
        <v>262</v>
      </c>
      <c r="C567" t="b">
        <v>1</v>
      </c>
      <c r="D567" t="b">
        <v>0</v>
      </c>
      <c r="E567" t="s">
        <v>1472</v>
      </c>
      <c r="F567" t="s">
        <v>1476</v>
      </c>
      <c r="G567" t="s">
        <v>81</v>
      </c>
      <c r="H567">
        <v>37.6</v>
      </c>
      <c r="I567">
        <v>22</v>
      </c>
      <c r="J567">
        <v>161</v>
      </c>
      <c r="K567">
        <v>6445.11</v>
      </c>
      <c r="L567">
        <v>113.91</v>
      </c>
      <c r="M567">
        <v>0</v>
      </c>
      <c r="N567">
        <v>6331.2</v>
      </c>
      <c r="O567">
        <v>1867.59</v>
      </c>
      <c r="P567">
        <v>4463.61</v>
      </c>
      <c r="Q567">
        <v>47.22</v>
      </c>
      <c r="R567">
        <v>395.98</v>
      </c>
      <c r="S567">
        <v>377</v>
      </c>
      <c r="T567">
        <v>124</v>
      </c>
      <c r="U567">
        <v>10</v>
      </c>
      <c r="V567">
        <v>37</v>
      </c>
      <c r="W567">
        <v>42</v>
      </c>
      <c r="X567">
        <v>39.32</v>
      </c>
      <c r="Y567">
        <v>2.34</v>
      </c>
      <c r="Z567">
        <v>70.5</v>
      </c>
      <c r="AA567">
        <v>2177.42</v>
      </c>
      <c r="AB567">
        <v>1147.54</v>
      </c>
      <c r="AC567">
        <v>380.72</v>
      </c>
      <c r="AD567">
        <v>110</v>
      </c>
      <c r="AE567">
        <v>167.91</v>
      </c>
      <c r="AF567">
        <v>3983.59</v>
      </c>
      <c r="AG567">
        <v>36.82</v>
      </c>
      <c r="AH567">
        <v>0.58</v>
      </c>
    </row>
    <row r="568" spans="1:34">
      <c r="A568" t="s">
        <v>1017</v>
      </c>
      <c r="B568" t="s">
        <v>263</v>
      </c>
      <c r="C568" t="b">
        <v>1</v>
      </c>
      <c r="D568" t="b">
        <v>0</v>
      </c>
      <c r="E568" t="s">
        <v>1472</v>
      </c>
      <c r="F568" t="s">
        <v>1476</v>
      </c>
      <c r="G568" t="s">
        <v>81</v>
      </c>
      <c r="H568">
        <v>38</v>
      </c>
      <c r="I568">
        <v>23</v>
      </c>
      <c r="J568">
        <v>136</v>
      </c>
      <c r="K568">
        <v>5087.73</v>
      </c>
      <c r="L568">
        <v>79.13</v>
      </c>
      <c r="M568">
        <v>0</v>
      </c>
      <c r="N568">
        <v>5008.6</v>
      </c>
      <c r="O568">
        <v>1511.79</v>
      </c>
      <c r="P568">
        <v>3496.81</v>
      </c>
      <c r="Q568">
        <v>36.87</v>
      </c>
      <c r="R568">
        <v>281</v>
      </c>
      <c r="S568">
        <v>294</v>
      </c>
      <c r="T568">
        <v>101</v>
      </c>
      <c r="U568">
        <v>1</v>
      </c>
      <c r="V568">
        <v>35</v>
      </c>
      <c r="W568">
        <v>31</v>
      </c>
      <c r="X568">
        <v>36.83</v>
      </c>
      <c r="Y568">
        <v>2.16</v>
      </c>
      <c r="Z568">
        <v>69.81999999999999</v>
      </c>
      <c r="AA568">
        <v>2177.42</v>
      </c>
      <c r="AB568">
        <v>1147.54</v>
      </c>
      <c r="AC568">
        <v>385.1</v>
      </c>
      <c r="AD568">
        <v>110</v>
      </c>
      <c r="AE568">
        <v>191.63</v>
      </c>
      <c r="AF568">
        <v>4011.69</v>
      </c>
      <c r="AG568">
        <v>-832.75</v>
      </c>
      <c r="AH568">
        <v>-16.63</v>
      </c>
    </row>
    <row r="569" spans="1:34">
      <c r="A569" t="s">
        <v>446</v>
      </c>
      <c r="B569" t="s">
        <v>75</v>
      </c>
      <c r="C569" t="b">
        <v>0</v>
      </c>
      <c r="D569" t="b">
        <v>0</v>
      </c>
      <c r="E569" t="s">
        <v>1472</v>
      </c>
      <c r="F569" t="s">
        <v>1476</v>
      </c>
      <c r="G569" t="s">
        <v>1501</v>
      </c>
      <c r="H569">
        <v>37.6</v>
      </c>
      <c r="I569">
        <v>24</v>
      </c>
      <c r="J569">
        <v>167</v>
      </c>
      <c r="K569">
        <v>5226.01</v>
      </c>
      <c r="L569">
        <v>378.72</v>
      </c>
      <c r="M569">
        <v>0</v>
      </c>
      <c r="N569">
        <v>4847.29</v>
      </c>
      <c r="O569">
        <v>1548.75</v>
      </c>
      <c r="P569">
        <v>3298.54</v>
      </c>
      <c r="Q569">
        <v>34.65</v>
      </c>
      <c r="R569">
        <v>272.18</v>
      </c>
      <c r="S569">
        <v>303</v>
      </c>
      <c r="T569">
        <v>123</v>
      </c>
      <c r="U569">
        <v>7</v>
      </c>
      <c r="V569">
        <v>44</v>
      </c>
      <c r="W569">
        <v>34</v>
      </c>
      <c r="X569">
        <v>29.03</v>
      </c>
      <c r="Y569">
        <v>1.81</v>
      </c>
      <c r="Z569">
        <v>68.05</v>
      </c>
      <c r="AA569">
        <v>2177.42</v>
      </c>
      <c r="AB569">
        <v>1147.54</v>
      </c>
      <c r="AC569">
        <v>394.93</v>
      </c>
      <c r="AD569">
        <v>360</v>
      </c>
      <c r="AE569">
        <v>188.31</v>
      </c>
      <c r="AF569">
        <v>4268.2</v>
      </c>
      <c r="AG569">
        <v>-1276.49</v>
      </c>
      <c r="AH569">
        <v>-26.33</v>
      </c>
    </row>
    <row r="570" spans="1:34">
      <c r="A570" t="s">
        <v>1018</v>
      </c>
      <c r="B570" t="s">
        <v>258</v>
      </c>
      <c r="C570" t="b">
        <v>0</v>
      </c>
      <c r="D570" t="b">
        <v>0</v>
      </c>
      <c r="E570" t="s">
        <v>1472</v>
      </c>
      <c r="F570" t="s">
        <v>1476</v>
      </c>
      <c r="G570" t="s">
        <v>1501</v>
      </c>
      <c r="H570">
        <v>38.1</v>
      </c>
      <c r="I570">
        <v>25</v>
      </c>
      <c r="J570">
        <v>167</v>
      </c>
      <c r="K570">
        <v>4947.73</v>
      </c>
      <c r="L570">
        <v>335.22</v>
      </c>
      <c r="M570">
        <v>20</v>
      </c>
      <c r="N570">
        <v>4592.51</v>
      </c>
      <c r="O570">
        <v>1360.93</v>
      </c>
      <c r="P570">
        <v>3231.58</v>
      </c>
      <c r="Q570">
        <v>33.35</v>
      </c>
      <c r="R570">
        <v>214.07</v>
      </c>
      <c r="S570">
        <v>286</v>
      </c>
      <c r="T570">
        <v>118</v>
      </c>
      <c r="U570">
        <v>5</v>
      </c>
      <c r="V570">
        <v>49</v>
      </c>
      <c r="W570">
        <v>28</v>
      </c>
      <c r="X570">
        <v>27.5</v>
      </c>
      <c r="Y570">
        <v>1.71</v>
      </c>
      <c r="Z570">
        <v>70.37</v>
      </c>
      <c r="AA570">
        <v>2177.42</v>
      </c>
      <c r="AB570">
        <v>1147.54</v>
      </c>
      <c r="AC570">
        <v>375.1</v>
      </c>
      <c r="AD570">
        <v>360</v>
      </c>
      <c r="AE570">
        <v>172.28</v>
      </c>
      <c r="AF570">
        <v>4232.34</v>
      </c>
      <c r="AG570">
        <v>-1248.18</v>
      </c>
      <c r="AH570">
        <v>-27.18</v>
      </c>
    </row>
    <row r="571" spans="1:34">
      <c r="A571" t="s">
        <v>1019</v>
      </c>
      <c r="B571" t="s">
        <v>259</v>
      </c>
      <c r="C571" t="b">
        <v>0</v>
      </c>
      <c r="D571" t="b">
        <v>0</v>
      </c>
      <c r="E571" t="s">
        <v>1472</v>
      </c>
      <c r="F571" t="s">
        <v>1476</v>
      </c>
      <c r="G571" t="s">
        <v>1501</v>
      </c>
      <c r="H571">
        <v>36.8</v>
      </c>
      <c r="I571">
        <v>26</v>
      </c>
      <c r="J571">
        <v>172</v>
      </c>
      <c r="K571">
        <v>5192.89</v>
      </c>
      <c r="L571">
        <v>342.83</v>
      </c>
      <c r="M571">
        <v>31.3</v>
      </c>
      <c r="N571">
        <v>4818.76</v>
      </c>
      <c r="O571">
        <v>1524.86</v>
      </c>
      <c r="P571">
        <v>3293.9</v>
      </c>
      <c r="Q571">
        <v>33.21</v>
      </c>
      <c r="R571">
        <v>241.63</v>
      </c>
      <c r="S571">
        <v>302</v>
      </c>
      <c r="T571">
        <v>112</v>
      </c>
      <c r="U571">
        <v>7</v>
      </c>
      <c r="V571">
        <v>60</v>
      </c>
      <c r="W571">
        <v>32</v>
      </c>
      <c r="X571">
        <v>28.02</v>
      </c>
      <c r="Y571">
        <v>1.76</v>
      </c>
      <c r="Z571">
        <v>68.36</v>
      </c>
      <c r="AA571">
        <v>2177.42</v>
      </c>
      <c r="AB571">
        <v>1147.54</v>
      </c>
      <c r="AC571">
        <v>387.7</v>
      </c>
      <c r="AD571">
        <v>360</v>
      </c>
      <c r="AE571">
        <v>217.46</v>
      </c>
      <c r="AF571">
        <v>4290.12</v>
      </c>
      <c r="AG571">
        <v>-1271.06</v>
      </c>
      <c r="AH571">
        <v>-26.38</v>
      </c>
    </row>
    <row r="572" spans="1:34">
      <c r="A572" t="s">
        <v>1020</v>
      </c>
      <c r="B572" t="s">
        <v>260</v>
      </c>
      <c r="C572" t="b">
        <v>0</v>
      </c>
      <c r="D572" t="b">
        <v>0</v>
      </c>
      <c r="E572" t="s">
        <v>1472</v>
      </c>
      <c r="F572" t="s">
        <v>1476</v>
      </c>
      <c r="G572" t="s">
        <v>1501</v>
      </c>
      <c r="H572">
        <v>37.5</v>
      </c>
      <c r="I572">
        <v>27</v>
      </c>
      <c r="J572">
        <v>187</v>
      </c>
      <c r="K572">
        <v>5440.79</v>
      </c>
      <c r="L572">
        <v>302.43</v>
      </c>
      <c r="M572">
        <v>18.26</v>
      </c>
      <c r="N572">
        <v>5120.1</v>
      </c>
      <c r="O572">
        <v>1554.89</v>
      </c>
      <c r="P572">
        <v>3565.21</v>
      </c>
      <c r="Q572">
        <v>35.83</v>
      </c>
      <c r="R572">
        <v>270.39</v>
      </c>
      <c r="S572">
        <v>322</v>
      </c>
      <c r="T572">
        <v>130</v>
      </c>
      <c r="U572">
        <v>8</v>
      </c>
      <c r="V572">
        <v>57</v>
      </c>
      <c r="W572">
        <v>36</v>
      </c>
      <c r="X572">
        <v>27.38</v>
      </c>
      <c r="Y572">
        <v>1.72</v>
      </c>
      <c r="Z572">
        <v>69.63</v>
      </c>
      <c r="AA572">
        <v>2177.42</v>
      </c>
      <c r="AB572">
        <v>1147.54</v>
      </c>
      <c r="AC572">
        <v>373.58</v>
      </c>
      <c r="AD572">
        <v>360</v>
      </c>
      <c r="AE572">
        <v>182.71</v>
      </c>
      <c r="AF572">
        <v>4241.25</v>
      </c>
      <c r="AG572">
        <v>-982.26</v>
      </c>
      <c r="AH572">
        <v>-19.18</v>
      </c>
    </row>
    <row r="573" spans="1:34">
      <c r="A573" t="s">
        <v>1021</v>
      </c>
      <c r="B573" t="s">
        <v>261</v>
      </c>
      <c r="C573" t="b">
        <v>0</v>
      </c>
      <c r="D573" t="b">
        <v>0</v>
      </c>
      <c r="E573" t="s">
        <v>1472</v>
      </c>
      <c r="F573" t="s">
        <v>1476</v>
      </c>
      <c r="G573" t="s">
        <v>1500</v>
      </c>
      <c r="H573">
        <v>35.5</v>
      </c>
      <c r="I573">
        <v>0</v>
      </c>
      <c r="J573">
        <v>255</v>
      </c>
      <c r="K573">
        <v>9979</v>
      </c>
      <c r="L573">
        <v>592.61</v>
      </c>
      <c r="M573">
        <v>12.17</v>
      </c>
      <c r="N573">
        <v>9374.219999999999</v>
      </c>
      <c r="O573">
        <v>2872.32</v>
      </c>
      <c r="P573">
        <v>6501.9</v>
      </c>
      <c r="Q573">
        <v>61.31</v>
      </c>
      <c r="R573">
        <v>636.64</v>
      </c>
      <c r="S573">
        <v>566</v>
      </c>
      <c r="T573">
        <v>183</v>
      </c>
      <c r="U573">
        <v>8</v>
      </c>
      <c r="V573">
        <v>72</v>
      </c>
      <c r="W573">
        <v>66</v>
      </c>
      <c r="X573">
        <v>36.76</v>
      </c>
      <c r="Y573">
        <v>2.22</v>
      </c>
      <c r="Z573">
        <v>69.36</v>
      </c>
      <c r="AA573">
        <v>2177.42</v>
      </c>
      <c r="AB573">
        <v>1147.54</v>
      </c>
      <c r="AC573">
        <v>358.64</v>
      </c>
      <c r="AD573">
        <v>360</v>
      </c>
      <c r="AE573">
        <v>190.99</v>
      </c>
      <c r="AF573">
        <v>4234.59</v>
      </c>
      <c r="AG573">
        <v>1569.36</v>
      </c>
      <c r="AH573">
        <v>16.74</v>
      </c>
    </row>
    <row r="574" spans="1:34">
      <c r="A574" t="s">
        <v>1022</v>
      </c>
      <c r="B574" t="s">
        <v>262</v>
      </c>
      <c r="C574" t="b">
        <v>1</v>
      </c>
      <c r="D574" t="b">
        <v>0</v>
      </c>
      <c r="E574" t="s">
        <v>1472</v>
      </c>
      <c r="F574" t="s">
        <v>1476</v>
      </c>
      <c r="G574" t="s">
        <v>1477</v>
      </c>
      <c r="H574">
        <v>36.1</v>
      </c>
      <c r="I574">
        <v>1</v>
      </c>
      <c r="J574">
        <v>186</v>
      </c>
      <c r="K574">
        <v>7835.52</v>
      </c>
      <c r="L574">
        <v>313.89</v>
      </c>
      <c r="M574">
        <v>8.699999999999999</v>
      </c>
      <c r="N574">
        <v>7512.93</v>
      </c>
      <c r="O574">
        <v>2296.29</v>
      </c>
      <c r="P574">
        <v>5216.64</v>
      </c>
      <c r="Q574">
        <v>51.64</v>
      </c>
      <c r="R574">
        <v>479.41</v>
      </c>
      <c r="S574">
        <v>455</v>
      </c>
      <c r="T574">
        <v>137</v>
      </c>
      <c r="U574">
        <v>9</v>
      </c>
      <c r="V574">
        <v>49</v>
      </c>
      <c r="W574">
        <v>44</v>
      </c>
      <c r="X574">
        <v>40.39</v>
      </c>
      <c r="Y574">
        <v>2.45</v>
      </c>
      <c r="Z574">
        <v>69.44</v>
      </c>
      <c r="AA574">
        <v>2177.42</v>
      </c>
      <c r="AB574">
        <v>1147.54</v>
      </c>
      <c r="AC574">
        <v>336.65</v>
      </c>
      <c r="AD574">
        <v>110</v>
      </c>
      <c r="AE574">
        <v>153.5</v>
      </c>
      <c r="AF574">
        <v>3925.11</v>
      </c>
      <c r="AG574">
        <v>760.48</v>
      </c>
      <c r="AH574">
        <v>10.12</v>
      </c>
    </row>
    <row r="575" spans="1:34">
      <c r="A575" t="s">
        <v>1023</v>
      </c>
      <c r="B575" t="s">
        <v>263</v>
      </c>
      <c r="C575" t="b">
        <v>1</v>
      </c>
      <c r="D575" t="b">
        <v>0</v>
      </c>
      <c r="E575" t="s">
        <v>1472</v>
      </c>
      <c r="F575" t="s">
        <v>1476</v>
      </c>
      <c r="G575" t="s">
        <v>1477</v>
      </c>
      <c r="H575">
        <v>35.4</v>
      </c>
      <c r="I575">
        <v>2</v>
      </c>
      <c r="J575">
        <v>183</v>
      </c>
      <c r="K575">
        <v>7500.74</v>
      </c>
      <c r="L575">
        <v>167.81</v>
      </c>
      <c r="M575">
        <v>0</v>
      </c>
      <c r="N575">
        <v>7332.93</v>
      </c>
      <c r="O575">
        <v>2188.25</v>
      </c>
      <c r="P575">
        <v>5144.68</v>
      </c>
      <c r="Q575">
        <v>51.96</v>
      </c>
      <c r="R575">
        <v>511.78</v>
      </c>
      <c r="S575">
        <v>426</v>
      </c>
      <c r="T575">
        <v>138</v>
      </c>
      <c r="U575">
        <v>10</v>
      </c>
      <c r="V575">
        <v>45</v>
      </c>
      <c r="W575">
        <v>51</v>
      </c>
      <c r="X575">
        <v>40.07</v>
      </c>
      <c r="Y575">
        <v>2.33</v>
      </c>
      <c r="Z575">
        <v>70.16</v>
      </c>
      <c r="AA575">
        <v>2177.42</v>
      </c>
      <c r="AB575">
        <v>1147.54</v>
      </c>
      <c r="AC575">
        <v>355.5</v>
      </c>
      <c r="AD575">
        <v>110</v>
      </c>
      <c r="AE575">
        <v>185.54</v>
      </c>
      <c r="AF575">
        <v>3976</v>
      </c>
      <c r="AG575">
        <v>604.9400000000001</v>
      </c>
      <c r="AH575">
        <v>8.25</v>
      </c>
    </row>
    <row r="576" spans="1:34">
      <c r="A576" t="s">
        <v>447</v>
      </c>
      <c r="B576" t="s">
        <v>75</v>
      </c>
      <c r="C576" t="b">
        <v>0</v>
      </c>
      <c r="D576" t="b">
        <v>0</v>
      </c>
      <c r="E576" t="s">
        <v>1472</v>
      </c>
      <c r="F576" t="s">
        <v>1476</v>
      </c>
      <c r="G576" t="s">
        <v>1500</v>
      </c>
      <c r="H576">
        <v>37</v>
      </c>
      <c r="I576">
        <v>3</v>
      </c>
      <c r="J576">
        <v>155</v>
      </c>
      <c r="K576">
        <v>4646.03</v>
      </c>
      <c r="L576">
        <v>233.92</v>
      </c>
      <c r="M576">
        <v>40</v>
      </c>
      <c r="N576">
        <v>4372.11</v>
      </c>
      <c r="O576">
        <v>1378.87</v>
      </c>
      <c r="P576">
        <v>2993.24</v>
      </c>
      <c r="Q576">
        <v>26.54</v>
      </c>
      <c r="R576">
        <v>286.76</v>
      </c>
      <c r="S576">
        <v>276</v>
      </c>
      <c r="T576">
        <v>117</v>
      </c>
      <c r="U576">
        <v>6</v>
      </c>
      <c r="V576">
        <v>38</v>
      </c>
      <c r="W576">
        <v>38</v>
      </c>
      <c r="X576">
        <v>28.21</v>
      </c>
      <c r="Y576">
        <v>1.78</v>
      </c>
      <c r="Z576">
        <v>68.45999999999999</v>
      </c>
      <c r="AA576">
        <v>2177.42</v>
      </c>
      <c r="AB576">
        <v>1147.54</v>
      </c>
      <c r="AC576">
        <v>400.44</v>
      </c>
      <c r="AD576">
        <v>360</v>
      </c>
      <c r="AE576">
        <v>223.22</v>
      </c>
      <c r="AF576">
        <v>4308.62</v>
      </c>
      <c r="AG576">
        <v>-1628.68</v>
      </c>
      <c r="AH576">
        <v>-37.25</v>
      </c>
    </row>
    <row r="577" spans="1:34">
      <c r="A577" t="s">
        <v>1024</v>
      </c>
      <c r="B577" t="s">
        <v>258</v>
      </c>
      <c r="C577" t="b">
        <v>0</v>
      </c>
      <c r="D577" t="b">
        <v>0</v>
      </c>
      <c r="E577" t="s">
        <v>1472</v>
      </c>
      <c r="F577" t="s">
        <v>1476</v>
      </c>
      <c r="G577" t="s">
        <v>1500</v>
      </c>
      <c r="H577">
        <v>35.1</v>
      </c>
      <c r="I577">
        <v>4</v>
      </c>
      <c r="J577">
        <v>178</v>
      </c>
      <c r="K577">
        <v>5082.47</v>
      </c>
      <c r="L577">
        <v>346.09</v>
      </c>
      <c r="M577">
        <v>20</v>
      </c>
      <c r="N577">
        <v>4716.38</v>
      </c>
      <c r="O577">
        <v>1479.19</v>
      </c>
      <c r="P577">
        <v>3237.19</v>
      </c>
      <c r="Q577">
        <v>34.84</v>
      </c>
      <c r="R577">
        <v>234.67</v>
      </c>
      <c r="S577">
        <v>298</v>
      </c>
      <c r="T577">
        <v>131</v>
      </c>
      <c r="U577">
        <v>9</v>
      </c>
      <c r="V577">
        <v>47</v>
      </c>
      <c r="W577">
        <v>31</v>
      </c>
      <c r="X577">
        <v>26.5</v>
      </c>
      <c r="Y577">
        <v>1.67</v>
      </c>
      <c r="Z577">
        <v>68.64</v>
      </c>
      <c r="AA577">
        <v>2177.42</v>
      </c>
      <c r="AB577">
        <v>1147.54</v>
      </c>
      <c r="AC577">
        <v>364.29</v>
      </c>
      <c r="AD577">
        <v>360</v>
      </c>
      <c r="AE577">
        <v>168.53</v>
      </c>
      <c r="AF577">
        <v>4217.78</v>
      </c>
      <c r="AG577">
        <v>-1250.1</v>
      </c>
      <c r="AH577">
        <v>-26.51</v>
      </c>
    </row>
    <row r="578" spans="1:34">
      <c r="A578" t="s">
        <v>1025</v>
      </c>
      <c r="B578" t="s">
        <v>259</v>
      </c>
      <c r="C578" t="b">
        <v>0</v>
      </c>
      <c r="D578" t="b">
        <v>0</v>
      </c>
      <c r="E578" t="s">
        <v>1472</v>
      </c>
      <c r="F578" t="s">
        <v>1476</v>
      </c>
      <c r="G578" t="s">
        <v>1501</v>
      </c>
      <c r="H578">
        <v>34.4</v>
      </c>
      <c r="I578">
        <v>5</v>
      </c>
      <c r="J578">
        <v>194</v>
      </c>
      <c r="K578">
        <v>6434.66</v>
      </c>
      <c r="L578">
        <v>417.62</v>
      </c>
      <c r="M578">
        <v>17.39</v>
      </c>
      <c r="N578">
        <v>5999.65</v>
      </c>
      <c r="O578">
        <v>1935.07</v>
      </c>
      <c r="P578">
        <v>4064.58</v>
      </c>
      <c r="Q578">
        <v>44.28</v>
      </c>
      <c r="R578">
        <v>291.69</v>
      </c>
      <c r="S578">
        <v>372</v>
      </c>
      <c r="T578">
        <v>146</v>
      </c>
      <c r="U578">
        <v>11</v>
      </c>
      <c r="V578">
        <v>48</v>
      </c>
      <c r="W578">
        <v>32</v>
      </c>
      <c r="X578">
        <v>30.93</v>
      </c>
      <c r="Y578">
        <v>1.92</v>
      </c>
      <c r="Z578">
        <v>67.75</v>
      </c>
      <c r="AA578">
        <v>2177.42</v>
      </c>
      <c r="AB578">
        <v>1147.54</v>
      </c>
      <c r="AC578">
        <v>353.87</v>
      </c>
      <c r="AD578">
        <v>360</v>
      </c>
      <c r="AE578">
        <v>199.13</v>
      </c>
      <c r="AF578">
        <v>4237.96</v>
      </c>
      <c r="AG578">
        <v>-509.35</v>
      </c>
      <c r="AH578">
        <v>-8.49</v>
      </c>
    </row>
    <row r="579" spans="1:34">
      <c r="A579" t="s">
        <v>1026</v>
      </c>
      <c r="B579" t="s">
        <v>260</v>
      </c>
      <c r="C579" t="b">
        <v>0</v>
      </c>
      <c r="D579" t="b">
        <v>0</v>
      </c>
      <c r="E579" t="s">
        <v>1472</v>
      </c>
      <c r="F579" t="s">
        <v>1476</v>
      </c>
      <c r="G579" t="s">
        <v>1501</v>
      </c>
      <c r="H579">
        <v>37.1</v>
      </c>
      <c r="I579">
        <v>6</v>
      </c>
      <c r="J579">
        <v>188</v>
      </c>
      <c r="K579">
        <v>5993.86</v>
      </c>
      <c r="L579">
        <v>393.71</v>
      </c>
      <c r="M579">
        <v>33.91</v>
      </c>
      <c r="N579">
        <v>5566.24</v>
      </c>
      <c r="O579">
        <v>1729.23</v>
      </c>
      <c r="P579">
        <v>3837.01</v>
      </c>
      <c r="Q579">
        <v>37.29</v>
      </c>
      <c r="R579">
        <v>387.87</v>
      </c>
      <c r="S579">
        <v>351</v>
      </c>
      <c r="T579">
        <v>142</v>
      </c>
      <c r="U579">
        <v>10</v>
      </c>
      <c r="V579">
        <v>46</v>
      </c>
      <c r="W579">
        <v>49</v>
      </c>
      <c r="X579">
        <v>29.61</v>
      </c>
      <c r="Y579">
        <v>1.87</v>
      </c>
      <c r="Z579">
        <v>68.93000000000001</v>
      </c>
      <c r="AA579">
        <v>2177.42</v>
      </c>
      <c r="AB579">
        <v>1147.54</v>
      </c>
      <c r="AC579">
        <v>369.64</v>
      </c>
      <c r="AD579">
        <v>360</v>
      </c>
      <c r="AE579">
        <v>181.17</v>
      </c>
      <c r="AF579">
        <v>4235.77</v>
      </c>
      <c r="AG579">
        <v>-823.92</v>
      </c>
      <c r="AH579">
        <v>-14.8</v>
      </c>
    </row>
    <row r="580" spans="1:34">
      <c r="A580" t="s">
        <v>1027</v>
      </c>
      <c r="B580" t="s">
        <v>261</v>
      </c>
      <c r="C580" t="b">
        <v>0</v>
      </c>
      <c r="D580" t="b">
        <v>0</v>
      </c>
      <c r="E580" t="s">
        <v>1472</v>
      </c>
      <c r="F580" t="s">
        <v>1476</v>
      </c>
      <c r="G580" t="s">
        <v>1501</v>
      </c>
      <c r="H580">
        <v>36.6</v>
      </c>
      <c r="I580">
        <v>7</v>
      </c>
      <c r="J580">
        <v>214</v>
      </c>
      <c r="K580">
        <v>7499.93</v>
      </c>
      <c r="L580">
        <v>405.67</v>
      </c>
      <c r="M580">
        <v>20</v>
      </c>
      <c r="N580">
        <v>7074.26</v>
      </c>
      <c r="O580">
        <v>2141.04</v>
      </c>
      <c r="P580">
        <v>4933.22</v>
      </c>
      <c r="Q580">
        <v>49.2</v>
      </c>
      <c r="R580">
        <v>414.82</v>
      </c>
      <c r="S580">
        <v>429</v>
      </c>
      <c r="T580">
        <v>147</v>
      </c>
      <c r="U580">
        <v>7</v>
      </c>
      <c r="V580">
        <v>67</v>
      </c>
      <c r="W580">
        <v>47</v>
      </c>
      <c r="X580">
        <v>33.06</v>
      </c>
      <c r="Y580">
        <v>2</v>
      </c>
      <c r="Z580">
        <v>69.73</v>
      </c>
      <c r="AA580">
        <v>2177.42</v>
      </c>
      <c r="AB580">
        <v>1147.54</v>
      </c>
      <c r="AC580">
        <v>372.2</v>
      </c>
      <c r="AD580">
        <v>360</v>
      </c>
      <c r="AE580">
        <v>176.08</v>
      </c>
      <c r="AF580">
        <v>4233.24</v>
      </c>
      <c r="AG580">
        <v>235.96</v>
      </c>
      <c r="AH580">
        <v>3.34</v>
      </c>
    </row>
    <row r="581" spans="1:34">
      <c r="A581" t="s">
        <v>1028</v>
      </c>
      <c r="B581" t="s">
        <v>262</v>
      </c>
      <c r="C581" t="b">
        <v>1</v>
      </c>
      <c r="D581" t="b">
        <v>0</v>
      </c>
      <c r="E581" t="s">
        <v>1472</v>
      </c>
      <c r="F581" t="s">
        <v>1476</v>
      </c>
      <c r="G581" t="s">
        <v>81</v>
      </c>
      <c r="H581">
        <v>36.9</v>
      </c>
      <c r="I581">
        <v>8</v>
      </c>
      <c r="J581">
        <v>187</v>
      </c>
      <c r="K581">
        <v>7825.14</v>
      </c>
      <c r="L581">
        <v>186.08</v>
      </c>
      <c r="M581">
        <v>10.43</v>
      </c>
      <c r="N581">
        <v>7628.63</v>
      </c>
      <c r="O581">
        <v>2281.46</v>
      </c>
      <c r="P581">
        <v>5347.17</v>
      </c>
      <c r="Q581">
        <v>56.51</v>
      </c>
      <c r="R581">
        <v>519.37</v>
      </c>
      <c r="S581">
        <v>445</v>
      </c>
      <c r="T581">
        <v>130</v>
      </c>
      <c r="U581">
        <v>4</v>
      </c>
      <c r="V581">
        <v>57</v>
      </c>
      <c r="W581">
        <v>51</v>
      </c>
      <c r="X581">
        <v>40.79</v>
      </c>
      <c r="Y581">
        <v>2.38</v>
      </c>
      <c r="Z581">
        <v>70.09</v>
      </c>
      <c r="AA581">
        <v>2177.42</v>
      </c>
      <c r="AB581">
        <v>1147.54</v>
      </c>
      <c r="AC581">
        <v>388.79</v>
      </c>
      <c r="AD581">
        <v>110</v>
      </c>
      <c r="AE581">
        <v>223.11</v>
      </c>
      <c r="AF581">
        <v>4046.86</v>
      </c>
      <c r="AG581">
        <v>724.4299999999999</v>
      </c>
      <c r="AH581">
        <v>9.5</v>
      </c>
    </row>
    <row r="582" spans="1:34">
      <c r="A582" t="s">
        <v>1029</v>
      </c>
      <c r="B582" t="s">
        <v>263</v>
      </c>
      <c r="C582" t="b">
        <v>1</v>
      </c>
      <c r="D582" t="b">
        <v>0</v>
      </c>
      <c r="E582" t="s">
        <v>1472</v>
      </c>
      <c r="F582" t="s">
        <v>1476</v>
      </c>
      <c r="G582" t="s">
        <v>81</v>
      </c>
      <c r="H582">
        <v>37.8</v>
      </c>
      <c r="I582">
        <v>9</v>
      </c>
      <c r="J582">
        <v>172</v>
      </c>
      <c r="K582">
        <v>6775.6</v>
      </c>
      <c r="L582">
        <v>90.43000000000001</v>
      </c>
      <c r="M582">
        <v>17.39</v>
      </c>
      <c r="N582">
        <v>6667.78</v>
      </c>
      <c r="O582">
        <v>1985.92</v>
      </c>
      <c r="P582">
        <v>4681.86</v>
      </c>
      <c r="Q582">
        <v>47.64</v>
      </c>
      <c r="R582">
        <v>460.67</v>
      </c>
      <c r="S582">
        <v>389</v>
      </c>
      <c r="T582">
        <v>130</v>
      </c>
      <c r="U582">
        <v>15</v>
      </c>
      <c r="V582">
        <v>42</v>
      </c>
      <c r="W582">
        <v>48</v>
      </c>
      <c r="X582">
        <v>38.77</v>
      </c>
      <c r="Y582">
        <v>2.26</v>
      </c>
      <c r="Z582">
        <v>70.22</v>
      </c>
      <c r="AA582">
        <v>2177.42</v>
      </c>
      <c r="AB582">
        <v>1147.54</v>
      </c>
      <c r="AC582">
        <v>378.87</v>
      </c>
      <c r="AD582">
        <v>110</v>
      </c>
      <c r="AE582">
        <v>215.95</v>
      </c>
      <c r="AF582">
        <v>4029.78</v>
      </c>
      <c r="AG582">
        <v>143.77</v>
      </c>
      <c r="AH582">
        <v>2.16</v>
      </c>
    </row>
    <row r="583" spans="1:34">
      <c r="A583" t="s">
        <v>448</v>
      </c>
      <c r="B583" t="s">
        <v>75</v>
      </c>
      <c r="C583" t="b">
        <v>0</v>
      </c>
      <c r="D583" t="b">
        <v>0</v>
      </c>
      <c r="E583" t="s">
        <v>1472</v>
      </c>
      <c r="F583" t="s">
        <v>1476</v>
      </c>
      <c r="G583" t="s">
        <v>1501</v>
      </c>
      <c r="H583">
        <v>39.4</v>
      </c>
      <c r="I583">
        <v>10</v>
      </c>
      <c r="J583">
        <v>178</v>
      </c>
      <c r="K583">
        <v>5907.7</v>
      </c>
      <c r="L583">
        <v>352.8</v>
      </c>
      <c r="M583">
        <v>20.87</v>
      </c>
      <c r="N583">
        <v>5534.03</v>
      </c>
      <c r="O583">
        <v>1743.22</v>
      </c>
      <c r="P583">
        <v>3790.81</v>
      </c>
      <c r="Q583">
        <v>35.33</v>
      </c>
      <c r="R583">
        <v>394.31</v>
      </c>
      <c r="S583">
        <v>341</v>
      </c>
      <c r="T583">
        <v>134</v>
      </c>
      <c r="U583">
        <v>9</v>
      </c>
      <c r="V583">
        <v>44</v>
      </c>
      <c r="W583">
        <v>42</v>
      </c>
      <c r="X583">
        <v>31.09</v>
      </c>
      <c r="Y583">
        <v>1.92</v>
      </c>
      <c r="Z583">
        <v>68.5</v>
      </c>
      <c r="AA583">
        <v>2177.42</v>
      </c>
      <c r="AB583">
        <v>1147.54</v>
      </c>
      <c r="AC583">
        <v>416.14</v>
      </c>
      <c r="AD583">
        <v>360</v>
      </c>
      <c r="AE583">
        <v>177.56</v>
      </c>
      <c r="AF583">
        <v>4278.66</v>
      </c>
      <c r="AG583">
        <v>-917.49</v>
      </c>
      <c r="AH583">
        <v>-16.58</v>
      </c>
    </row>
    <row r="584" spans="1:34">
      <c r="A584" t="s">
        <v>1030</v>
      </c>
      <c r="B584" t="s">
        <v>258</v>
      </c>
      <c r="C584" t="b">
        <v>0</v>
      </c>
      <c r="D584" t="b">
        <v>0</v>
      </c>
      <c r="E584" t="s">
        <v>1472</v>
      </c>
      <c r="F584" t="s">
        <v>1476</v>
      </c>
      <c r="G584" t="s">
        <v>1501</v>
      </c>
      <c r="H584">
        <v>36.3</v>
      </c>
      <c r="I584">
        <v>11</v>
      </c>
      <c r="J584">
        <v>149</v>
      </c>
      <c r="K584">
        <v>4488.6</v>
      </c>
      <c r="L584">
        <v>204.35</v>
      </c>
      <c r="M584">
        <v>19.13</v>
      </c>
      <c r="N584">
        <v>4265.12</v>
      </c>
      <c r="O584">
        <v>1309.49</v>
      </c>
      <c r="P584">
        <v>2955.63</v>
      </c>
      <c r="Q584">
        <v>29.41</v>
      </c>
      <c r="R584">
        <v>218.78</v>
      </c>
      <c r="S584">
        <v>259</v>
      </c>
      <c r="T584">
        <v>110</v>
      </c>
      <c r="U584">
        <v>5</v>
      </c>
      <c r="V584">
        <v>39</v>
      </c>
      <c r="W584">
        <v>29</v>
      </c>
      <c r="X584">
        <v>28.62</v>
      </c>
      <c r="Y584">
        <v>1.74</v>
      </c>
      <c r="Z584">
        <v>69.3</v>
      </c>
      <c r="AA584">
        <v>2177.42</v>
      </c>
      <c r="AB584">
        <v>1147.54</v>
      </c>
      <c r="AC584">
        <v>356.76</v>
      </c>
      <c r="AD584">
        <v>360</v>
      </c>
      <c r="AE584">
        <v>213.93</v>
      </c>
      <c r="AF584">
        <v>4255.65</v>
      </c>
      <c r="AG584">
        <v>-1548.21</v>
      </c>
      <c r="AH584">
        <v>-36.3</v>
      </c>
    </row>
    <row r="585" spans="1:34">
      <c r="A585" t="s">
        <v>1031</v>
      </c>
      <c r="B585" t="s">
        <v>259</v>
      </c>
      <c r="C585" t="b">
        <v>0</v>
      </c>
      <c r="D585" t="b">
        <v>0</v>
      </c>
      <c r="E585" t="s">
        <v>1472</v>
      </c>
      <c r="F585" t="s">
        <v>1476</v>
      </c>
      <c r="G585" t="s">
        <v>1501</v>
      </c>
      <c r="H585">
        <v>36</v>
      </c>
      <c r="I585">
        <v>12</v>
      </c>
      <c r="J585">
        <v>148</v>
      </c>
      <c r="K585">
        <v>4646.91</v>
      </c>
      <c r="L585">
        <v>292.18</v>
      </c>
      <c r="M585">
        <v>15.65</v>
      </c>
      <c r="N585">
        <v>4339.08</v>
      </c>
      <c r="O585">
        <v>1355.58</v>
      </c>
      <c r="P585">
        <v>2983.5</v>
      </c>
      <c r="Q585">
        <v>30.1</v>
      </c>
      <c r="R585">
        <v>221.8</v>
      </c>
      <c r="S585">
        <v>270</v>
      </c>
      <c r="T585">
        <v>99</v>
      </c>
      <c r="U585">
        <v>6</v>
      </c>
      <c r="V585">
        <v>49</v>
      </c>
      <c r="W585">
        <v>25</v>
      </c>
      <c r="X585">
        <v>29.32</v>
      </c>
      <c r="Y585">
        <v>1.82</v>
      </c>
      <c r="Z585">
        <v>68.76000000000001</v>
      </c>
      <c r="AA585">
        <v>2177.42</v>
      </c>
      <c r="AB585">
        <v>1147.54</v>
      </c>
      <c r="AC585">
        <v>364.57</v>
      </c>
      <c r="AD585">
        <v>360</v>
      </c>
      <c r="AE585">
        <v>182.24</v>
      </c>
      <c r="AF585">
        <v>4231.77</v>
      </c>
      <c r="AG585">
        <v>-1500.17</v>
      </c>
      <c r="AH585">
        <v>-34.57</v>
      </c>
    </row>
    <row r="586" spans="1:34">
      <c r="A586" t="s">
        <v>1032</v>
      </c>
      <c r="B586" t="s">
        <v>260</v>
      </c>
      <c r="C586" t="b">
        <v>0</v>
      </c>
      <c r="D586" t="b">
        <v>0</v>
      </c>
      <c r="E586" t="s">
        <v>1472</v>
      </c>
      <c r="F586" t="s">
        <v>1476</v>
      </c>
      <c r="G586" t="s">
        <v>1501</v>
      </c>
      <c r="H586">
        <v>38.3</v>
      </c>
      <c r="I586">
        <v>13</v>
      </c>
      <c r="J586">
        <v>167</v>
      </c>
      <c r="K586">
        <v>5197.32</v>
      </c>
      <c r="L586">
        <v>334.78</v>
      </c>
      <c r="M586">
        <v>0</v>
      </c>
      <c r="N586">
        <v>4862.54</v>
      </c>
      <c r="O586">
        <v>1578.19</v>
      </c>
      <c r="P586">
        <v>3284.35</v>
      </c>
      <c r="Q586">
        <v>27.46</v>
      </c>
      <c r="R586">
        <v>391.54</v>
      </c>
      <c r="S586">
        <v>298</v>
      </c>
      <c r="T586">
        <v>126</v>
      </c>
      <c r="U586">
        <v>7</v>
      </c>
      <c r="V586">
        <v>41</v>
      </c>
      <c r="W586">
        <v>45</v>
      </c>
      <c r="X586">
        <v>29.12</v>
      </c>
      <c r="Y586">
        <v>1.78</v>
      </c>
      <c r="Z586">
        <v>67.54000000000001</v>
      </c>
      <c r="AA586">
        <v>2177.42</v>
      </c>
      <c r="AB586">
        <v>1147.54</v>
      </c>
      <c r="AC586">
        <v>361.13</v>
      </c>
      <c r="AD586">
        <v>360</v>
      </c>
      <c r="AE586">
        <v>153.37</v>
      </c>
      <c r="AF586">
        <v>4199.46</v>
      </c>
      <c r="AG586">
        <v>-1334.11</v>
      </c>
      <c r="AH586">
        <v>-27.44</v>
      </c>
    </row>
    <row r="587" spans="1:34">
      <c r="A587" t="s">
        <v>1033</v>
      </c>
      <c r="B587" t="s">
        <v>261</v>
      </c>
      <c r="C587" t="b">
        <v>0</v>
      </c>
      <c r="D587" t="b">
        <v>0</v>
      </c>
      <c r="E587" t="s">
        <v>1472</v>
      </c>
      <c r="F587" t="s">
        <v>1476</v>
      </c>
      <c r="G587" t="s">
        <v>1501</v>
      </c>
      <c r="H587">
        <v>37.9</v>
      </c>
      <c r="I587">
        <v>14</v>
      </c>
      <c r="J587">
        <v>210</v>
      </c>
      <c r="K587">
        <v>6891.19</v>
      </c>
      <c r="L587">
        <v>386.09</v>
      </c>
      <c r="M587">
        <v>20.87</v>
      </c>
      <c r="N587">
        <v>6484.23</v>
      </c>
      <c r="O587">
        <v>2029.04</v>
      </c>
      <c r="P587">
        <v>4455.19</v>
      </c>
      <c r="Q587">
        <v>45.95</v>
      </c>
      <c r="R587">
        <v>349.22</v>
      </c>
      <c r="S587">
        <v>393</v>
      </c>
      <c r="T587">
        <v>140</v>
      </c>
      <c r="U587">
        <v>7</v>
      </c>
      <c r="V587">
        <v>70</v>
      </c>
      <c r="W587">
        <v>41</v>
      </c>
      <c r="X587">
        <v>30.88</v>
      </c>
      <c r="Y587">
        <v>1.87</v>
      </c>
      <c r="Z587">
        <v>68.70999999999999</v>
      </c>
      <c r="AA587">
        <v>2177.42</v>
      </c>
      <c r="AB587">
        <v>1147.54</v>
      </c>
      <c r="AC587">
        <v>400.51</v>
      </c>
      <c r="AD587">
        <v>360</v>
      </c>
      <c r="AE587">
        <v>204.9</v>
      </c>
      <c r="AF587">
        <v>4290.37</v>
      </c>
      <c r="AG587">
        <v>-230.35</v>
      </c>
      <c r="AH587">
        <v>-3.55</v>
      </c>
    </row>
    <row r="588" spans="1:34">
      <c r="A588" t="s">
        <v>1034</v>
      </c>
      <c r="B588" t="s">
        <v>262</v>
      </c>
      <c r="C588" t="b">
        <v>1</v>
      </c>
      <c r="D588" t="b">
        <v>0</v>
      </c>
      <c r="E588" t="s">
        <v>1472</v>
      </c>
      <c r="F588" t="s">
        <v>1476</v>
      </c>
      <c r="G588" t="s">
        <v>81</v>
      </c>
      <c r="H588">
        <v>36.4</v>
      </c>
      <c r="I588">
        <v>15</v>
      </c>
      <c r="J588">
        <v>157</v>
      </c>
      <c r="K588">
        <v>5825.15</v>
      </c>
      <c r="L588">
        <v>179.12</v>
      </c>
      <c r="M588">
        <v>20</v>
      </c>
      <c r="N588">
        <v>5626.03</v>
      </c>
      <c r="O588">
        <v>1689</v>
      </c>
      <c r="P588">
        <v>3937.03</v>
      </c>
      <c r="Q588">
        <v>36.54</v>
      </c>
      <c r="R588">
        <v>391.95</v>
      </c>
      <c r="S588">
        <v>330</v>
      </c>
      <c r="T588">
        <v>102</v>
      </c>
      <c r="U588">
        <v>3</v>
      </c>
      <c r="V588">
        <v>55</v>
      </c>
      <c r="W588">
        <v>43</v>
      </c>
      <c r="X588">
        <v>35.83</v>
      </c>
      <c r="Y588">
        <v>2.1</v>
      </c>
      <c r="Z588">
        <v>69.98</v>
      </c>
      <c r="AA588">
        <v>2177.42</v>
      </c>
      <c r="AB588">
        <v>1147.54</v>
      </c>
      <c r="AC588">
        <v>366.35</v>
      </c>
      <c r="AD588">
        <v>110</v>
      </c>
      <c r="AE588">
        <v>184.87</v>
      </c>
      <c r="AF588">
        <v>3986.18</v>
      </c>
      <c r="AG588">
        <v>-477.64</v>
      </c>
      <c r="AH588">
        <v>-8.49</v>
      </c>
    </row>
    <row r="589" spans="1:34">
      <c r="A589" t="s">
        <v>1035</v>
      </c>
      <c r="B589" t="s">
        <v>263</v>
      </c>
      <c r="C589" t="b">
        <v>1</v>
      </c>
      <c r="D589" t="b">
        <v>0</v>
      </c>
      <c r="E589" t="s">
        <v>1472</v>
      </c>
      <c r="F589" t="s">
        <v>1476</v>
      </c>
      <c r="G589" t="s">
        <v>81</v>
      </c>
      <c r="H589">
        <v>38.6</v>
      </c>
      <c r="I589">
        <v>16</v>
      </c>
      <c r="J589">
        <v>167</v>
      </c>
      <c r="K589">
        <v>6866.84</v>
      </c>
      <c r="L589">
        <v>178.25</v>
      </c>
      <c r="M589">
        <v>0</v>
      </c>
      <c r="N589">
        <v>6688.59</v>
      </c>
      <c r="O589">
        <v>1994.56</v>
      </c>
      <c r="P589">
        <v>4694.03</v>
      </c>
      <c r="Q589">
        <v>50.17</v>
      </c>
      <c r="R589">
        <v>366.88</v>
      </c>
      <c r="S589">
        <v>400</v>
      </c>
      <c r="T589">
        <v>115</v>
      </c>
      <c r="U589">
        <v>9</v>
      </c>
      <c r="V589">
        <v>52</v>
      </c>
      <c r="W589">
        <v>44</v>
      </c>
      <c r="X589">
        <v>40.05</v>
      </c>
      <c r="Y589">
        <v>2.4</v>
      </c>
      <c r="Z589">
        <v>70.18000000000001</v>
      </c>
      <c r="AA589">
        <v>2177.42</v>
      </c>
      <c r="AB589">
        <v>1147.54</v>
      </c>
      <c r="AC589">
        <v>379.86</v>
      </c>
      <c r="AD589">
        <v>110</v>
      </c>
      <c r="AE589">
        <v>146.31</v>
      </c>
      <c r="AF589">
        <v>3961.13</v>
      </c>
      <c r="AG589">
        <v>315.85</v>
      </c>
      <c r="AH589">
        <v>4.72</v>
      </c>
    </row>
    <row r="590" spans="1:34">
      <c r="A590" t="s">
        <v>449</v>
      </c>
      <c r="B590" t="s">
        <v>75</v>
      </c>
      <c r="C590" t="b">
        <v>0</v>
      </c>
      <c r="D590" t="b">
        <v>0</v>
      </c>
      <c r="E590" t="s">
        <v>1472</v>
      </c>
      <c r="F590" t="s">
        <v>1476</v>
      </c>
      <c r="G590" t="s">
        <v>1501</v>
      </c>
      <c r="H590">
        <v>37.7</v>
      </c>
      <c r="I590">
        <v>17</v>
      </c>
      <c r="J590">
        <v>152</v>
      </c>
      <c r="K590">
        <v>4421.6</v>
      </c>
      <c r="L590">
        <v>181.75</v>
      </c>
      <c r="M590">
        <v>10.43</v>
      </c>
      <c r="N590">
        <v>4229.42</v>
      </c>
      <c r="O590">
        <v>1311.65</v>
      </c>
      <c r="P590">
        <v>2917.77</v>
      </c>
      <c r="Q590">
        <v>30.32</v>
      </c>
      <c r="R590">
        <v>243.58</v>
      </c>
      <c r="S590">
        <v>261</v>
      </c>
      <c r="T590">
        <v>118</v>
      </c>
      <c r="U590">
        <v>3</v>
      </c>
      <c r="V590">
        <v>34</v>
      </c>
      <c r="W590">
        <v>30</v>
      </c>
      <c r="X590">
        <v>27.83</v>
      </c>
      <c r="Y590">
        <v>1.72</v>
      </c>
      <c r="Z590">
        <v>68.98999999999999</v>
      </c>
      <c r="AA590">
        <v>2177.42</v>
      </c>
      <c r="AB590">
        <v>1147.54</v>
      </c>
      <c r="AC590">
        <v>386.97</v>
      </c>
      <c r="AD590">
        <v>360</v>
      </c>
      <c r="AE590">
        <v>170.9</v>
      </c>
      <c r="AF590">
        <v>4242.83</v>
      </c>
      <c r="AG590">
        <v>-1598.96</v>
      </c>
      <c r="AH590">
        <v>-37.81</v>
      </c>
    </row>
    <row r="591" spans="1:34">
      <c r="A591" t="s">
        <v>1036</v>
      </c>
      <c r="B591" t="s">
        <v>258</v>
      </c>
      <c r="C591" t="b">
        <v>0</v>
      </c>
      <c r="D591" t="b">
        <v>0</v>
      </c>
      <c r="E591" t="s">
        <v>1472</v>
      </c>
      <c r="F591" t="s">
        <v>1476</v>
      </c>
      <c r="G591" t="s">
        <v>1501</v>
      </c>
      <c r="H591">
        <v>38.9</v>
      </c>
      <c r="I591">
        <v>18</v>
      </c>
      <c r="J591">
        <v>195</v>
      </c>
      <c r="K591">
        <v>6340.76</v>
      </c>
      <c r="L591">
        <v>389.15</v>
      </c>
      <c r="M591">
        <v>0</v>
      </c>
      <c r="N591">
        <v>5951.61</v>
      </c>
      <c r="O591">
        <v>1842.36</v>
      </c>
      <c r="P591">
        <v>4109.25</v>
      </c>
      <c r="Q591">
        <v>40.15</v>
      </c>
      <c r="R591">
        <v>360.99</v>
      </c>
      <c r="S591">
        <v>365</v>
      </c>
      <c r="T591">
        <v>138</v>
      </c>
      <c r="U591">
        <v>9</v>
      </c>
      <c r="V591">
        <v>57</v>
      </c>
      <c r="W591">
        <v>47</v>
      </c>
      <c r="X591">
        <v>30.52</v>
      </c>
      <c r="Y591">
        <v>1.87</v>
      </c>
      <c r="Z591">
        <v>69.04000000000001</v>
      </c>
      <c r="AA591">
        <v>2177.42</v>
      </c>
      <c r="AB591">
        <v>1147.54</v>
      </c>
      <c r="AC591">
        <v>359.95</v>
      </c>
      <c r="AD591">
        <v>360</v>
      </c>
      <c r="AE591">
        <v>191.38</v>
      </c>
      <c r="AF591">
        <v>4236.29</v>
      </c>
      <c r="AG591">
        <v>-528.1799999999999</v>
      </c>
      <c r="AH591">
        <v>-8.869999999999999</v>
      </c>
    </row>
    <row r="592" spans="1:34">
      <c r="A592" t="s">
        <v>1037</v>
      </c>
      <c r="B592" t="s">
        <v>259</v>
      </c>
      <c r="C592" t="b">
        <v>0</v>
      </c>
      <c r="D592" t="b">
        <v>0</v>
      </c>
      <c r="E592" t="s">
        <v>1472</v>
      </c>
      <c r="F592" t="s">
        <v>1476</v>
      </c>
      <c r="G592" t="s">
        <v>1501</v>
      </c>
      <c r="H592">
        <v>37.6</v>
      </c>
      <c r="I592">
        <v>19</v>
      </c>
      <c r="J592">
        <v>171</v>
      </c>
      <c r="K592">
        <v>5135.53</v>
      </c>
      <c r="L592">
        <v>318.27</v>
      </c>
      <c r="M592">
        <v>0</v>
      </c>
      <c r="N592">
        <v>4817.26</v>
      </c>
      <c r="O592">
        <v>1474.45</v>
      </c>
      <c r="P592">
        <v>3342.81</v>
      </c>
      <c r="Q592">
        <v>36.81</v>
      </c>
      <c r="R592">
        <v>248.08</v>
      </c>
      <c r="S592">
        <v>302</v>
      </c>
      <c r="T592">
        <v>120</v>
      </c>
      <c r="U592">
        <v>4</v>
      </c>
      <c r="V592">
        <v>51</v>
      </c>
      <c r="W592">
        <v>30</v>
      </c>
      <c r="X592">
        <v>28.17</v>
      </c>
      <c r="Y592">
        <v>1.77</v>
      </c>
      <c r="Z592">
        <v>69.39</v>
      </c>
      <c r="AA592">
        <v>2177.42</v>
      </c>
      <c r="AB592">
        <v>1147.54</v>
      </c>
      <c r="AC592">
        <v>366.26</v>
      </c>
      <c r="AD592">
        <v>360</v>
      </c>
      <c r="AE592">
        <v>219.36</v>
      </c>
      <c r="AF592">
        <v>4270.58</v>
      </c>
      <c r="AG592">
        <v>-1212.66</v>
      </c>
      <c r="AH592">
        <v>-25.17</v>
      </c>
    </row>
    <row r="593" spans="1:34">
      <c r="A593" t="s">
        <v>1038</v>
      </c>
      <c r="B593" t="s">
        <v>260</v>
      </c>
      <c r="C593" t="b">
        <v>0</v>
      </c>
      <c r="D593" t="b">
        <v>0</v>
      </c>
      <c r="E593" t="s">
        <v>1472</v>
      </c>
      <c r="F593" t="s">
        <v>1476</v>
      </c>
      <c r="G593" t="s">
        <v>1501</v>
      </c>
      <c r="H593">
        <v>37.3</v>
      </c>
      <c r="I593">
        <v>20</v>
      </c>
      <c r="J593">
        <v>211</v>
      </c>
      <c r="K593">
        <v>7181.67</v>
      </c>
      <c r="L593">
        <v>612.4299999999999</v>
      </c>
      <c r="M593">
        <v>16.52</v>
      </c>
      <c r="N593">
        <v>6552.72</v>
      </c>
      <c r="O593">
        <v>2160.83</v>
      </c>
      <c r="P593">
        <v>4391.89</v>
      </c>
      <c r="Q593">
        <v>40.77</v>
      </c>
      <c r="R593">
        <v>473.99</v>
      </c>
      <c r="S593">
        <v>411</v>
      </c>
      <c r="T593">
        <v>149</v>
      </c>
      <c r="U593">
        <v>16</v>
      </c>
      <c r="V593">
        <v>62</v>
      </c>
      <c r="W593">
        <v>50</v>
      </c>
      <c r="X593">
        <v>31.06</v>
      </c>
      <c r="Y593">
        <v>1.95</v>
      </c>
      <c r="Z593">
        <v>67.02</v>
      </c>
      <c r="AA593">
        <v>2177.42</v>
      </c>
      <c r="AB593">
        <v>1147.54</v>
      </c>
      <c r="AC593">
        <v>359.02</v>
      </c>
      <c r="AD593">
        <v>360</v>
      </c>
      <c r="AE593">
        <v>160.64</v>
      </c>
      <c r="AF593">
        <v>4204.62</v>
      </c>
      <c r="AG593">
        <v>-327.49</v>
      </c>
      <c r="AH593">
        <v>-5</v>
      </c>
    </row>
    <row r="594" spans="1:34">
      <c r="A594" t="s">
        <v>1039</v>
      </c>
      <c r="B594" t="s">
        <v>261</v>
      </c>
      <c r="C594" t="b">
        <v>0</v>
      </c>
      <c r="D594" t="b">
        <v>0</v>
      </c>
      <c r="E594" t="s">
        <v>1472</v>
      </c>
      <c r="F594" t="s">
        <v>1476</v>
      </c>
      <c r="G594" t="s">
        <v>1501</v>
      </c>
      <c r="H594">
        <v>39.1</v>
      </c>
      <c r="I594">
        <v>21</v>
      </c>
      <c r="J594">
        <v>181</v>
      </c>
      <c r="K594">
        <v>6520.79</v>
      </c>
      <c r="L594">
        <v>280.67</v>
      </c>
      <c r="M594">
        <v>37.39</v>
      </c>
      <c r="N594">
        <v>6202.73</v>
      </c>
      <c r="O594">
        <v>1920.57</v>
      </c>
      <c r="P594">
        <v>4282.16</v>
      </c>
      <c r="Q594">
        <v>42.27</v>
      </c>
      <c r="R594">
        <v>380.07</v>
      </c>
      <c r="S594">
        <v>375</v>
      </c>
      <c r="T594">
        <v>128</v>
      </c>
      <c r="U594">
        <v>8</v>
      </c>
      <c r="V594">
        <v>53</v>
      </c>
      <c r="W594">
        <v>39</v>
      </c>
      <c r="X594">
        <v>34.27</v>
      </c>
      <c r="Y594">
        <v>2.07</v>
      </c>
      <c r="Z594">
        <v>69.04000000000001</v>
      </c>
      <c r="AA594">
        <v>2177.42</v>
      </c>
      <c r="AB594">
        <v>1147.54</v>
      </c>
      <c r="AC594">
        <v>394.86</v>
      </c>
      <c r="AD594">
        <v>360</v>
      </c>
      <c r="AE594">
        <v>175.36</v>
      </c>
      <c r="AF594">
        <v>4255.18</v>
      </c>
      <c r="AG594">
        <v>-395.36</v>
      </c>
      <c r="AH594">
        <v>-6.37</v>
      </c>
    </row>
    <row r="595" spans="1:34">
      <c r="A595" t="s">
        <v>1040</v>
      </c>
      <c r="B595" t="s">
        <v>262</v>
      </c>
      <c r="C595" t="b">
        <v>1</v>
      </c>
      <c r="D595" t="b">
        <v>0</v>
      </c>
      <c r="E595" t="s">
        <v>1472</v>
      </c>
      <c r="F595" t="s">
        <v>1476</v>
      </c>
      <c r="G595" t="s">
        <v>81</v>
      </c>
      <c r="H595">
        <v>38.8</v>
      </c>
      <c r="I595">
        <v>22</v>
      </c>
      <c r="J595">
        <v>194</v>
      </c>
      <c r="K595">
        <v>7586.92</v>
      </c>
      <c r="L595">
        <v>249.56</v>
      </c>
      <c r="M595">
        <v>20.87</v>
      </c>
      <c r="N595">
        <v>7316.49</v>
      </c>
      <c r="O595">
        <v>2202.85</v>
      </c>
      <c r="P595">
        <v>5113.64</v>
      </c>
      <c r="Q595">
        <v>51.86</v>
      </c>
      <c r="R595">
        <v>455.28</v>
      </c>
      <c r="S595">
        <v>432</v>
      </c>
      <c r="T595">
        <v>140</v>
      </c>
      <c r="U595">
        <v>10</v>
      </c>
      <c r="V595">
        <v>54</v>
      </c>
      <c r="W595">
        <v>50</v>
      </c>
      <c r="X595">
        <v>37.71</v>
      </c>
      <c r="Y595">
        <v>2.23</v>
      </c>
      <c r="Z595">
        <v>69.89</v>
      </c>
      <c r="AA595">
        <v>2177.42</v>
      </c>
      <c r="AB595">
        <v>1147.54</v>
      </c>
      <c r="AC595">
        <v>431.5</v>
      </c>
      <c r="AD595">
        <v>110</v>
      </c>
      <c r="AE595">
        <v>200.28</v>
      </c>
      <c r="AF595">
        <v>4066.74</v>
      </c>
      <c r="AG595">
        <v>539.76</v>
      </c>
      <c r="AH595">
        <v>7.38</v>
      </c>
    </row>
    <row r="596" spans="1:34">
      <c r="A596" t="s">
        <v>1041</v>
      </c>
      <c r="B596" t="s">
        <v>263</v>
      </c>
      <c r="C596" t="b">
        <v>1</v>
      </c>
      <c r="D596" t="b">
        <v>0</v>
      </c>
      <c r="E596" t="s">
        <v>1472</v>
      </c>
      <c r="F596" t="s">
        <v>1476</v>
      </c>
      <c r="G596" t="s">
        <v>81</v>
      </c>
      <c r="H596">
        <v>39</v>
      </c>
      <c r="I596">
        <v>23</v>
      </c>
      <c r="J596">
        <v>154</v>
      </c>
      <c r="K596">
        <v>5516.46</v>
      </c>
      <c r="L596">
        <v>130.43</v>
      </c>
      <c r="M596">
        <v>40</v>
      </c>
      <c r="N596">
        <v>5346.03</v>
      </c>
      <c r="O596">
        <v>1608.07</v>
      </c>
      <c r="P596">
        <v>3737.96</v>
      </c>
      <c r="Q596">
        <v>35.81</v>
      </c>
      <c r="R596">
        <v>344.54</v>
      </c>
      <c r="S596">
        <v>311</v>
      </c>
      <c r="T596">
        <v>107</v>
      </c>
      <c r="U596">
        <v>6</v>
      </c>
      <c r="V596">
        <v>47</v>
      </c>
      <c r="W596">
        <v>39</v>
      </c>
      <c r="X596">
        <v>34.71</v>
      </c>
      <c r="Y596">
        <v>2.02</v>
      </c>
      <c r="Z596">
        <v>69.92</v>
      </c>
      <c r="AA596">
        <v>2177.42</v>
      </c>
      <c r="AB596">
        <v>1147.54</v>
      </c>
      <c r="AC596">
        <v>395.23</v>
      </c>
      <c r="AD596">
        <v>110</v>
      </c>
      <c r="AE596">
        <v>219.47</v>
      </c>
      <c r="AF596">
        <v>4049.66</v>
      </c>
      <c r="AG596">
        <v>-692.05</v>
      </c>
      <c r="AH596">
        <v>-12.95</v>
      </c>
    </row>
    <row r="597" spans="1:34">
      <c r="A597" t="s">
        <v>450</v>
      </c>
      <c r="B597" t="s">
        <v>75</v>
      </c>
      <c r="C597" t="b">
        <v>0</v>
      </c>
      <c r="D597" t="b">
        <v>0</v>
      </c>
      <c r="E597" t="s">
        <v>1472</v>
      </c>
      <c r="F597" t="s">
        <v>82</v>
      </c>
      <c r="G597" t="s">
        <v>1502</v>
      </c>
      <c r="H597">
        <v>40</v>
      </c>
      <c r="I597">
        <v>24</v>
      </c>
      <c r="J597">
        <v>232</v>
      </c>
      <c r="K597">
        <v>6930.22</v>
      </c>
      <c r="L597">
        <v>456.12</v>
      </c>
      <c r="M597">
        <v>13.04</v>
      </c>
      <c r="N597">
        <v>6461.06</v>
      </c>
      <c r="O597">
        <v>2018.31</v>
      </c>
      <c r="P597">
        <v>4442.75</v>
      </c>
      <c r="Q597">
        <v>42.66</v>
      </c>
      <c r="R597">
        <v>385.81</v>
      </c>
      <c r="S597">
        <v>407</v>
      </c>
      <c r="T597">
        <v>171</v>
      </c>
      <c r="U597">
        <v>17</v>
      </c>
      <c r="V597">
        <v>61</v>
      </c>
      <c r="W597">
        <v>47</v>
      </c>
      <c r="X597">
        <v>27.85</v>
      </c>
      <c r="Y597">
        <v>1.75</v>
      </c>
      <c r="Z597">
        <v>68.76000000000001</v>
      </c>
      <c r="AA597">
        <v>2177.42</v>
      </c>
      <c r="AB597">
        <v>1147.54</v>
      </c>
      <c r="AC597">
        <v>389.43</v>
      </c>
      <c r="AD597">
        <v>660</v>
      </c>
      <c r="AE597">
        <v>174.72</v>
      </c>
      <c r="AF597">
        <v>4549.11</v>
      </c>
      <c r="AG597">
        <v>-534.83</v>
      </c>
      <c r="AH597">
        <v>-8.279999999999999</v>
      </c>
    </row>
    <row r="598" spans="1:34">
      <c r="A598" t="s">
        <v>1042</v>
      </c>
      <c r="B598" t="s">
        <v>258</v>
      </c>
      <c r="C598" t="b">
        <v>0</v>
      </c>
      <c r="D598" t="b">
        <v>0</v>
      </c>
      <c r="E598" t="s">
        <v>1472</v>
      </c>
      <c r="F598" t="s">
        <v>82</v>
      </c>
      <c r="G598" t="s">
        <v>1502</v>
      </c>
      <c r="H598">
        <v>40</v>
      </c>
      <c r="I598">
        <v>25</v>
      </c>
      <c r="J598">
        <v>195</v>
      </c>
      <c r="K598">
        <v>5730.37</v>
      </c>
      <c r="L598">
        <v>552.61</v>
      </c>
      <c r="M598">
        <v>0</v>
      </c>
      <c r="N598">
        <v>5177.76</v>
      </c>
      <c r="O598">
        <v>1673.41</v>
      </c>
      <c r="P598">
        <v>3504.35</v>
      </c>
      <c r="Q598">
        <v>35.41</v>
      </c>
      <c r="R598">
        <v>292.54</v>
      </c>
      <c r="S598">
        <v>326</v>
      </c>
      <c r="T598">
        <v>142</v>
      </c>
      <c r="U598">
        <v>16</v>
      </c>
      <c r="V598">
        <v>53</v>
      </c>
      <c r="W598">
        <v>36</v>
      </c>
      <c r="X598">
        <v>26.55</v>
      </c>
      <c r="Y598">
        <v>1.67</v>
      </c>
      <c r="Z598">
        <v>67.68000000000001</v>
      </c>
      <c r="AA598">
        <v>2177.42</v>
      </c>
      <c r="AB598">
        <v>1147.54</v>
      </c>
      <c r="AC598">
        <v>441.7</v>
      </c>
      <c r="AD598">
        <v>660</v>
      </c>
      <c r="AE598">
        <v>205.72</v>
      </c>
      <c r="AF598">
        <v>4632.38</v>
      </c>
      <c r="AG598">
        <v>-1455.98</v>
      </c>
      <c r="AH598">
        <v>-28.12</v>
      </c>
    </row>
    <row r="599" spans="1:34">
      <c r="A599" t="s">
        <v>1043</v>
      </c>
      <c r="B599" t="s">
        <v>259</v>
      </c>
      <c r="C599" t="b">
        <v>0</v>
      </c>
      <c r="D599" t="b">
        <v>0</v>
      </c>
      <c r="E599" t="s">
        <v>1472</v>
      </c>
      <c r="F599" t="s">
        <v>82</v>
      </c>
      <c r="G599" t="s">
        <v>1502</v>
      </c>
      <c r="H599">
        <v>37.9</v>
      </c>
      <c r="I599">
        <v>26</v>
      </c>
      <c r="J599">
        <v>207</v>
      </c>
      <c r="K599">
        <v>5919.96</v>
      </c>
      <c r="L599">
        <v>467.05</v>
      </c>
      <c r="M599">
        <v>0</v>
      </c>
      <c r="N599">
        <v>5452.91</v>
      </c>
      <c r="O599">
        <v>1752.99</v>
      </c>
      <c r="P599">
        <v>3699.92</v>
      </c>
      <c r="Q599">
        <v>37.75</v>
      </c>
      <c r="R599">
        <v>326.68</v>
      </c>
      <c r="S599">
        <v>339</v>
      </c>
      <c r="T599">
        <v>158</v>
      </c>
      <c r="U599">
        <v>12</v>
      </c>
      <c r="V599">
        <v>49</v>
      </c>
      <c r="W599">
        <v>37</v>
      </c>
      <c r="X599">
        <v>26.34</v>
      </c>
      <c r="Y599">
        <v>1.64</v>
      </c>
      <c r="Z599">
        <v>67.84999999999999</v>
      </c>
      <c r="AA599">
        <v>2177.42</v>
      </c>
      <c r="AB599">
        <v>1147.54</v>
      </c>
      <c r="AC599">
        <v>359.77</v>
      </c>
      <c r="AD599">
        <v>660</v>
      </c>
      <c r="AE599">
        <v>187.6</v>
      </c>
      <c r="AF599">
        <v>4532.33</v>
      </c>
      <c r="AG599">
        <v>-1196.84</v>
      </c>
      <c r="AH599">
        <v>-21.95</v>
      </c>
    </row>
    <row r="600" spans="1:34">
      <c r="A600" t="s">
        <v>1044</v>
      </c>
      <c r="B600" t="s">
        <v>260</v>
      </c>
      <c r="C600" t="b">
        <v>0</v>
      </c>
      <c r="D600" t="b">
        <v>0</v>
      </c>
      <c r="E600" t="s">
        <v>1472</v>
      </c>
      <c r="F600" t="s">
        <v>82</v>
      </c>
      <c r="G600" t="s">
        <v>1502</v>
      </c>
      <c r="H600">
        <v>37.6</v>
      </c>
      <c r="I600">
        <v>27</v>
      </c>
      <c r="J600">
        <v>224</v>
      </c>
      <c r="K600">
        <v>7028.58</v>
      </c>
      <c r="L600">
        <v>549.1900000000001</v>
      </c>
      <c r="M600">
        <v>43.48</v>
      </c>
      <c r="N600">
        <v>6435.91</v>
      </c>
      <c r="O600">
        <v>2068.22</v>
      </c>
      <c r="P600">
        <v>4367.69</v>
      </c>
      <c r="Q600">
        <v>45.81</v>
      </c>
      <c r="R600">
        <v>339.75</v>
      </c>
      <c r="S600">
        <v>402</v>
      </c>
      <c r="T600">
        <v>158</v>
      </c>
      <c r="U600">
        <v>15</v>
      </c>
      <c r="V600">
        <v>66</v>
      </c>
      <c r="W600">
        <v>41</v>
      </c>
      <c r="X600">
        <v>28.73</v>
      </c>
      <c r="Y600">
        <v>1.79</v>
      </c>
      <c r="Z600">
        <v>67.86</v>
      </c>
      <c r="AA600">
        <v>2177.42</v>
      </c>
      <c r="AB600">
        <v>1147.54</v>
      </c>
      <c r="AC600">
        <v>376.4</v>
      </c>
      <c r="AD600">
        <v>660</v>
      </c>
      <c r="AE600">
        <v>191.14</v>
      </c>
      <c r="AF600">
        <v>4552.5</v>
      </c>
      <c r="AG600">
        <v>-570.37</v>
      </c>
      <c r="AH600">
        <v>-8.859999999999999</v>
      </c>
    </row>
    <row r="601" spans="1:34">
      <c r="A601" t="s">
        <v>1045</v>
      </c>
      <c r="B601" t="s">
        <v>261</v>
      </c>
      <c r="C601" t="b">
        <v>0</v>
      </c>
      <c r="D601" t="b">
        <v>0</v>
      </c>
      <c r="E601" t="s">
        <v>1472</v>
      </c>
      <c r="F601" t="s">
        <v>82</v>
      </c>
      <c r="G601" t="s">
        <v>1502</v>
      </c>
      <c r="H601">
        <v>36.1</v>
      </c>
      <c r="I601">
        <v>28</v>
      </c>
      <c r="J601">
        <v>335</v>
      </c>
      <c r="K601">
        <v>11238.93</v>
      </c>
      <c r="L601">
        <v>733.23</v>
      </c>
      <c r="M601">
        <v>96.53</v>
      </c>
      <c r="N601">
        <v>10409.17</v>
      </c>
      <c r="O601">
        <v>3240.53</v>
      </c>
      <c r="P601">
        <v>7168.64</v>
      </c>
      <c r="Q601">
        <v>75.56999999999999</v>
      </c>
      <c r="R601">
        <v>518.5</v>
      </c>
      <c r="S601">
        <v>655</v>
      </c>
      <c r="T601">
        <v>231</v>
      </c>
      <c r="U601">
        <v>28</v>
      </c>
      <c r="V601">
        <v>104</v>
      </c>
      <c r="W601">
        <v>56</v>
      </c>
      <c r="X601">
        <v>31.07</v>
      </c>
      <c r="Y601">
        <v>1.96</v>
      </c>
      <c r="Z601">
        <v>68.87</v>
      </c>
      <c r="AA601">
        <v>2177.42</v>
      </c>
      <c r="AB601">
        <v>1147.54</v>
      </c>
      <c r="AC601">
        <v>356.17</v>
      </c>
      <c r="AD601">
        <v>660</v>
      </c>
      <c r="AE601">
        <v>194.5</v>
      </c>
      <c r="AF601">
        <v>4535.63</v>
      </c>
      <c r="AG601">
        <v>2038.94</v>
      </c>
      <c r="AH601">
        <v>19.59</v>
      </c>
    </row>
    <row r="602" spans="1:34">
      <c r="A602" t="s">
        <v>1046</v>
      </c>
      <c r="B602" t="s">
        <v>262</v>
      </c>
      <c r="C602" t="b">
        <v>1</v>
      </c>
      <c r="D602" t="b">
        <v>0</v>
      </c>
      <c r="E602" t="s">
        <v>1472</v>
      </c>
      <c r="F602" t="s">
        <v>82</v>
      </c>
      <c r="G602" t="s">
        <v>306</v>
      </c>
      <c r="H602">
        <v>35.7</v>
      </c>
      <c r="I602">
        <v>29</v>
      </c>
      <c r="J602">
        <v>197</v>
      </c>
      <c r="K602">
        <v>8050.39</v>
      </c>
      <c r="L602">
        <v>173.95</v>
      </c>
      <c r="M602">
        <v>20.87</v>
      </c>
      <c r="N602">
        <v>7855.57</v>
      </c>
      <c r="O602">
        <v>2364.21</v>
      </c>
      <c r="P602">
        <v>5491.36</v>
      </c>
      <c r="Q602">
        <v>56.67</v>
      </c>
      <c r="R602">
        <v>352.94</v>
      </c>
      <c r="S602">
        <v>469</v>
      </c>
      <c r="T602">
        <v>138</v>
      </c>
      <c r="U602">
        <v>10</v>
      </c>
      <c r="V602">
        <v>59</v>
      </c>
      <c r="W602">
        <v>37</v>
      </c>
      <c r="X602">
        <v>39.88</v>
      </c>
      <c r="Y602">
        <v>2.38</v>
      </c>
      <c r="Z602">
        <v>69.90000000000001</v>
      </c>
      <c r="AA602">
        <v>2177.42</v>
      </c>
      <c r="AB602">
        <v>1147.54</v>
      </c>
      <c r="AC602">
        <v>353.11</v>
      </c>
      <c r="AD602">
        <v>410</v>
      </c>
      <c r="AE602">
        <v>182.48</v>
      </c>
      <c r="AF602">
        <v>4270.55</v>
      </c>
      <c r="AG602">
        <v>811.2</v>
      </c>
      <c r="AH602">
        <v>10.33</v>
      </c>
    </row>
    <row r="603" spans="1:34">
      <c r="A603" t="s">
        <v>1047</v>
      </c>
      <c r="B603" t="s">
        <v>263</v>
      </c>
      <c r="C603" t="b">
        <v>1</v>
      </c>
      <c r="D603" t="b">
        <v>0</v>
      </c>
      <c r="E603" t="s">
        <v>1472</v>
      </c>
      <c r="F603" t="s">
        <v>82</v>
      </c>
      <c r="G603" t="s">
        <v>306</v>
      </c>
      <c r="H603">
        <v>35.9</v>
      </c>
      <c r="I603">
        <v>30</v>
      </c>
      <c r="J603">
        <v>176</v>
      </c>
      <c r="K603">
        <v>6896.41</v>
      </c>
      <c r="L603">
        <v>251.5</v>
      </c>
      <c r="M603">
        <v>0</v>
      </c>
      <c r="N603">
        <v>6644.91</v>
      </c>
      <c r="O603">
        <v>2005.73</v>
      </c>
      <c r="P603">
        <v>4639.18</v>
      </c>
      <c r="Q603">
        <v>57.69</v>
      </c>
      <c r="R603">
        <v>313.17</v>
      </c>
      <c r="S603">
        <v>404</v>
      </c>
      <c r="T603">
        <v>133</v>
      </c>
      <c r="U603">
        <v>22</v>
      </c>
      <c r="V603">
        <v>43</v>
      </c>
      <c r="W603">
        <v>32</v>
      </c>
      <c r="X603">
        <v>37.76</v>
      </c>
      <c r="Y603">
        <v>2.3</v>
      </c>
      <c r="Z603">
        <v>69.81999999999999</v>
      </c>
      <c r="AA603">
        <v>2177.42</v>
      </c>
      <c r="AB603">
        <v>1147.54</v>
      </c>
      <c r="AC603">
        <v>366.51</v>
      </c>
      <c r="AD603">
        <v>410</v>
      </c>
      <c r="AE603">
        <v>163.52</v>
      </c>
      <c r="AF603">
        <v>4264.99</v>
      </c>
      <c r="AG603">
        <v>3.33</v>
      </c>
      <c r="AH603">
        <v>0.05</v>
      </c>
    </row>
    <row r="604" spans="1:34">
      <c r="A604" t="s">
        <v>451</v>
      </c>
      <c r="B604" t="s">
        <v>75</v>
      </c>
      <c r="C604" t="b">
        <v>0</v>
      </c>
      <c r="D604" t="b">
        <v>0</v>
      </c>
      <c r="E604" t="s">
        <v>1472</v>
      </c>
      <c r="F604" t="s">
        <v>82</v>
      </c>
      <c r="G604" t="s">
        <v>1502</v>
      </c>
      <c r="H604">
        <v>35.4</v>
      </c>
      <c r="I604">
        <v>31</v>
      </c>
      <c r="J604">
        <v>217</v>
      </c>
      <c r="K604">
        <v>6333.86</v>
      </c>
      <c r="L604">
        <v>449.52</v>
      </c>
      <c r="M604">
        <v>0</v>
      </c>
      <c r="N604">
        <v>5884.34</v>
      </c>
      <c r="O604">
        <v>1834.06</v>
      </c>
      <c r="P604">
        <v>4050.28</v>
      </c>
      <c r="Q604">
        <v>42.02</v>
      </c>
      <c r="R604">
        <v>331.76</v>
      </c>
      <c r="S604">
        <v>381</v>
      </c>
      <c r="T604">
        <v>156</v>
      </c>
      <c r="U604">
        <v>12</v>
      </c>
      <c r="V604">
        <v>61</v>
      </c>
      <c r="W604">
        <v>38</v>
      </c>
      <c r="X604">
        <v>27.12</v>
      </c>
      <c r="Y604">
        <v>1.76</v>
      </c>
      <c r="Z604">
        <v>68.83</v>
      </c>
      <c r="AA604">
        <v>2177.42</v>
      </c>
      <c r="AB604">
        <v>1147.54</v>
      </c>
      <c r="AC604">
        <v>357.56</v>
      </c>
      <c r="AD604">
        <v>660</v>
      </c>
      <c r="AE604">
        <v>205.3</v>
      </c>
      <c r="AF604">
        <v>4547.82</v>
      </c>
      <c r="AG604">
        <v>-871.3200000000001</v>
      </c>
      <c r="AH604">
        <v>-14.81</v>
      </c>
    </row>
    <row r="605" spans="1:34">
      <c r="A605" t="s">
        <v>1048</v>
      </c>
      <c r="B605" t="s">
        <v>258</v>
      </c>
      <c r="C605" t="b">
        <v>0</v>
      </c>
      <c r="D605" t="b">
        <v>0</v>
      </c>
      <c r="E605" t="s">
        <v>1472</v>
      </c>
      <c r="F605" t="s">
        <v>82</v>
      </c>
      <c r="G605" t="s">
        <v>1502</v>
      </c>
      <c r="H605">
        <v>34</v>
      </c>
      <c r="I605">
        <v>32</v>
      </c>
      <c r="J605">
        <v>248</v>
      </c>
      <c r="K605">
        <v>6994.68</v>
      </c>
      <c r="L605">
        <v>622.3</v>
      </c>
      <c r="M605">
        <v>0</v>
      </c>
      <c r="N605">
        <v>6372.38</v>
      </c>
      <c r="O605">
        <v>2018.74</v>
      </c>
      <c r="P605">
        <v>4353.64</v>
      </c>
      <c r="Q605">
        <v>49.93</v>
      </c>
      <c r="R605">
        <v>283.35</v>
      </c>
      <c r="S605">
        <v>418</v>
      </c>
      <c r="T605">
        <v>175</v>
      </c>
      <c r="U605">
        <v>22</v>
      </c>
      <c r="V605">
        <v>73</v>
      </c>
      <c r="W605">
        <v>38</v>
      </c>
      <c r="X605">
        <v>25.7</v>
      </c>
      <c r="Y605">
        <v>1.69</v>
      </c>
      <c r="Z605">
        <v>68.31999999999999</v>
      </c>
      <c r="AA605">
        <v>2177.42</v>
      </c>
      <c r="AB605">
        <v>1147.54</v>
      </c>
      <c r="AC605">
        <v>333.48</v>
      </c>
      <c r="AD605">
        <v>660</v>
      </c>
      <c r="AE605">
        <v>222.46</v>
      </c>
      <c r="AF605">
        <v>4540.9</v>
      </c>
      <c r="AG605">
        <v>-520.54</v>
      </c>
      <c r="AH605">
        <v>-8.17</v>
      </c>
    </row>
    <row r="606" spans="1:34">
      <c r="A606" t="s">
        <v>1049</v>
      </c>
      <c r="B606" t="s">
        <v>259</v>
      </c>
      <c r="C606" t="b">
        <v>0</v>
      </c>
      <c r="D606" t="b">
        <v>0</v>
      </c>
      <c r="E606" t="s">
        <v>1472</v>
      </c>
      <c r="F606" t="s">
        <v>82</v>
      </c>
      <c r="G606" t="s">
        <v>1503</v>
      </c>
      <c r="H606">
        <v>36.1</v>
      </c>
      <c r="I606">
        <v>0</v>
      </c>
      <c r="J606">
        <v>256</v>
      </c>
      <c r="K606">
        <v>8549.469999999999</v>
      </c>
      <c r="L606">
        <v>707.4299999999999</v>
      </c>
      <c r="M606">
        <v>0</v>
      </c>
      <c r="N606">
        <v>7842.04</v>
      </c>
      <c r="O606">
        <v>2545.53</v>
      </c>
      <c r="P606">
        <v>5296.51</v>
      </c>
      <c r="Q606">
        <v>49.95</v>
      </c>
      <c r="R606">
        <v>505.77</v>
      </c>
      <c r="S606">
        <v>489</v>
      </c>
      <c r="T606">
        <v>190</v>
      </c>
      <c r="U606">
        <v>14</v>
      </c>
      <c r="V606">
        <v>66</v>
      </c>
      <c r="W606">
        <v>56</v>
      </c>
      <c r="X606">
        <v>30.63</v>
      </c>
      <c r="Y606">
        <v>1.91</v>
      </c>
      <c r="Z606">
        <v>67.54000000000001</v>
      </c>
      <c r="AA606">
        <v>2177.42</v>
      </c>
      <c r="AB606">
        <v>1147.54</v>
      </c>
      <c r="AC606">
        <v>373.32</v>
      </c>
      <c r="AD606">
        <v>660</v>
      </c>
      <c r="AE606">
        <v>164.36</v>
      </c>
      <c r="AF606">
        <v>4522.64</v>
      </c>
      <c r="AG606">
        <v>218.15</v>
      </c>
      <c r="AH606">
        <v>2.78</v>
      </c>
    </row>
    <row r="607" spans="1:34">
      <c r="A607" t="s">
        <v>1050</v>
      </c>
      <c r="B607" t="s">
        <v>260</v>
      </c>
      <c r="C607" t="b">
        <v>0</v>
      </c>
      <c r="D607" t="b">
        <v>0</v>
      </c>
      <c r="E607" t="s">
        <v>1472</v>
      </c>
      <c r="F607" t="s">
        <v>82</v>
      </c>
      <c r="G607" t="s">
        <v>1503</v>
      </c>
      <c r="H607">
        <v>35.6</v>
      </c>
      <c r="I607">
        <v>1</v>
      </c>
      <c r="J607">
        <v>232</v>
      </c>
      <c r="K607">
        <v>7689.53</v>
      </c>
      <c r="L607">
        <v>626.66</v>
      </c>
      <c r="M607">
        <v>0</v>
      </c>
      <c r="N607">
        <v>7062.87</v>
      </c>
      <c r="O607">
        <v>2292.14</v>
      </c>
      <c r="P607">
        <v>4770.73</v>
      </c>
      <c r="Q607">
        <v>46.36</v>
      </c>
      <c r="R607">
        <v>444.32</v>
      </c>
      <c r="S607">
        <v>444</v>
      </c>
      <c r="T607">
        <v>185</v>
      </c>
      <c r="U607">
        <v>19</v>
      </c>
      <c r="V607">
        <v>47</v>
      </c>
      <c r="W607">
        <v>47</v>
      </c>
      <c r="X607">
        <v>30.44</v>
      </c>
      <c r="Y607">
        <v>1.91</v>
      </c>
      <c r="Z607">
        <v>67.55</v>
      </c>
      <c r="AA607">
        <v>2177.42</v>
      </c>
      <c r="AB607">
        <v>1147.54</v>
      </c>
      <c r="AC607">
        <v>381.68</v>
      </c>
      <c r="AD607">
        <v>660</v>
      </c>
      <c r="AE607">
        <v>184.75</v>
      </c>
      <c r="AF607">
        <v>4551.39</v>
      </c>
      <c r="AG607">
        <v>-271.34</v>
      </c>
      <c r="AH607">
        <v>-3.84</v>
      </c>
    </row>
    <row r="608" spans="1:34">
      <c r="A608" t="s">
        <v>1051</v>
      </c>
      <c r="B608" t="s">
        <v>261</v>
      </c>
      <c r="C608" t="b">
        <v>0</v>
      </c>
      <c r="D608" t="b">
        <v>0</v>
      </c>
      <c r="E608" t="s">
        <v>1472</v>
      </c>
      <c r="F608" t="s">
        <v>82</v>
      </c>
      <c r="G608" t="s">
        <v>1503</v>
      </c>
      <c r="H608">
        <v>35.4</v>
      </c>
      <c r="I608">
        <v>2</v>
      </c>
      <c r="J608">
        <v>303</v>
      </c>
      <c r="K608">
        <v>10019.78</v>
      </c>
      <c r="L608">
        <v>858.13</v>
      </c>
      <c r="M608">
        <v>39.13</v>
      </c>
      <c r="N608">
        <v>9122.52</v>
      </c>
      <c r="O608">
        <v>2917.86</v>
      </c>
      <c r="P608">
        <v>6204.66</v>
      </c>
      <c r="Q608">
        <v>65.93000000000001</v>
      </c>
      <c r="R608">
        <v>400.86</v>
      </c>
      <c r="S608">
        <v>568</v>
      </c>
      <c r="T608">
        <v>202</v>
      </c>
      <c r="U608">
        <v>19</v>
      </c>
      <c r="V608">
        <v>101</v>
      </c>
      <c r="W608">
        <v>45</v>
      </c>
      <c r="X608">
        <v>30.11</v>
      </c>
      <c r="Y608">
        <v>1.87</v>
      </c>
      <c r="Z608">
        <v>68.01000000000001</v>
      </c>
      <c r="AA608">
        <v>2177.42</v>
      </c>
      <c r="AB608">
        <v>1147.54</v>
      </c>
      <c r="AC608">
        <v>375.33</v>
      </c>
      <c r="AD608">
        <v>660</v>
      </c>
      <c r="AE608">
        <v>180.9</v>
      </c>
      <c r="AF608">
        <v>4541.19</v>
      </c>
      <c r="AG608">
        <v>1196.68</v>
      </c>
      <c r="AH608">
        <v>13.12</v>
      </c>
    </row>
    <row r="609" spans="1:34">
      <c r="A609" t="s">
        <v>1052</v>
      </c>
      <c r="B609" t="s">
        <v>262</v>
      </c>
      <c r="C609" t="b">
        <v>1</v>
      </c>
      <c r="D609" t="b">
        <v>0</v>
      </c>
      <c r="E609" t="s">
        <v>1472</v>
      </c>
      <c r="F609" t="s">
        <v>82</v>
      </c>
      <c r="G609" t="s">
        <v>1504</v>
      </c>
      <c r="H609">
        <v>34.2</v>
      </c>
      <c r="I609">
        <v>3</v>
      </c>
      <c r="J609">
        <v>239</v>
      </c>
      <c r="K609">
        <v>9872.959999999999</v>
      </c>
      <c r="L609">
        <v>335.48</v>
      </c>
      <c r="M609">
        <v>60</v>
      </c>
      <c r="N609">
        <v>9477.48</v>
      </c>
      <c r="O609">
        <v>2883.16</v>
      </c>
      <c r="P609">
        <v>6594.32</v>
      </c>
      <c r="Q609">
        <v>68.7</v>
      </c>
      <c r="R609">
        <v>511.17</v>
      </c>
      <c r="S609">
        <v>563</v>
      </c>
      <c r="T609">
        <v>185</v>
      </c>
      <c r="U609">
        <v>16</v>
      </c>
      <c r="V609">
        <v>54</v>
      </c>
      <c r="W609">
        <v>46</v>
      </c>
      <c r="X609">
        <v>39.65</v>
      </c>
      <c r="Y609">
        <v>2.36</v>
      </c>
      <c r="Z609">
        <v>69.58</v>
      </c>
      <c r="AA609">
        <v>2177.42</v>
      </c>
      <c r="AB609">
        <v>1147.54</v>
      </c>
      <c r="AC609">
        <v>331.47</v>
      </c>
      <c r="AD609">
        <v>410</v>
      </c>
      <c r="AE609">
        <v>192.57</v>
      </c>
      <c r="AF609">
        <v>4259</v>
      </c>
      <c r="AG609">
        <v>1755.45</v>
      </c>
      <c r="AH609">
        <v>18.52</v>
      </c>
    </row>
    <row r="610" spans="1:34">
      <c r="A610" t="s">
        <v>1053</v>
      </c>
      <c r="B610" t="s">
        <v>263</v>
      </c>
      <c r="C610" t="b">
        <v>1</v>
      </c>
      <c r="D610" t="b">
        <v>0</v>
      </c>
      <c r="E610" t="s">
        <v>1472</v>
      </c>
      <c r="F610" t="s">
        <v>82</v>
      </c>
      <c r="G610" t="s">
        <v>1504</v>
      </c>
      <c r="H610">
        <v>34.4</v>
      </c>
      <c r="I610">
        <v>4</v>
      </c>
      <c r="J610">
        <v>162</v>
      </c>
      <c r="K610">
        <v>6648.58</v>
      </c>
      <c r="L610">
        <v>211.34</v>
      </c>
      <c r="M610">
        <v>30.43</v>
      </c>
      <c r="N610">
        <v>6406.81</v>
      </c>
      <c r="O610">
        <v>1982.72</v>
      </c>
      <c r="P610">
        <v>4424.09</v>
      </c>
      <c r="Q610">
        <v>51.16</v>
      </c>
      <c r="R610">
        <v>240.26</v>
      </c>
      <c r="S610">
        <v>382</v>
      </c>
      <c r="T610">
        <v>113</v>
      </c>
      <c r="U610">
        <v>7</v>
      </c>
      <c r="V610">
        <v>49</v>
      </c>
      <c r="W610">
        <v>27</v>
      </c>
      <c r="X610">
        <v>39.55</v>
      </c>
      <c r="Y610">
        <v>2.36</v>
      </c>
      <c r="Z610">
        <v>69.05</v>
      </c>
      <c r="AA610">
        <v>2177.42</v>
      </c>
      <c r="AB610">
        <v>1147.54</v>
      </c>
      <c r="AC610">
        <v>323.83</v>
      </c>
      <c r="AD610">
        <v>410</v>
      </c>
      <c r="AE610">
        <v>192.19</v>
      </c>
      <c r="AF610">
        <v>4250.98</v>
      </c>
      <c r="AG610">
        <v>-118.31</v>
      </c>
      <c r="AH610">
        <v>-1.85</v>
      </c>
    </row>
    <row r="611" spans="1:34">
      <c r="A611" t="s">
        <v>452</v>
      </c>
      <c r="B611" t="s">
        <v>75</v>
      </c>
      <c r="C611" t="b">
        <v>0</v>
      </c>
      <c r="D611" t="b">
        <v>0</v>
      </c>
      <c r="E611" t="s">
        <v>1473</v>
      </c>
      <c r="F611" t="s">
        <v>82</v>
      </c>
      <c r="G611" t="s">
        <v>81</v>
      </c>
      <c r="H611">
        <v>32.1</v>
      </c>
      <c r="I611">
        <v>5</v>
      </c>
      <c r="J611">
        <v>255</v>
      </c>
      <c r="K611">
        <v>7532.84</v>
      </c>
      <c r="L611">
        <v>226.94</v>
      </c>
      <c r="M611">
        <v>73.04000000000001</v>
      </c>
      <c r="N611">
        <v>7232.86</v>
      </c>
      <c r="O611">
        <v>2100.18</v>
      </c>
      <c r="P611">
        <v>5132.68</v>
      </c>
      <c r="Q611">
        <v>54.54</v>
      </c>
      <c r="R611">
        <v>342.65</v>
      </c>
      <c r="S611">
        <v>441</v>
      </c>
      <c r="T611">
        <v>183</v>
      </c>
      <c r="U611">
        <v>7</v>
      </c>
      <c r="V611">
        <v>72</v>
      </c>
      <c r="W611">
        <v>39</v>
      </c>
      <c r="X611">
        <v>28.36</v>
      </c>
      <c r="Y611">
        <v>1.73</v>
      </c>
      <c r="Z611">
        <v>70.95999999999999</v>
      </c>
      <c r="AA611">
        <v>2250</v>
      </c>
      <c r="AB611">
        <v>1147.54</v>
      </c>
      <c r="AC611">
        <v>312.62</v>
      </c>
      <c r="AD611">
        <v>110</v>
      </c>
      <c r="AE611">
        <v>175.95</v>
      </c>
      <c r="AF611">
        <v>3996.11</v>
      </c>
      <c r="AG611">
        <v>739.38</v>
      </c>
      <c r="AH611">
        <v>10.22</v>
      </c>
    </row>
    <row r="612" spans="1:34">
      <c r="A612" t="s">
        <v>1054</v>
      </c>
      <c r="B612" t="s">
        <v>258</v>
      </c>
      <c r="C612" t="b">
        <v>0</v>
      </c>
      <c r="D612" t="b">
        <v>0</v>
      </c>
      <c r="E612" t="s">
        <v>1473</v>
      </c>
      <c r="F612" t="s">
        <v>82</v>
      </c>
      <c r="G612" t="s">
        <v>81</v>
      </c>
      <c r="H612">
        <v>33.7</v>
      </c>
      <c r="I612">
        <v>6</v>
      </c>
      <c r="J612">
        <v>243</v>
      </c>
      <c r="K612">
        <v>7265.87</v>
      </c>
      <c r="L612">
        <v>215.65</v>
      </c>
      <c r="M612">
        <v>30.43</v>
      </c>
      <c r="N612">
        <v>7019.79</v>
      </c>
      <c r="O612">
        <v>1981.6</v>
      </c>
      <c r="P612">
        <v>5038.19</v>
      </c>
      <c r="Q612">
        <v>53.65</v>
      </c>
      <c r="R612">
        <v>342.23</v>
      </c>
      <c r="S612">
        <v>442</v>
      </c>
      <c r="T612">
        <v>164</v>
      </c>
      <c r="U612">
        <v>8</v>
      </c>
      <c r="V612">
        <v>79</v>
      </c>
      <c r="W612">
        <v>37</v>
      </c>
      <c r="X612">
        <v>28.89</v>
      </c>
      <c r="Y612">
        <v>1.82</v>
      </c>
      <c r="Z612">
        <v>71.77</v>
      </c>
      <c r="AA612">
        <v>2250</v>
      </c>
      <c r="AB612">
        <v>1147.54</v>
      </c>
      <c r="AC612">
        <v>340.26</v>
      </c>
      <c r="AD612">
        <v>110</v>
      </c>
      <c r="AE612">
        <v>186.11</v>
      </c>
      <c r="AF612">
        <v>4033.91</v>
      </c>
      <c r="AG612">
        <v>608.4</v>
      </c>
      <c r="AH612">
        <v>8.67</v>
      </c>
    </row>
    <row r="613" spans="1:34">
      <c r="A613" t="s">
        <v>1055</v>
      </c>
      <c r="B613" t="s">
        <v>259</v>
      </c>
      <c r="C613" t="b">
        <v>0</v>
      </c>
      <c r="D613" t="b">
        <v>0</v>
      </c>
      <c r="E613" t="s">
        <v>1473</v>
      </c>
      <c r="F613" t="s">
        <v>82</v>
      </c>
      <c r="G613" t="s">
        <v>81</v>
      </c>
      <c r="H613">
        <v>34.7</v>
      </c>
      <c r="I613">
        <v>7</v>
      </c>
      <c r="J613">
        <v>219</v>
      </c>
      <c r="K613">
        <v>6731.95</v>
      </c>
      <c r="L613">
        <v>301.72</v>
      </c>
      <c r="M613">
        <v>0</v>
      </c>
      <c r="N613">
        <v>6430.23</v>
      </c>
      <c r="O613">
        <v>1855.65</v>
      </c>
      <c r="P613">
        <v>4574.58</v>
      </c>
      <c r="Q613">
        <v>49.87</v>
      </c>
      <c r="R613">
        <v>278.55</v>
      </c>
      <c r="S613">
        <v>403</v>
      </c>
      <c r="T613">
        <v>158</v>
      </c>
      <c r="U613">
        <v>3</v>
      </c>
      <c r="V613">
        <v>61</v>
      </c>
      <c r="W613">
        <v>26</v>
      </c>
      <c r="X613">
        <v>29.36</v>
      </c>
      <c r="Y613">
        <v>1.84</v>
      </c>
      <c r="Z613">
        <v>71.14</v>
      </c>
      <c r="AA613">
        <v>2250</v>
      </c>
      <c r="AB613">
        <v>1147.54</v>
      </c>
      <c r="AC613">
        <v>365.33</v>
      </c>
      <c r="AD613">
        <v>110</v>
      </c>
      <c r="AE613">
        <v>160.2</v>
      </c>
      <c r="AF613">
        <v>4033.07</v>
      </c>
      <c r="AG613">
        <v>213.09</v>
      </c>
      <c r="AH613">
        <v>3.31</v>
      </c>
    </row>
    <row r="614" spans="1:34">
      <c r="A614" t="s">
        <v>1056</v>
      </c>
      <c r="B614" t="s">
        <v>260</v>
      </c>
      <c r="C614" t="b">
        <v>0</v>
      </c>
      <c r="D614" t="b">
        <v>0</v>
      </c>
      <c r="E614" t="s">
        <v>1473</v>
      </c>
      <c r="F614" t="s">
        <v>82</v>
      </c>
      <c r="G614" t="s">
        <v>81</v>
      </c>
      <c r="H614">
        <v>34.9</v>
      </c>
      <c r="I614">
        <v>8</v>
      </c>
      <c r="J614">
        <v>220</v>
      </c>
      <c r="K614">
        <v>6579.84</v>
      </c>
      <c r="L614">
        <v>180.86</v>
      </c>
      <c r="M614">
        <v>0</v>
      </c>
      <c r="N614">
        <v>6398.98</v>
      </c>
      <c r="O614">
        <v>1819.43</v>
      </c>
      <c r="P614">
        <v>4579.55</v>
      </c>
      <c r="Q614">
        <v>42.9</v>
      </c>
      <c r="R614">
        <v>364.03</v>
      </c>
      <c r="S614">
        <v>394</v>
      </c>
      <c r="T614">
        <v>160</v>
      </c>
      <c r="U614">
        <v>8</v>
      </c>
      <c r="V614">
        <v>60</v>
      </c>
      <c r="W614">
        <v>50</v>
      </c>
      <c r="X614">
        <v>29.09</v>
      </c>
      <c r="Y614">
        <v>1.79</v>
      </c>
      <c r="Z614">
        <v>71.56999999999999</v>
      </c>
      <c r="AA614">
        <v>2250</v>
      </c>
      <c r="AB614">
        <v>1147.54</v>
      </c>
      <c r="AC614">
        <v>334.23</v>
      </c>
      <c r="AD614">
        <v>110</v>
      </c>
      <c r="AE614">
        <v>196.21</v>
      </c>
      <c r="AF614">
        <v>4037.98</v>
      </c>
      <c r="AG614">
        <v>134.64</v>
      </c>
      <c r="AH614">
        <v>2.1</v>
      </c>
    </row>
    <row r="615" spans="1:34">
      <c r="A615" t="s">
        <v>1057</v>
      </c>
      <c r="B615" t="s">
        <v>261</v>
      </c>
      <c r="C615" t="b">
        <v>0</v>
      </c>
      <c r="D615" t="b">
        <v>0</v>
      </c>
      <c r="E615" t="s">
        <v>1473</v>
      </c>
      <c r="F615" t="s">
        <v>82</v>
      </c>
      <c r="G615" t="s">
        <v>81</v>
      </c>
      <c r="H615">
        <v>35.4</v>
      </c>
      <c r="I615">
        <v>9</v>
      </c>
      <c r="J615">
        <v>274</v>
      </c>
      <c r="K615">
        <v>8734.6</v>
      </c>
      <c r="L615">
        <v>194.77</v>
      </c>
      <c r="M615">
        <v>0</v>
      </c>
      <c r="N615">
        <v>8539.83</v>
      </c>
      <c r="O615">
        <v>2487.63</v>
      </c>
      <c r="P615">
        <v>6052.2</v>
      </c>
      <c r="Q615">
        <v>65.68000000000001</v>
      </c>
      <c r="R615">
        <v>381.84</v>
      </c>
      <c r="S615">
        <v>508</v>
      </c>
      <c r="T615">
        <v>183</v>
      </c>
      <c r="U615">
        <v>13</v>
      </c>
      <c r="V615">
        <v>91</v>
      </c>
      <c r="W615">
        <v>43</v>
      </c>
      <c r="X615">
        <v>31.17</v>
      </c>
      <c r="Y615">
        <v>1.85</v>
      </c>
      <c r="Z615">
        <v>70.87</v>
      </c>
      <c r="AA615">
        <v>2250</v>
      </c>
      <c r="AB615">
        <v>1147.54</v>
      </c>
      <c r="AC615">
        <v>377.76</v>
      </c>
      <c r="AD615">
        <v>110</v>
      </c>
      <c r="AE615">
        <v>180.72</v>
      </c>
      <c r="AF615">
        <v>4066.02</v>
      </c>
      <c r="AG615">
        <v>1538.66</v>
      </c>
      <c r="AH615">
        <v>18.02</v>
      </c>
    </row>
    <row r="616" spans="1:34">
      <c r="A616" t="s">
        <v>1058</v>
      </c>
      <c r="B616" t="s">
        <v>262</v>
      </c>
      <c r="C616" t="b">
        <v>1</v>
      </c>
      <c r="D616" t="b">
        <v>0</v>
      </c>
      <c r="E616" t="s">
        <v>1473</v>
      </c>
      <c r="F616" t="s">
        <v>82</v>
      </c>
      <c r="G616" t="s">
        <v>81</v>
      </c>
      <c r="H616">
        <v>36.7</v>
      </c>
      <c r="I616">
        <v>10</v>
      </c>
      <c r="J616">
        <v>215</v>
      </c>
      <c r="K616">
        <v>8266.780000000001</v>
      </c>
      <c r="L616">
        <v>207.81</v>
      </c>
      <c r="M616">
        <v>0</v>
      </c>
      <c r="N616">
        <v>8058.97</v>
      </c>
      <c r="O616">
        <v>2345.95</v>
      </c>
      <c r="P616">
        <v>5713.02</v>
      </c>
      <c r="Q616">
        <v>59.04</v>
      </c>
      <c r="R616">
        <v>382.37</v>
      </c>
      <c r="S616">
        <v>488</v>
      </c>
      <c r="T616">
        <v>158</v>
      </c>
      <c r="U616">
        <v>11</v>
      </c>
      <c r="V616">
        <v>57</v>
      </c>
      <c r="W616">
        <v>43</v>
      </c>
      <c r="X616">
        <v>37.48</v>
      </c>
      <c r="Y616">
        <v>2.27</v>
      </c>
      <c r="Z616">
        <v>70.89</v>
      </c>
      <c r="AA616">
        <v>2250</v>
      </c>
      <c r="AB616">
        <v>1147.54</v>
      </c>
      <c r="AC616">
        <v>361.57</v>
      </c>
      <c r="AD616">
        <v>110</v>
      </c>
      <c r="AE616">
        <v>182.75</v>
      </c>
      <c r="AF616">
        <v>4051.86</v>
      </c>
      <c r="AG616">
        <v>1219.75</v>
      </c>
      <c r="AH616">
        <v>15.14</v>
      </c>
    </row>
    <row r="617" spans="1:34">
      <c r="A617" t="s">
        <v>1059</v>
      </c>
      <c r="B617" t="s">
        <v>263</v>
      </c>
      <c r="C617" t="b">
        <v>1</v>
      </c>
      <c r="D617" t="b">
        <v>0</v>
      </c>
      <c r="E617" t="s">
        <v>1473</v>
      </c>
      <c r="F617" t="s">
        <v>82</v>
      </c>
      <c r="G617" t="s">
        <v>81</v>
      </c>
      <c r="H617">
        <v>36.2</v>
      </c>
      <c r="I617">
        <v>11</v>
      </c>
      <c r="J617">
        <v>208</v>
      </c>
      <c r="K617">
        <v>7843.28</v>
      </c>
      <c r="L617">
        <v>293.03</v>
      </c>
      <c r="M617">
        <v>39.12</v>
      </c>
      <c r="N617">
        <v>7511.13</v>
      </c>
      <c r="O617">
        <v>2228.04</v>
      </c>
      <c r="P617">
        <v>5283.09</v>
      </c>
      <c r="Q617">
        <v>54.35</v>
      </c>
      <c r="R617">
        <v>370.14</v>
      </c>
      <c r="S617">
        <v>463</v>
      </c>
      <c r="T617">
        <v>149</v>
      </c>
      <c r="U617">
        <v>10</v>
      </c>
      <c r="V617">
        <v>59</v>
      </c>
      <c r="W617">
        <v>40</v>
      </c>
      <c r="X617">
        <v>36.11</v>
      </c>
      <c r="Y617">
        <v>2.23</v>
      </c>
      <c r="Z617">
        <v>70.34</v>
      </c>
      <c r="AA617">
        <v>2250</v>
      </c>
      <c r="AB617">
        <v>1147.54</v>
      </c>
      <c r="AC617">
        <v>384.69</v>
      </c>
      <c r="AD617">
        <v>110</v>
      </c>
      <c r="AE617">
        <v>208.24</v>
      </c>
      <c r="AF617">
        <v>4100.47</v>
      </c>
      <c r="AG617">
        <v>758.13</v>
      </c>
      <c r="AH617">
        <v>10.09</v>
      </c>
    </row>
    <row r="618" spans="1:34">
      <c r="A618" t="s">
        <v>453</v>
      </c>
      <c r="B618" t="s">
        <v>75</v>
      </c>
      <c r="C618" t="b">
        <v>0</v>
      </c>
      <c r="D618" t="b">
        <v>0</v>
      </c>
      <c r="E618" t="s">
        <v>1473</v>
      </c>
      <c r="F618" t="s">
        <v>82</v>
      </c>
      <c r="G618" t="s">
        <v>81</v>
      </c>
      <c r="H618">
        <v>35.9</v>
      </c>
      <c r="I618">
        <v>12</v>
      </c>
      <c r="J618">
        <v>247</v>
      </c>
      <c r="K618">
        <v>7588.61</v>
      </c>
      <c r="L618">
        <v>370.42</v>
      </c>
      <c r="M618">
        <v>0</v>
      </c>
      <c r="N618">
        <v>7218.19</v>
      </c>
      <c r="O618">
        <v>2188.53</v>
      </c>
      <c r="P618">
        <v>5029.66</v>
      </c>
      <c r="Q618">
        <v>53.12</v>
      </c>
      <c r="R618">
        <v>337.85</v>
      </c>
      <c r="S618">
        <v>444</v>
      </c>
      <c r="T618">
        <v>187</v>
      </c>
      <c r="U618">
        <v>9</v>
      </c>
      <c r="V618">
        <v>60</v>
      </c>
      <c r="W618">
        <v>34</v>
      </c>
      <c r="X618">
        <v>29.22</v>
      </c>
      <c r="Y618">
        <v>1.8</v>
      </c>
      <c r="Z618">
        <v>69.68000000000001</v>
      </c>
      <c r="AA618">
        <v>2250</v>
      </c>
      <c r="AB618">
        <v>1147.54</v>
      </c>
      <c r="AC618">
        <v>363.94</v>
      </c>
      <c r="AD618">
        <v>110</v>
      </c>
      <c r="AE618">
        <v>165.71</v>
      </c>
      <c r="AF618">
        <v>4037.19</v>
      </c>
      <c r="AG618">
        <v>601.5</v>
      </c>
      <c r="AH618">
        <v>8.33</v>
      </c>
    </row>
    <row r="619" spans="1:34">
      <c r="A619" t="s">
        <v>1060</v>
      </c>
      <c r="B619" t="s">
        <v>258</v>
      </c>
      <c r="C619" t="b">
        <v>0</v>
      </c>
      <c r="D619" t="b">
        <v>0</v>
      </c>
      <c r="E619" t="s">
        <v>1473</v>
      </c>
      <c r="F619" t="s">
        <v>82</v>
      </c>
      <c r="G619" t="s">
        <v>81</v>
      </c>
      <c r="H619">
        <v>34.5</v>
      </c>
      <c r="I619">
        <v>13</v>
      </c>
      <c r="J619">
        <v>219</v>
      </c>
      <c r="K619">
        <v>5935.48</v>
      </c>
      <c r="L619">
        <v>167.82</v>
      </c>
      <c r="M619">
        <v>0</v>
      </c>
      <c r="N619">
        <v>5767.66</v>
      </c>
      <c r="O619">
        <v>1626.62</v>
      </c>
      <c r="P619">
        <v>4141.04</v>
      </c>
      <c r="Q619">
        <v>42.41</v>
      </c>
      <c r="R619">
        <v>269.93</v>
      </c>
      <c r="S619">
        <v>361</v>
      </c>
      <c r="T619">
        <v>157</v>
      </c>
      <c r="U619">
        <v>9</v>
      </c>
      <c r="V619">
        <v>62</v>
      </c>
      <c r="W619">
        <v>32</v>
      </c>
      <c r="X619">
        <v>26.34</v>
      </c>
      <c r="Y619">
        <v>1.65</v>
      </c>
      <c r="Z619">
        <v>71.8</v>
      </c>
      <c r="AA619">
        <v>2250</v>
      </c>
      <c r="AB619">
        <v>1147.54</v>
      </c>
      <c r="AC619">
        <v>324.19</v>
      </c>
      <c r="AD619">
        <v>110</v>
      </c>
      <c r="AE619">
        <v>186.24</v>
      </c>
      <c r="AF619">
        <v>4017.97</v>
      </c>
      <c r="AG619">
        <v>-189.27</v>
      </c>
      <c r="AH619">
        <v>-3.28</v>
      </c>
    </row>
    <row r="620" spans="1:34">
      <c r="A620" t="s">
        <v>1061</v>
      </c>
      <c r="B620" t="s">
        <v>259</v>
      </c>
      <c r="C620" t="b">
        <v>0</v>
      </c>
      <c r="D620" t="b">
        <v>0</v>
      </c>
      <c r="E620" t="s">
        <v>1473</v>
      </c>
      <c r="F620" t="s">
        <v>82</v>
      </c>
      <c r="G620" t="s">
        <v>81</v>
      </c>
      <c r="H620">
        <v>34.7</v>
      </c>
      <c r="I620">
        <v>14</v>
      </c>
      <c r="J620">
        <v>251</v>
      </c>
      <c r="K620">
        <v>8755.41</v>
      </c>
      <c r="L620">
        <v>319.55</v>
      </c>
      <c r="M620">
        <v>0</v>
      </c>
      <c r="N620">
        <v>8435.860000000001</v>
      </c>
      <c r="O620">
        <v>2552.02</v>
      </c>
      <c r="P620">
        <v>5883.84</v>
      </c>
      <c r="Q620">
        <v>55.96</v>
      </c>
      <c r="R620">
        <v>365.94</v>
      </c>
      <c r="S620">
        <v>519</v>
      </c>
      <c r="T620">
        <v>173</v>
      </c>
      <c r="U620">
        <v>8</v>
      </c>
      <c r="V620">
        <v>78</v>
      </c>
      <c r="W620">
        <v>39</v>
      </c>
      <c r="X620">
        <v>33.61</v>
      </c>
      <c r="Y620">
        <v>2.07</v>
      </c>
      <c r="Z620">
        <v>69.75</v>
      </c>
      <c r="AA620">
        <v>2250</v>
      </c>
      <c r="AB620">
        <v>1147.54</v>
      </c>
      <c r="AC620">
        <v>360.02</v>
      </c>
      <c r="AD620">
        <v>110</v>
      </c>
      <c r="AE620">
        <v>190.4</v>
      </c>
      <c r="AF620">
        <v>4057.96</v>
      </c>
      <c r="AG620">
        <v>1403.98</v>
      </c>
      <c r="AH620">
        <v>16.64</v>
      </c>
    </row>
    <row r="621" spans="1:34">
      <c r="A621" t="s">
        <v>1062</v>
      </c>
      <c r="B621" t="s">
        <v>260</v>
      </c>
      <c r="C621" t="b">
        <v>0</v>
      </c>
      <c r="D621" t="b">
        <v>0</v>
      </c>
      <c r="E621" t="s">
        <v>1473</v>
      </c>
      <c r="F621" t="s">
        <v>82</v>
      </c>
      <c r="G621" t="s">
        <v>81</v>
      </c>
      <c r="H621">
        <v>35.2</v>
      </c>
      <c r="I621">
        <v>15</v>
      </c>
      <c r="J621">
        <v>205</v>
      </c>
      <c r="K621">
        <v>6854.67</v>
      </c>
      <c r="L621">
        <v>165.21</v>
      </c>
      <c r="M621">
        <v>40</v>
      </c>
      <c r="N621">
        <v>6649.46</v>
      </c>
      <c r="O621">
        <v>2026.52</v>
      </c>
      <c r="P621">
        <v>4622.94</v>
      </c>
      <c r="Q621">
        <v>46.55</v>
      </c>
      <c r="R621">
        <v>369.83</v>
      </c>
      <c r="S621">
        <v>400</v>
      </c>
      <c r="T621">
        <v>142</v>
      </c>
      <c r="U621">
        <v>13</v>
      </c>
      <c r="V621">
        <v>63</v>
      </c>
      <c r="W621">
        <v>34</v>
      </c>
      <c r="X621">
        <v>32.44</v>
      </c>
      <c r="Y621">
        <v>1.95</v>
      </c>
      <c r="Z621">
        <v>69.52</v>
      </c>
      <c r="AA621">
        <v>2250</v>
      </c>
      <c r="AB621">
        <v>1147.54</v>
      </c>
      <c r="AC621">
        <v>375.15</v>
      </c>
      <c r="AD621">
        <v>110</v>
      </c>
      <c r="AE621">
        <v>206.86</v>
      </c>
      <c r="AF621">
        <v>4089.55</v>
      </c>
      <c r="AG621">
        <v>117.01</v>
      </c>
      <c r="AH621">
        <v>1.76</v>
      </c>
    </row>
    <row r="622" spans="1:34">
      <c r="A622" t="s">
        <v>1063</v>
      </c>
      <c r="B622" t="s">
        <v>261</v>
      </c>
      <c r="C622" t="b">
        <v>0</v>
      </c>
      <c r="D622" t="b">
        <v>0</v>
      </c>
      <c r="E622" t="s">
        <v>1473</v>
      </c>
      <c r="F622" t="s">
        <v>82</v>
      </c>
      <c r="G622" t="s">
        <v>81</v>
      </c>
      <c r="H622">
        <v>35.1</v>
      </c>
      <c r="I622">
        <v>16</v>
      </c>
      <c r="J622">
        <v>277</v>
      </c>
      <c r="K622">
        <v>9058.1</v>
      </c>
      <c r="L622">
        <v>279.12</v>
      </c>
      <c r="M622">
        <v>20</v>
      </c>
      <c r="N622">
        <v>8758.98</v>
      </c>
      <c r="O622">
        <v>2620.9</v>
      </c>
      <c r="P622">
        <v>6138.08</v>
      </c>
      <c r="Q622">
        <v>65.62</v>
      </c>
      <c r="R622">
        <v>347.61</v>
      </c>
      <c r="S622">
        <v>533</v>
      </c>
      <c r="T622">
        <v>200</v>
      </c>
      <c r="U622">
        <v>19</v>
      </c>
      <c r="V622">
        <v>77</v>
      </c>
      <c r="W622">
        <v>41</v>
      </c>
      <c r="X622">
        <v>31.62</v>
      </c>
      <c r="Y622">
        <v>1.92</v>
      </c>
      <c r="Z622">
        <v>70.08</v>
      </c>
      <c r="AA622">
        <v>2250</v>
      </c>
      <c r="AB622">
        <v>1147.54</v>
      </c>
      <c r="AC622">
        <v>378.81</v>
      </c>
      <c r="AD622">
        <v>110</v>
      </c>
      <c r="AE622">
        <v>202.27</v>
      </c>
      <c r="AF622">
        <v>4088.62</v>
      </c>
      <c r="AG622">
        <v>1636.23</v>
      </c>
      <c r="AH622">
        <v>18.68</v>
      </c>
    </row>
    <row r="623" spans="1:34">
      <c r="A623" t="s">
        <v>1064</v>
      </c>
      <c r="B623" t="s">
        <v>262</v>
      </c>
      <c r="C623" t="b">
        <v>1</v>
      </c>
      <c r="D623" t="b">
        <v>0</v>
      </c>
      <c r="E623" t="s">
        <v>1473</v>
      </c>
      <c r="F623" t="s">
        <v>82</v>
      </c>
      <c r="G623" t="s">
        <v>81</v>
      </c>
      <c r="H623">
        <v>34.5</v>
      </c>
      <c r="I623">
        <v>17</v>
      </c>
      <c r="J623">
        <v>220</v>
      </c>
      <c r="K623">
        <v>7917.3</v>
      </c>
      <c r="L623">
        <v>227.81</v>
      </c>
      <c r="M623">
        <v>0</v>
      </c>
      <c r="N623">
        <v>7689.49</v>
      </c>
      <c r="O623">
        <v>2260.87</v>
      </c>
      <c r="P623">
        <v>5428.62</v>
      </c>
      <c r="Q623">
        <v>62.35</v>
      </c>
      <c r="R623">
        <v>372.13</v>
      </c>
      <c r="S623">
        <v>455</v>
      </c>
      <c r="T623">
        <v>148</v>
      </c>
      <c r="U623">
        <v>9</v>
      </c>
      <c r="V623">
        <v>72</v>
      </c>
      <c r="W623">
        <v>44</v>
      </c>
      <c r="X623">
        <v>34.95</v>
      </c>
      <c r="Y623">
        <v>2.07</v>
      </c>
      <c r="Z623">
        <v>70.59999999999999</v>
      </c>
      <c r="AA623">
        <v>2250</v>
      </c>
      <c r="AB623">
        <v>1147.54</v>
      </c>
      <c r="AC623">
        <v>357.06</v>
      </c>
      <c r="AD623">
        <v>110</v>
      </c>
      <c r="AE623">
        <v>203.34</v>
      </c>
      <c r="AF623">
        <v>4067.94</v>
      </c>
      <c r="AG623">
        <v>926.2</v>
      </c>
      <c r="AH623">
        <v>12.05</v>
      </c>
    </row>
    <row r="624" spans="1:34">
      <c r="A624" t="s">
        <v>1065</v>
      </c>
      <c r="B624" t="s">
        <v>263</v>
      </c>
      <c r="C624" t="b">
        <v>1</v>
      </c>
      <c r="D624" t="b">
        <v>0</v>
      </c>
      <c r="E624" t="s">
        <v>1473</v>
      </c>
      <c r="F624" t="s">
        <v>82</v>
      </c>
      <c r="G624" t="s">
        <v>81</v>
      </c>
      <c r="H624">
        <v>34.1</v>
      </c>
      <c r="I624">
        <v>18</v>
      </c>
      <c r="J624">
        <v>231</v>
      </c>
      <c r="K624">
        <v>8951.280000000001</v>
      </c>
      <c r="L624">
        <v>293.9</v>
      </c>
      <c r="M624">
        <v>25.22</v>
      </c>
      <c r="N624">
        <v>8632.16</v>
      </c>
      <c r="O624">
        <v>2646.35</v>
      </c>
      <c r="P624">
        <v>5985.81</v>
      </c>
      <c r="Q624">
        <v>62.91</v>
      </c>
      <c r="R624">
        <v>458.16</v>
      </c>
      <c r="S624">
        <v>525</v>
      </c>
      <c r="T624">
        <v>176</v>
      </c>
      <c r="U624">
        <v>12</v>
      </c>
      <c r="V624">
        <v>55</v>
      </c>
      <c r="W624">
        <v>54</v>
      </c>
      <c r="X624">
        <v>37.37</v>
      </c>
      <c r="Y624">
        <v>2.27</v>
      </c>
      <c r="Z624">
        <v>69.34</v>
      </c>
      <c r="AA624">
        <v>2250</v>
      </c>
      <c r="AB624">
        <v>1147.54</v>
      </c>
      <c r="AC624">
        <v>368.99</v>
      </c>
      <c r="AD624">
        <v>110</v>
      </c>
      <c r="AE624">
        <v>180.88</v>
      </c>
      <c r="AF624">
        <v>4057.41</v>
      </c>
      <c r="AG624">
        <v>1407.33</v>
      </c>
      <c r="AH624">
        <v>16.3</v>
      </c>
    </row>
    <row r="625" spans="1:34">
      <c r="A625" t="s">
        <v>454</v>
      </c>
      <c r="B625" t="s">
        <v>75</v>
      </c>
      <c r="C625" t="b">
        <v>0</v>
      </c>
      <c r="D625" t="b">
        <v>0</v>
      </c>
      <c r="E625" t="s">
        <v>1473</v>
      </c>
      <c r="F625" t="s">
        <v>82</v>
      </c>
      <c r="G625" t="s">
        <v>81</v>
      </c>
      <c r="H625">
        <v>34.8</v>
      </c>
      <c r="I625">
        <v>19</v>
      </c>
      <c r="J625">
        <v>256</v>
      </c>
      <c r="K625">
        <v>7739.04</v>
      </c>
      <c r="L625">
        <v>199.12</v>
      </c>
      <c r="M625">
        <v>19.13</v>
      </c>
      <c r="N625">
        <v>7520.79</v>
      </c>
      <c r="O625">
        <v>2248.91</v>
      </c>
      <c r="P625">
        <v>5271.88</v>
      </c>
      <c r="Q625">
        <v>57.15</v>
      </c>
      <c r="R625">
        <v>372.66</v>
      </c>
      <c r="S625">
        <v>450</v>
      </c>
      <c r="T625">
        <v>171</v>
      </c>
      <c r="U625">
        <v>10</v>
      </c>
      <c r="V625">
        <v>85</v>
      </c>
      <c r="W625">
        <v>39</v>
      </c>
      <c r="X625">
        <v>29.38</v>
      </c>
      <c r="Y625">
        <v>1.76</v>
      </c>
      <c r="Z625">
        <v>70.09999999999999</v>
      </c>
      <c r="AA625">
        <v>2250</v>
      </c>
      <c r="AB625">
        <v>1147.54</v>
      </c>
      <c r="AC625">
        <v>355.68</v>
      </c>
      <c r="AD625">
        <v>110</v>
      </c>
      <c r="AE625">
        <v>179.46</v>
      </c>
      <c r="AF625">
        <v>4042.68</v>
      </c>
      <c r="AG625">
        <v>799.39</v>
      </c>
      <c r="AH625">
        <v>10.63</v>
      </c>
    </row>
    <row r="626" spans="1:34">
      <c r="A626" t="s">
        <v>1066</v>
      </c>
      <c r="B626" t="s">
        <v>258</v>
      </c>
      <c r="C626" t="b">
        <v>0</v>
      </c>
      <c r="D626" t="b">
        <v>0</v>
      </c>
      <c r="E626" t="s">
        <v>1473</v>
      </c>
      <c r="F626" t="s">
        <v>82</v>
      </c>
      <c r="G626" t="s">
        <v>81</v>
      </c>
      <c r="H626">
        <v>32</v>
      </c>
      <c r="I626">
        <v>20</v>
      </c>
      <c r="J626">
        <v>210</v>
      </c>
      <c r="K626">
        <v>6114.6</v>
      </c>
      <c r="L626">
        <v>179.13</v>
      </c>
      <c r="M626">
        <v>8.699999999999999</v>
      </c>
      <c r="N626">
        <v>5926.77</v>
      </c>
      <c r="O626">
        <v>1713.89</v>
      </c>
      <c r="P626">
        <v>4212.88</v>
      </c>
      <c r="Q626">
        <v>45.28</v>
      </c>
      <c r="R626">
        <v>200.09</v>
      </c>
      <c r="S626">
        <v>357</v>
      </c>
      <c r="T626">
        <v>150</v>
      </c>
      <c r="U626">
        <v>10</v>
      </c>
      <c r="V626">
        <v>60</v>
      </c>
      <c r="W626">
        <v>23</v>
      </c>
      <c r="X626">
        <v>28.22</v>
      </c>
      <c r="Y626">
        <v>1.7</v>
      </c>
      <c r="Z626">
        <v>71.08</v>
      </c>
      <c r="AA626">
        <v>2250</v>
      </c>
      <c r="AB626">
        <v>1147.54</v>
      </c>
      <c r="AC626">
        <v>301.91</v>
      </c>
      <c r="AD626">
        <v>110</v>
      </c>
      <c r="AE626">
        <v>169.32</v>
      </c>
      <c r="AF626">
        <v>3978.77</v>
      </c>
      <c r="AG626">
        <v>-11.26</v>
      </c>
      <c r="AH626">
        <v>-0.19</v>
      </c>
    </row>
    <row r="627" spans="1:34">
      <c r="A627" t="s">
        <v>1067</v>
      </c>
      <c r="B627" t="s">
        <v>259</v>
      </c>
      <c r="C627" t="b">
        <v>0</v>
      </c>
      <c r="D627" t="b">
        <v>0</v>
      </c>
      <c r="E627" t="s">
        <v>1473</v>
      </c>
      <c r="F627" t="s">
        <v>82</v>
      </c>
      <c r="G627" t="s">
        <v>81</v>
      </c>
      <c r="H627">
        <v>34.1</v>
      </c>
      <c r="I627">
        <v>21</v>
      </c>
      <c r="J627">
        <v>248</v>
      </c>
      <c r="K627">
        <v>8581.559999999999</v>
      </c>
      <c r="L627">
        <v>282.67</v>
      </c>
      <c r="M627">
        <v>0</v>
      </c>
      <c r="N627">
        <v>8298.889999999999</v>
      </c>
      <c r="O627">
        <v>2455.85</v>
      </c>
      <c r="P627">
        <v>5843.04</v>
      </c>
      <c r="Q627">
        <v>55.07</v>
      </c>
      <c r="R627">
        <v>283.52</v>
      </c>
      <c r="S627">
        <v>500</v>
      </c>
      <c r="T627">
        <v>183</v>
      </c>
      <c r="U627">
        <v>13</v>
      </c>
      <c r="V627">
        <v>65</v>
      </c>
      <c r="W627">
        <v>34</v>
      </c>
      <c r="X627">
        <v>33.46</v>
      </c>
      <c r="Y627">
        <v>2.02</v>
      </c>
      <c r="Z627">
        <v>70.41</v>
      </c>
      <c r="AA627">
        <v>2250</v>
      </c>
      <c r="AB627">
        <v>1147.54</v>
      </c>
      <c r="AC627">
        <v>325.03</v>
      </c>
      <c r="AD627">
        <v>110</v>
      </c>
      <c r="AE627">
        <v>219.59</v>
      </c>
      <c r="AF627">
        <v>4052.16</v>
      </c>
      <c r="AG627">
        <v>1452.29</v>
      </c>
      <c r="AH627">
        <v>17.5</v>
      </c>
    </row>
    <row r="628" spans="1:34">
      <c r="A628" t="s">
        <v>1068</v>
      </c>
      <c r="B628" t="s">
        <v>260</v>
      </c>
      <c r="C628" t="b">
        <v>0</v>
      </c>
      <c r="D628" t="b">
        <v>0</v>
      </c>
      <c r="E628" t="s">
        <v>1473</v>
      </c>
      <c r="F628" t="s">
        <v>82</v>
      </c>
      <c r="G628" t="s">
        <v>81</v>
      </c>
      <c r="H628">
        <v>34.9</v>
      </c>
      <c r="I628">
        <v>22</v>
      </c>
      <c r="J628">
        <v>249</v>
      </c>
      <c r="K628">
        <v>7824.16</v>
      </c>
      <c r="L628">
        <v>193.03</v>
      </c>
      <c r="M628">
        <v>0</v>
      </c>
      <c r="N628">
        <v>7631.13</v>
      </c>
      <c r="O628">
        <v>2270.03</v>
      </c>
      <c r="P628">
        <v>5361.1</v>
      </c>
      <c r="Q628">
        <v>64.02</v>
      </c>
      <c r="R628">
        <v>276.82</v>
      </c>
      <c r="S628">
        <v>461</v>
      </c>
      <c r="T628">
        <v>186</v>
      </c>
      <c r="U628">
        <v>14</v>
      </c>
      <c r="V628">
        <v>63</v>
      </c>
      <c r="W628">
        <v>36</v>
      </c>
      <c r="X628">
        <v>30.65</v>
      </c>
      <c r="Y628">
        <v>1.85</v>
      </c>
      <c r="Z628">
        <v>70.25</v>
      </c>
      <c r="AA628">
        <v>2250</v>
      </c>
      <c r="AB628">
        <v>1147.54</v>
      </c>
      <c r="AC628">
        <v>340.57</v>
      </c>
      <c r="AD628">
        <v>110</v>
      </c>
      <c r="AE628">
        <v>165.72</v>
      </c>
      <c r="AF628">
        <v>4013.83</v>
      </c>
      <c r="AG628">
        <v>1006.43</v>
      </c>
      <c r="AH628">
        <v>13.19</v>
      </c>
    </row>
    <row r="629" spans="1:34">
      <c r="A629" t="s">
        <v>1069</v>
      </c>
      <c r="B629" t="s">
        <v>261</v>
      </c>
      <c r="C629" t="b">
        <v>0</v>
      </c>
      <c r="D629" t="b">
        <v>0</v>
      </c>
      <c r="E629" t="s">
        <v>1473</v>
      </c>
      <c r="F629" t="s">
        <v>82</v>
      </c>
      <c r="G629" t="s">
        <v>81</v>
      </c>
      <c r="H629">
        <v>34.7</v>
      </c>
      <c r="I629">
        <v>23</v>
      </c>
      <c r="J629">
        <v>311</v>
      </c>
      <c r="K629">
        <v>9581.58</v>
      </c>
      <c r="L629">
        <v>333.9</v>
      </c>
      <c r="M629">
        <v>20</v>
      </c>
      <c r="N629">
        <v>9227.68</v>
      </c>
      <c r="O629">
        <v>2707.65</v>
      </c>
      <c r="P629">
        <v>6520.03</v>
      </c>
      <c r="Q629">
        <v>75.45999999999999</v>
      </c>
      <c r="R629">
        <v>339.76</v>
      </c>
      <c r="S629">
        <v>555</v>
      </c>
      <c r="T629">
        <v>211</v>
      </c>
      <c r="U629">
        <v>6</v>
      </c>
      <c r="V629">
        <v>100</v>
      </c>
      <c r="W629">
        <v>39</v>
      </c>
      <c r="X629">
        <v>29.67</v>
      </c>
      <c r="Y629">
        <v>1.78</v>
      </c>
      <c r="Z629">
        <v>70.66</v>
      </c>
      <c r="AA629">
        <v>2250</v>
      </c>
      <c r="AB629">
        <v>1147.54</v>
      </c>
      <c r="AC629">
        <v>388.91</v>
      </c>
      <c r="AD629">
        <v>110</v>
      </c>
      <c r="AE629">
        <v>189.56</v>
      </c>
      <c r="AF629">
        <v>4086.01</v>
      </c>
      <c r="AG629">
        <v>2018.8</v>
      </c>
      <c r="AH629">
        <v>21.88</v>
      </c>
    </row>
    <row r="630" spans="1:34">
      <c r="A630" t="s">
        <v>1070</v>
      </c>
      <c r="B630" t="s">
        <v>262</v>
      </c>
      <c r="C630" t="b">
        <v>1</v>
      </c>
      <c r="D630" t="b">
        <v>0</v>
      </c>
      <c r="E630" t="s">
        <v>1473</v>
      </c>
      <c r="F630" t="s">
        <v>82</v>
      </c>
      <c r="G630" t="s">
        <v>81</v>
      </c>
      <c r="H630">
        <v>34.3</v>
      </c>
      <c r="I630">
        <v>24</v>
      </c>
      <c r="J630">
        <v>218</v>
      </c>
      <c r="K630">
        <v>8100.86</v>
      </c>
      <c r="L630">
        <v>282.61</v>
      </c>
      <c r="M630">
        <v>0</v>
      </c>
      <c r="N630">
        <v>7818.25</v>
      </c>
      <c r="O630">
        <v>2358.22</v>
      </c>
      <c r="P630">
        <v>5460.03</v>
      </c>
      <c r="Q630">
        <v>56.83</v>
      </c>
      <c r="R630">
        <v>418.39</v>
      </c>
      <c r="S630">
        <v>468</v>
      </c>
      <c r="T630">
        <v>155</v>
      </c>
      <c r="U630">
        <v>8</v>
      </c>
      <c r="V630">
        <v>63</v>
      </c>
      <c r="W630">
        <v>51</v>
      </c>
      <c r="X630">
        <v>35.86</v>
      </c>
      <c r="Y630">
        <v>2.15</v>
      </c>
      <c r="Z630">
        <v>69.84</v>
      </c>
      <c r="AA630">
        <v>2250</v>
      </c>
      <c r="AB630">
        <v>1147.54</v>
      </c>
      <c r="AC630">
        <v>352.78</v>
      </c>
      <c r="AD630">
        <v>110</v>
      </c>
      <c r="AE630">
        <v>215.03</v>
      </c>
      <c r="AF630">
        <v>4075.35</v>
      </c>
      <c r="AG630">
        <v>909.46</v>
      </c>
      <c r="AH630">
        <v>11.63</v>
      </c>
    </row>
    <row r="631" spans="1:34">
      <c r="A631" t="s">
        <v>1071</v>
      </c>
      <c r="B631" t="s">
        <v>263</v>
      </c>
      <c r="C631" t="b">
        <v>1</v>
      </c>
      <c r="D631" t="b">
        <v>0</v>
      </c>
      <c r="E631" t="s">
        <v>1473</v>
      </c>
      <c r="F631" t="s">
        <v>82</v>
      </c>
      <c r="G631" t="s">
        <v>308</v>
      </c>
      <c r="H631">
        <v>34.4</v>
      </c>
      <c r="I631">
        <v>25</v>
      </c>
      <c r="J631">
        <v>239</v>
      </c>
      <c r="K631">
        <v>8387.75</v>
      </c>
      <c r="L631">
        <v>1498.82</v>
      </c>
      <c r="M631">
        <v>43.13</v>
      </c>
      <c r="N631">
        <v>6845.8</v>
      </c>
      <c r="O631">
        <v>2439.57</v>
      </c>
      <c r="P631">
        <v>4406.23</v>
      </c>
      <c r="Q631">
        <v>54.44</v>
      </c>
      <c r="R631">
        <v>297.23</v>
      </c>
      <c r="S631">
        <v>476</v>
      </c>
      <c r="T631">
        <v>164</v>
      </c>
      <c r="U631">
        <v>16</v>
      </c>
      <c r="V631">
        <v>75</v>
      </c>
      <c r="W631">
        <v>41</v>
      </c>
      <c r="X631">
        <v>28.64</v>
      </c>
      <c r="Y631">
        <v>1.99</v>
      </c>
      <c r="Z631">
        <v>64.36</v>
      </c>
      <c r="AA631">
        <v>2600</v>
      </c>
      <c r="AB631">
        <v>1147.54</v>
      </c>
      <c r="AC631">
        <v>347.02</v>
      </c>
      <c r="AD631">
        <v>910</v>
      </c>
      <c r="AE631">
        <v>206.24</v>
      </c>
      <c r="AF631">
        <v>5210.8</v>
      </c>
      <c r="AG631">
        <v>-1156.24</v>
      </c>
      <c r="AH631">
        <v>-16.89</v>
      </c>
    </row>
    <row r="632" spans="1:34">
      <c r="A632" t="s">
        <v>455</v>
      </c>
      <c r="B632" t="s">
        <v>75</v>
      </c>
      <c r="C632" t="b">
        <v>0</v>
      </c>
      <c r="D632" t="b">
        <v>0</v>
      </c>
      <c r="E632" t="s">
        <v>1473</v>
      </c>
      <c r="F632" t="s">
        <v>82</v>
      </c>
      <c r="G632" t="s">
        <v>1505</v>
      </c>
      <c r="H632">
        <v>36</v>
      </c>
      <c r="I632">
        <v>26</v>
      </c>
      <c r="J632">
        <v>237</v>
      </c>
      <c r="K632">
        <v>8963.370000000001</v>
      </c>
      <c r="L632">
        <v>1556.72</v>
      </c>
      <c r="M632">
        <v>26.43</v>
      </c>
      <c r="N632">
        <v>7380.22</v>
      </c>
      <c r="O632">
        <v>2541.06</v>
      </c>
      <c r="P632">
        <v>4839.16</v>
      </c>
      <c r="Q632">
        <v>40.7</v>
      </c>
      <c r="R632">
        <v>339.9</v>
      </c>
      <c r="S632">
        <v>525</v>
      </c>
      <c r="T632">
        <v>174</v>
      </c>
      <c r="U632">
        <v>9</v>
      </c>
      <c r="V632">
        <v>63</v>
      </c>
      <c r="W632">
        <v>41</v>
      </c>
      <c r="X632">
        <v>31.14</v>
      </c>
      <c r="Y632">
        <v>2.22</v>
      </c>
      <c r="Z632">
        <v>65.56999999999999</v>
      </c>
      <c r="AA632">
        <v>2600</v>
      </c>
      <c r="AB632">
        <v>1147.54</v>
      </c>
      <c r="AC632">
        <v>367.25</v>
      </c>
      <c r="AD632">
        <v>910</v>
      </c>
      <c r="AE632">
        <v>163.55</v>
      </c>
      <c r="AF632">
        <v>5188.34</v>
      </c>
      <c r="AG632">
        <v>-729.78</v>
      </c>
      <c r="AH632">
        <v>-9.890000000000001</v>
      </c>
    </row>
    <row r="633" spans="1:34">
      <c r="A633" t="s">
        <v>1072</v>
      </c>
      <c r="B633" t="s">
        <v>258</v>
      </c>
      <c r="C633" t="b">
        <v>0</v>
      </c>
      <c r="D633" t="b">
        <v>1</v>
      </c>
      <c r="E633" t="s">
        <v>1473</v>
      </c>
      <c r="F633" t="s">
        <v>82</v>
      </c>
      <c r="G633" t="s">
        <v>1506</v>
      </c>
      <c r="H633">
        <v>35.3</v>
      </c>
      <c r="I633">
        <v>27</v>
      </c>
      <c r="J633">
        <v>236</v>
      </c>
      <c r="K633">
        <v>8960.719999999999</v>
      </c>
      <c r="L633">
        <v>1686.79</v>
      </c>
      <c r="M633">
        <v>105.92</v>
      </c>
      <c r="N633">
        <v>7168.01</v>
      </c>
      <c r="O633">
        <v>2614.47</v>
      </c>
      <c r="P633">
        <v>4553.54</v>
      </c>
      <c r="Q633">
        <v>56.72</v>
      </c>
      <c r="R633">
        <v>326.34</v>
      </c>
      <c r="S633">
        <v>523</v>
      </c>
      <c r="T633">
        <v>166</v>
      </c>
      <c r="U633">
        <v>16</v>
      </c>
      <c r="V633">
        <v>70</v>
      </c>
      <c r="W633">
        <v>46</v>
      </c>
      <c r="X633">
        <v>30.37</v>
      </c>
      <c r="Y633">
        <v>2.22</v>
      </c>
      <c r="Z633">
        <v>63.53</v>
      </c>
      <c r="AA633">
        <v>2600</v>
      </c>
      <c r="AB633">
        <v>1147.54</v>
      </c>
      <c r="AC633">
        <v>359.34</v>
      </c>
      <c r="AD633">
        <v>910</v>
      </c>
      <c r="AE633">
        <v>181.31</v>
      </c>
      <c r="AF633">
        <v>5198.19</v>
      </c>
      <c r="AG633">
        <v>-1027.71</v>
      </c>
      <c r="AH633">
        <v>-14.34</v>
      </c>
    </row>
    <row r="634" spans="1:34">
      <c r="A634" t="s">
        <v>1073</v>
      </c>
      <c r="B634" t="s">
        <v>259</v>
      </c>
      <c r="C634" t="b">
        <v>0</v>
      </c>
      <c r="D634" t="b">
        <v>0</v>
      </c>
      <c r="E634" t="s">
        <v>1473</v>
      </c>
      <c r="F634" t="s">
        <v>82</v>
      </c>
      <c r="G634" t="s">
        <v>308</v>
      </c>
      <c r="H634">
        <v>33.2</v>
      </c>
      <c r="I634">
        <v>28</v>
      </c>
      <c r="J634">
        <v>270</v>
      </c>
      <c r="K634">
        <v>9504.209999999999</v>
      </c>
      <c r="L634">
        <v>1729.53</v>
      </c>
      <c r="M634">
        <v>21.74</v>
      </c>
      <c r="N634">
        <v>7752.94</v>
      </c>
      <c r="O634">
        <v>2799.43</v>
      </c>
      <c r="P634">
        <v>4953.51</v>
      </c>
      <c r="Q634">
        <v>52.18</v>
      </c>
      <c r="R634">
        <v>284.87</v>
      </c>
      <c r="S634">
        <v>555</v>
      </c>
      <c r="T634">
        <v>187</v>
      </c>
      <c r="U634">
        <v>6</v>
      </c>
      <c r="V634">
        <v>83</v>
      </c>
      <c r="W634">
        <v>34</v>
      </c>
      <c r="X634">
        <v>28.71</v>
      </c>
      <c r="Y634">
        <v>2.06</v>
      </c>
      <c r="Z634">
        <v>63.89</v>
      </c>
      <c r="AA634">
        <v>2600</v>
      </c>
      <c r="AB634">
        <v>1147.54</v>
      </c>
      <c r="AC634">
        <v>342.49</v>
      </c>
      <c r="AD634">
        <v>910</v>
      </c>
      <c r="AE634">
        <v>186.23</v>
      </c>
      <c r="AF634">
        <v>5186.26</v>
      </c>
      <c r="AG634">
        <v>-569.8</v>
      </c>
      <c r="AH634">
        <v>-7.35</v>
      </c>
    </row>
    <row r="635" spans="1:34">
      <c r="A635" t="s">
        <v>1074</v>
      </c>
      <c r="B635" t="s">
        <v>260</v>
      </c>
      <c r="C635" t="b">
        <v>0</v>
      </c>
      <c r="D635" t="b">
        <v>0</v>
      </c>
      <c r="E635" t="s">
        <v>1473</v>
      </c>
      <c r="F635" t="s">
        <v>82</v>
      </c>
      <c r="G635" t="s">
        <v>81</v>
      </c>
      <c r="H635">
        <v>30.5</v>
      </c>
      <c r="I635">
        <v>29</v>
      </c>
      <c r="J635">
        <v>257</v>
      </c>
      <c r="K635">
        <v>7920.72</v>
      </c>
      <c r="L635">
        <v>375.64</v>
      </c>
      <c r="M635">
        <v>0</v>
      </c>
      <c r="N635">
        <v>7545.08</v>
      </c>
      <c r="O635">
        <v>2374.25</v>
      </c>
      <c r="P635">
        <v>5170.83</v>
      </c>
      <c r="Q635">
        <v>63.15</v>
      </c>
      <c r="R635">
        <v>202.39</v>
      </c>
      <c r="S635">
        <v>444</v>
      </c>
      <c r="T635">
        <v>178</v>
      </c>
      <c r="U635">
        <v>5</v>
      </c>
      <c r="V635">
        <v>79</v>
      </c>
      <c r="W635">
        <v>25</v>
      </c>
      <c r="X635">
        <v>29.36</v>
      </c>
      <c r="Y635">
        <v>1.73</v>
      </c>
      <c r="Z635">
        <v>68.53</v>
      </c>
      <c r="AA635">
        <v>2250</v>
      </c>
      <c r="AB635">
        <v>1147.54</v>
      </c>
      <c r="AC635">
        <v>310.77</v>
      </c>
      <c r="AD635">
        <v>110</v>
      </c>
      <c r="AE635">
        <v>152.52</v>
      </c>
      <c r="AF635">
        <v>3970.83</v>
      </c>
      <c r="AG635">
        <v>934.46</v>
      </c>
      <c r="AH635">
        <v>12.39</v>
      </c>
    </row>
    <row r="636" spans="1:34">
      <c r="A636" t="s">
        <v>1075</v>
      </c>
      <c r="B636" t="s">
        <v>261</v>
      </c>
      <c r="C636" t="b">
        <v>0</v>
      </c>
      <c r="D636" t="b">
        <v>0</v>
      </c>
      <c r="E636" t="s">
        <v>1473</v>
      </c>
      <c r="F636" t="s">
        <v>82</v>
      </c>
      <c r="G636" t="s">
        <v>1477</v>
      </c>
      <c r="H636">
        <v>32</v>
      </c>
      <c r="I636">
        <v>0</v>
      </c>
      <c r="J636">
        <v>275</v>
      </c>
      <c r="K636">
        <v>9670.26</v>
      </c>
      <c r="L636">
        <v>239.12</v>
      </c>
      <c r="M636">
        <v>6.96</v>
      </c>
      <c r="N636">
        <v>9424.18</v>
      </c>
      <c r="O636">
        <v>2793.99</v>
      </c>
      <c r="P636">
        <v>6630.19</v>
      </c>
      <c r="Q636">
        <v>69.56999999999999</v>
      </c>
      <c r="R636">
        <v>418.05</v>
      </c>
      <c r="S636">
        <v>545</v>
      </c>
      <c r="T636">
        <v>197</v>
      </c>
      <c r="U636">
        <v>19</v>
      </c>
      <c r="V636">
        <v>78</v>
      </c>
      <c r="W636">
        <v>36</v>
      </c>
      <c r="X636">
        <v>34.27</v>
      </c>
      <c r="Y636">
        <v>1.98</v>
      </c>
      <c r="Z636">
        <v>70.34999999999999</v>
      </c>
      <c r="AA636">
        <v>2250</v>
      </c>
      <c r="AB636">
        <v>1147.54</v>
      </c>
      <c r="AC636">
        <v>339.86</v>
      </c>
      <c r="AD636">
        <v>110</v>
      </c>
      <c r="AE636">
        <v>203.41</v>
      </c>
      <c r="AF636">
        <v>4050.81</v>
      </c>
      <c r="AG636">
        <v>2091.76</v>
      </c>
      <c r="AH636">
        <v>22.2</v>
      </c>
    </row>
    <row r="637" spans="1:34">
      <c r="A637" t="s">
        <v>1076</v>
      </c>
      <c r="B637" t="s">
        <v>262</v>
      </c>
      <c r="C637" t="b">
        <v>1</v>
      </c>
      <c r="D637" t="b">
        <v>0</v>
      </c>
      <c r="E637" t="s">
        <v>1473</v>
      </c>
      <c r="F637" t="s">
        <v>82</v>
      </c>
      <c r="G637" t="s">
        <v>1477</v>
      </c>
      <c r="H637">
        <v>32.6</v>
      </c>
      <c r="I637">
        <v>1</v>
      </c>
      <c r="J637">
        <v>249</v>
      </c>
      <c r="K637">
        <v>10460.77</v>
      </c>
      <c r="L637">
        <v>343.46</v>
      </c>
      <c r="M637">
        <v>0</v>
      </c>
      <c r="N637">
        <v>10117.31</v>
      </c>
      <c r="O637">
        <v>3057.22</v>
      </c>
      <c r="P637">
        <v>7060.09</v>
      </c>
      <c r="Q637">
        <v>77.31</v>
      </c>
      <c r="R637">
        <v>480.76</v>
      </c>
      <c r="S637">
        <v>604</v>
      </c>
      <c r="T637">
        <v>182</v>
      </c>
      <c r="U637">
        <v>13</v>
      </c>
      <c r="V637">
        <v>67</v>
      </c>
      <c r="W637">
        <v>44</v>
      </c>
      <c r="X637">
        <v>40.63</v>
      </c>
      <c r="Y637">
        <v>2.43</v>
      </c>
      <c r="Z637">
        <v>69.78</v>
      </c>
      <c r="AA637">
        <v>2250</v>
      </c>
      <c r="AB637">
        <v>1147.54</v>
      </c>
      <c r="AC637">
        <v>302.41</v>
      </c>
      <c r="AD637">
        <v>110</v>
      </c>
      <c r="AE637">
        <v>189.51</v>
      </c>
      <c r="AF637">
        <v>3999.46</v>
      </c>
      <c r="AG637">
        <v>2502.56</v>
      </c>
      <c r="AH637">
        <v>24.74</v>
      </c>
    </row>
    <row r="638" spans="1:34">
      <c r="A638" t="s">
        <v>1077</v>
      </c>
      <c r="B638" t="s">
        <v>263</v>
      </c>
      <c r="C638" t="b">
        <v>1</v>
      </c>
      <c r="D638" t="b">
        <v>0</v>
      </c>
      <c r="E638" t="s">
        <v>1473</v>
      </c>
      <c r="F638" t="s">
        <v>82</v>
      </c>
      <c r="G638" t="s">
        <v>1477</v>
      </c>
      <c r="H638">
        <v>31.2</v>
      </c>
      <c r="I638">
        <v>2</v>
      </c>
      <c r="J638">
        <v>236</v>
      </c>
      <c r="K638">
        <v>9998.93</v>
      </c>
      <c r="L638">
        <v>291.3</v>
      </c>
      <c r="M638">
        <v>32.18</v>
      </c>
      <c r="N638">
        <v>9675.450000000001</v>
      </c>
      <c r="O638">
        <v>2880.57</v>
      </c>
      <c r="P638">
        <v>6794.88</v>
      </c>
      <c r="Q638">
        <v>73.45999999999999</v>
      </c>
      <c r="R638">
        <v>430.28</v>
      </c>
      <c r="S638">
        <v>572</v>
      </c>
      <c r="T638">
        <v>164</v>
      </c>
      <c r="U638">
        <v>13</v>
      </c>
      <c r="V638">
        <v>72</v>
      </c>
      <c r="W638">
        <v>43</v>
      </c>
      <c r="X638">
        <v>41</v>
      </c>
      <c r="Y638">
        <v>2.42</v>
      </c>
      <c r="Z638">
        <v>70.23</v>
      </c>
      <c r="AA638">
        <v>2250</v>
      </c>
      <c r="AB638">
        <v>1147.54</v>
      </c>
      <c r="AC638">
        <v>317.29</v>
      </c>
      <c r="AD638">
        <v>110</v>
      </c>
      <c r="AE638">
        <v>195.86</v>
      </c>
      <c r="AF638">
        <v>4020.69</v>
      </c>
      <c r="AG638">
        <v>2270.45</v>
      </c>
      <c r="AH638">
        <v>23.47</v>
      </c>
    </row>
    <row r="639" spans="1:34">
      <c r="A639" t="s">
        <v>456</v>
      </c>
      <c r="B639" t="s">
        <v>75</v>
      </c>
      <c r="C639" t="b">
        <v>0</v>
      </c>
      <c r="D639" t="b">
        <v>0</v>
      </c>
      <c r="E639" t="s">
        <v>1473</v>
      </c>
      <c r="F639" t="s">
        <v>82</v>
      </c>
      <c r="G639" t="s">
        <v>1477</v>
      </c>
      <c r="H639">
        <v>32.2</v>
      </c>
      <c r="I639">
        <v>3</v>
      </c>
      <c r="J639">
        <v>245</v>
      </c>
      <c r="K639">
        <v>7263.34</v>
      </c>
      <c r="L639">
        <v>283.46</v>
      </c>
      <c r="M639">
        <v>18.26</v>
      </c>
      <c r="N639">
        <v>6961.62</v>
      </c>
      <c r="O639">
        <v>2153.85</v>
      </c>
      <c r="P639">
        <v>4807.77</v>
      </c>
      <c r="Q639">
        <v>58.61</v>
      </c>
      <c r="R639">
        <v>199.7</v>
      </c>
      <c r="S639">
        <v>419</v>
      </c>
      <c r="T639">
        <v>177</v>
      </c>
      <c r="U639">
        <v>8</v>
      </c>
      <c r="V639">
        <v>68</v>
      </c>
      <c r="W639">
        <v>21</v>
      </c>
      <c r="X639">
        <v>28.41</v>
      </c>
      <c r="Y639">
        <v>1.71</v>
      </c>
      <c r="Z639">
        <v>69.06</v>
      </c>
      <c r="AA639">
        <v>2250</v>
      </c>
      <c r="AB639">
        <v>1147.54</v>
      </c>
      <c r="AC639">
        <v>349.89</v>
      </c>
      <c r="AD639">
        <v>110</v>
      </c>
      <c r="AE639">
        <v>202.58</v>
      </c>
      <c r="AF639">
        <v>4060.01</v>
      </c>
      <c r="AG639">
        <v>489.45</v>
      </c>
      <c r="AH639">
        <v>7.03</v>
      </c>
    </row>
    <row r="640" spans="1:34">
      <c r="A640" t="s">
        <v>1078</v>
      </c>
      <c r="B640" t="s">
        <v>258</v>
      </c>
      <c r="C640" t="b">
        <v>0</v>
      </c>
      <c r="D640" t="b">
        <v>0</v>
      </c>
      <c r="E640" t="s">
        <v>1473</v>
      </c>
      <c r="F640" t="s">
        <v>82</v>
      </c>
      <c r="G640" t="s">
        <v>1477</v>
      </c>
      <c r="H640">
        <v>32.3</v>
      </c>
      <c r="I640">
        <v>4</v>
      </c>
      <c r="J640">
        <v>216</v>
      </c>
      <c r="K640">
        <v>6673.83</v>
      </c>
      <c r="L640">
        <v>165.2</v>
      </c>
      <c r="M640">
        <v>17.4</v>
      </c>
      <c r="N640">
        <v>6491.23</v>
      </c>
      <c r="O640">
        <v>1996.35</v>
      </c>
      <c r="P640">
        <v>4494.88</v>
      </c>
      <c r="Q640">
        <v>45.8</v>
      </c>
      <c r="R640">
        <v>363.69</v>
      </c>
      <c r="S640">
        <v>400</v>
      </c>
      <c r="T640">
        <v>155</v>
      </c>
      <c r="U640">
        <v>6</v>
      </c>
      <c r="V640">
        <v>61</v>
      </c>
      <c r="W640">
        <v>40</v>
      </c>
      <c r="X640">
        <v>30.05</v>
      </c>
      <c r="Y640">
        <v>1.85</v>
      </c>
      <c r="Z640">
        <v>69.25</v>
      </c>
      <c r="AA640">
        <v>2250</v>
      </c>
      <c r="AB640">
        <v>1147.54</v>
      </c>
      <c r="AC640">
        <v>295.76</v>
      </c>
      <c r="AD640">
        <v>110</v>
      </c>
      <c r="AE640">
        <v>206.54</v>
      </c>
      <c r="AF640">
        <v>4009.84</v>
      </c>
      <c r="AG640">
        <v>75.55</v>
      </c>
      <c r="AH640">
        <v>1.16</v>
      </c>
    </row>
    <row r="641" spans="1:34">
      <c r="A641" t="s">
        <v>1079</v>
      </c>
      <c r="B641" t="s">
        <v>259</v>
      </c>
      <c r="C641" t="b">
        <v>0</v>
      </c>
      <c r="D641" t="b">
        <v>0</v>
      </c>
      <c r="E641" t="s">
        <v>1473</v>
      </c>
      <c r="F641" t="s">
        <v>82</v>
      </c>
      <c r="G641" t="s">
        <v>81</v>
      </c>
      <c r="H641">
        <v>32.5</v>
      </c>
      <c r="I641">
        <v>5</v>
      </c>
      <c r="J641">
        <v>221</v>
      </c>
      <c r="K641">
        <v>6573.69</v>
      </c>
      <c r="L641">
        <v>273.02</v>
      </c>
      <c r="M641">
        <v>33.04</v>
      </c>
      <c r="N641">
        <v>6267.63</v>
      </c>
      <c r="O641">
        <v>1874.87</v>
      </c>
      <c r="P641">
        <v>4392.76</v>
      </c>
      <c r="Q641">
        <v>47.79</v>
      </c>
      <c r="R641">
        <v>283.49</v>
      </c>
      <c r="S641">
        <v>392</v>
      </c>
      <c r="T641">
        <v>163</v>
      </c>
      <c r="U641">
        <v>8</v>
      </c>
      <c r="V641">
        <v>58</v>
      </c>
      <c r="W641">
        <v>34</v>
      </c>
      <c r="X641">
        <v>28.36</v>
      </c>
      <c r="Y641">
        <v>1.77</v>
      </c>
      <c r="Z641">
        <v>70.09</v>
      </c>
      <c r="AA641">
        <v>2177.42</v>
      </c>
      <c r="AB641">
        <v>1147.54</v>
      </c>
      <c r="AC641">
        <v>326.96</v>
      </c>
      <c r="AD641">
        <v>110</v>
      </c>
      <c r="AE641">
        <v>197.29</v>
      </c>
      <c r="AF641">
        <v>3959.21</v>
      </c>
      <c r="AG641">
        <v>102.27</v>
      </c>
      <c r="AH641">
        <v>1.63</v>
      </c>
    </row>
    <row r="642" spans="1:34">
      <c r="A642" t="s">
        <v>1080</v>
      </c>
      <c r="B642" t="s">
        <v>260</v>
      </c>
      <c r="C642" t="b">
        <v>0</v>
      </c>
      <c r="D642" t="b">
        <v>0</v>
      </c>
      <c r="E642" t="s">
        <v>1473</v>
      </c>
      <c r="F642" t="s">
        <v>82</v>
      </c>
      <c r="G642" t="s">
        <v>81</v>
      </c>
      <c r="H642">
        <v>31.1</v>
      </c>
      <c r="I642">
        <v>6</v>
      </c>
      <c r="J642">
        <v>224</v>
      </c>
      <c r="K642">
        <v>7555.58</v>
      </c>
      <c r="L642">
        <v>225.21</v>
      </c>
      <c r="M642">
        <v>0</v>
      </c>
      <c r="N642">
        <v>7330.37</v>
      </c>
      <c r="O642">
        <v>2174.66</v>
      </c>
      <c r="P642">
        <v>5155.71</v>
      </c>
      <c r="Q642">
        <v>51.75</v>
      </c>
      <c r="R642">
        <v>425.7</v>
      </c>
      <c r="S642">
        <v>428</v>
      </c>
      <c r="T642">
        <v>163</v>
      </c>
      <c r="U642">
        <v>8</v>
      </c>
      <c r="V642">
        <v>61</v>
      </c>
      <c r="W642">
        <v>44</v>
      </c>
      <c r="X642">
        <v>32.72</v>
      </c>
      <c r="Y642">
        <v>1.91</v>
      </c>
      <c r="Z642">
        <v>70.33</v>
      </c>
      <c r="AA642">
        <v>2177.42</v>
      </c>
      <c r="AB642">
        <v>1147.54</v>
      </c>
      <c r="AC642">
        <v>297.56</v>
      </c>
      <c r="AD642">
        <v>110</v>
      </c>
      <c r="AE642">
        <v>200.9</v>
      </c>
      <c r="AF642">
        <v>3933.42</v>
      </c>
      <c r="AG642">
        <v>744.84</v>
      </c>
      <c r="AH642">
        <v>10.16</v>
      </c>
    </row>
    <row r="643" spans="1:34">
      <c r="A643" t="s">
        <v>1081</v>
      </c>
      <c r="B643" t="s">
        <v>261</v>
      </c>
      <c r="C643" t="b">
        <v>0</v>
      </c>
      <c r="D643" t="b">
        <v>0</v>
      </c>
      <c r="E643" t="s">
        <v>1473</v>
      </c>
      <c r="F643" t="s">
        <v>82</v>
      </c>
      <c r="G643" t="s">
        <v>81</v>
      </c>
      <c r="H643">
        <v>31.5</v>
      </c>
      <c r="I643">
        <v>7</v>
      </c>
      <c r="J643">
        <v>294</v>
      </c>
      <c r="K643">
        <v>10218.05</v>
      </c>
      <c r="L643">
        <v>202.59</v>
      </c>
      <c r="M643">
        <v>0</v>
      </c>
      <c r="N643">
        <v>10015.46</v>
      </c>
      <c r="O643">
        <v>2942.11</v>
      </c>
      <c r="P643">
        <v>7073.35</v>
      </c>
      <c r="Q643">
        <v>78.86</v>
      </c>
      <c r="R643">
        <v>417.46</v>
      </c>
      <c r="S643">
        <v>579</v>
      </c>
      <c r="T643">
        <v>204</v>
      </c>
      <c r="U643">
        <v>9</v>
      </c>
      <c r="V643">
        <v>90</v>
      </c>
      <c r="W643">
        <v>39</v>
      </c>
      <c r="X643">
        <v>34.07</v>
      </c>
      <c r="Y643">
        <v>1.97</v>
      </c>
      <c r="Z643">
        <v>70.62</v>
      </c>
      <c r="AA643">
        <v>2177.42</v>
      </c>
      <c r="AB643">
        <v>1147.54</v>
      </c>
      <c r="AC643">
        <v>300.06</v>
      </c>
      <c r="AD643">
        <v>110</v>
      </c>
      <c r="AE643">
        <v>161.67</v>
      </c>
      <c r="AF643">
        <v>3896.69</v>
      </c>
      <c r="AG643">
        <v>2680.34</v>
      </c>
      <c r="AH643">
        <v>26.76</v>
      </c>
    </row>
    <row r="644" spans="1:34">
      <c r="A644" t="s">
        <v>1082</v>
      </c>
      <c r="B644" t="s">
        <v>262</v>
      </c>
      <c r="C644" t="b">
        <v>1</v>
      </c>
      <c r="D644" t="b">
        <v>0</v>
      </c>
      <c r="E644" t="s">
        <v>1473</v>
      </c>
      <c r="F644" t="s">
        <v>82</v>
      </c>
      <c r="G644" t="s">
        <v>81</v>
      </c>
      <c r="H644">
        <v>30</v>
      </c>
      <c r="I644">
        <v>8</v>
      </c>
      <c r="J644">
        <v>239</v>
      </c>
      <c r="K644">
        <v>9158.99</v>
      </c>
      <c r="L644">
        <v>231.28</v>
      </c>
      <c r="M644">
        <v>73.04000000000001</v>
      </c>
      <c r="N644">
        <v>8854.67</v>
      </c>
      <c r="O644">
        <v>2643.43</v>
      </c>
      <c r="P644">
        <v>6211.24</v>
      </c>
      <c r="Q644">
        <v>57.36</v>
      </c>
      <c r="R644">
        <v>514.99</v>
      </c>
      <c r="S644">
        <v>518</v>
      </c>
      <c r="T644">
        <v>172</v>
      </c>
      <c r="U644">
        <v>11</v>
      </c>
      <c r="V644">
        <v>67</v>
      </c>
      <c r="W644">
        <v>56</v>
      </c>
      <c r="X644">
        <v>37.05</v>
      </c>
      <c r="Y644">
        <v>2.17</v>
      </c>
      <c r="Z644">
        <v>70.15000000000001</v>
      </c>
      <c r="AA644">
        <v>2177.42</v>
      </c>
      <c r="AB644">
        <v>1147.54</v>
      </c>
      <c r="AC644">
        <v>302.62</v>
      </c>
      <c r="AD644">
        <v>110</v>
      </c>
      <c r="AE644">
        <v>188.92</v>
      </c>
      <c r="AF644">
        <v>3926.5</v>
      </c>
      <c r="AG644">
        <v>1712.39</v>
      </c>
      <c r="AH644">
        <v>19.34</v>
      </c>
    </row>
    <row r="645" spans="1:34">
      <c r="A645" t="s">
        <v>1083</v>
      </c>
      <c r="B645" t="s">
        <v>263</v>
      </c>
      <c r="C645" t="b">
        <v>1</v>
      </c>
      <c r="D645" t="b">
        <v>0</v>
      </c>
      <c r="E645" t="s">
        <v>1473</v>
      </c>
      <c r="F645" t="s">
        <v>82</v>
      </c>
      <c r="G645" t="s">
        <v>81</v>
      </c>
      <c r="H645">
        <v>29.5</v>
      </c>
      <c r="I645">
        <v>9</v>
      </c>
      <c r="J645">
        <v>233</v>
      </c>
      <c r="K645">
        <v>8768.59</v>
      </c>
      <c r="L645">
        <v>246.95</v>
      </c>
      <c r="M645">
        <v>21.74</v>
      </c>
      <c r="N645">
        <v>8499.9</v>
      </c>
      <c r="O645">
        <v>2461.87</v>
      </c>
      <c r="P645">
        <v>6038.03</v>
      </c>
      <c r="Q645">
        <v>65.98999999999999</v>
      </c>
      <c r="R645">
        <v>306.86</v>
      </c>
      <c r="S645">
        <v>502</v>
      </c>
      <c r="T645">
        <v>170</v>
      </c>
      <c r="U645">
        <v>11</v>
      </c>
      <c r="V645">
        <v>63</v>
      </c>
      <c r="W645">
        <v>38</v>
      </c>
      <c r="X645">
        <v>36.48</v>
      </c>
      <c r="Y645">
        <v>2.15</v>
      </c>
      <c r="Z645">
        <v>71.04000000000001</v>
      </c>
      <c r="AA645">
        <v>2177.42</v>
      </c>
      <c r="AB645">
        <v>1147.54</v>
      </c>
      <c r="AC645">
        <v>276.54</v>
      </c>
      <c r="AD645">
        <v>110</v>
      </c>
      <c r="AE645">
        <v>195.36</v>
      </c>
      <c r="AF645">
        <v>3906.86</v>
      </c>
      <c r="AG645">
        <v>1758.32</v>
      </c>
      <c r="AH645">
        <v>20.69</v>
      </c>
    </row>
    <row r="646" spans="1:34">
      <c r="A646" t="s">
        <v>457</v>
      </c>
      <c r="B646" t="s">
        <v>75</v>
      </c>
      <c r="C646" t="b">
        <v>0</v>
      </c>
      <c r="D646" t="b">
        <v>0</v>
      </c>
      <c r="E646" t="s">
        <v>1473</v>
      </c>
      <c r="F646" t="s">
        <v>82</v>
      </c>
      <c r="G646" t="s">
        <v>81</v>
      </c>
      <c r="H646">
        <v>27.6</v>
      </c>
      <c r="I646">
        <v>10</v>
      </c>
      <c r="J646">
        <v>248</v>
      </c>
      <c r="K646">
        <v>7568.54</v>
      </c>
      <c r="L646">
        <v>335.65</v>
      </c>
      <c r="M646">
        <v>20</v>
      </c>
      <c r="N646">
        <v>7212.89</v>
      </c>
      <c r="O646">
        <v>2219.75</v>
      </c>
      <c r="P646">
        <v>4993.14</v>
      </c>
      <c r="Q646">
        <v>55.64</v>
      </c>
      <c r="R646">
        <v>345.55</v>
      </c>
      <c r="S646">
        <v>431</v>
      </c>
      <c r="T646">
        <v>174</v>
      </c>
      <c r="U646">
        <v>11</v>
      </c>
      <c r="V646">
        <v>74</v>
      </c>
      <c r="W646">
        <v>38</v>
      </c>
      <c r="X646">
        <v>29.08</v>
      </c>
      <c r="Y646">
        <v>1.74</v>
      </c>
      <c r="Z646">
        <v>69.23</v>
      </c>
      <c r="AA646">
        <v>2177.42</v>
      </c>
      <c r="AB646">
        <v>1147.54</v>
      </c>
      <c r="AC646">
        <v>265.98</v>
      </c>
      <c r="AD646">
        <v>110</v>
      </c>
      <c r="AE646">
        <v>179.8</v>
      </c>
      <c r="AF646">
        <v>3880.74</v>
      </c>
      <c r="AG646">
        <v>711.21</v>
      </c>
      <c r="AH646">
        <v>9.859999999999999</v>
      </c>
    </row>
    <row r="647" spans="1:34">
      <c r="A647" t="s">
        <v>1084</v>
      </c>
      <c r="B647" t="s">
        <v>258</v>
      </c>
      <c r="C647" t="b">
        <v>0</v>
      </c>
      <c r="D647" t="b">
        <v>0</v>
      </c>
      <c r="E647" t="s">
        <v>1473</v>
      </c>
      <c r="F647" t="s">
        <v>82</v>
      </c>
      <c r="G647" t="s">
        <v>81</v>
      </c>
      <c r="H647">
        <v>30.3</v>
      </c>
      <c r="I647">
        <v>11</v>
      </c>
      <c r="J647">
        <v>227</v>
      </c>
      <c r="K647">
        <v>6418.11</v>
      </c>
      <c r="L647">
        <v>284.34</v>
      </c>
      <c r="M647">
        <v>0</v>
      </c>
      <c r="N647">
        <v>6133.77</v>
      </c>
      <c r="O647">
        <v>1822.68</v>
      </c>
      <c r="P647">
        <v>4311.09</v>
      </c>
      <c r="Q647">
        <v>47.92</v>
      </c>
      <c r="R647">
        <v>258.48</v>
      </c>
      <c r="S647">
        <v>365</v>
      </c>
      <c r="T647">
        <v>168</v>
      </c>
      <c r="U647">
        <v>7</v>
      </c>
      <c r="V647">
        <v>59</v>
      </c>
      <c r="W647">
        <v>32</v>
      </c>
      <c r="X647">
        <v>27.02</v>
      </c>
      <c r="Y647">
        <v>1.61</v>
      </c>
      <c r="Z647">
        <v>70.28</v>
      </c>
      <c r="AA647">
        <v>2177.42</v>
      </c>
      <c r="AB647">
        <v>1147.54</v>
      </c>
      <c r="AC647">
        <v>322.35</v>
      </c>
      <c r="AD647">
        <v>110</v>
      </c>
      <c r="AE647">
        <v>189.34</v>
      </c>
      <c r="AF647">
        <v>3946.65</v>
      </c>
      <c r="AG647">
        <v>58.04</v>
      </c>
      <c r="AH647">
        <v>0.95</v>
      </c>
    </row>
    <row r="648" spans="1:34">
      <c r="A648" t="s">
        <v>1085</v>
      </c>
      <c r="B648" t="s">
        <v>259</v>
      </c>
      <c r="C648" t="b">
        <v>0</v>
      </c>
      <c r="D648" t="b">
        <v>0</v>
      </c>
      <c r="E648" t="s">
        <v>1473</v>
      </c>
      <c r="F648" t="s">
        <v>82</v>
      </c>
      <c r="G648" t="s">
        <v>81</v>
      </c>
      <c r="H648">
        <v>30.4</v>
      </c>
      <c r="I648">
        <v>12</v>
      </c>
      <c r="J648">
        <v>173</v>
      </c>
      <c r="K648">
        <v>5202.52</v>
      </c>
      <c r="L648">
        <v>163.45</v>
      </c>
      <c r="M648">
        <v>43.48</v>
      </c>
      <c r="N648">
        <v>4995.59</v>
      </c>
      <c r="O648">
        <v>1447.25</v>
      </c>
      <c r="P648">
        <v>3548.34</v>
      </c>
      <c r="Q648">
        <v>35.17</v>
      </c>
      <c r="R648">
        <v>282.41</v>
      </c>
      <c r="S648">
        <v>301</v>
      </c>
      <c r="T648">
        <v>123</v>
      </c>
      <c r="U648">
        <v>14</v>
      </c>
      <c r="V648">
        <v>50</v>
      </c>
      <c r="W648">
        <v>32</v>
      </c>
      <c r="X648">
        <v>28.88</v>
      </c>
      <c r="Y648">
        <v>1.74</v>
      </c>
      <c r="Z648">
        <v>71.03</v>
      </c>
      <c r="AA648">
        <v>2177.42</v>
      </c>
      <c r="AB648">
        <v>1147.54</v>
      </c>
      <c r="AC648">
        <v>339.8</v>
      </c>
      <c r="AD648">
        <v>110</v>
      </c>
      <c r="AE648">
        <v>213.2</v>
      </c>
      <c r="AF648">
        <v>3987.96</v>
      </c>
      <c r="AG648">
        <v>-757.2</v>
      </c>
      <c r="AH648">
        <v>-15.16</v>
      </c>
    </row>
    <row r="649" spans="1:34">
      <c r="A649" t="s">
        <v>1086</v>
      </c>
      <c r="B649" t="s">
        <v>260</v>
      </c>
      <c r="C649" t="b">
        <v>0</v>
      </c>
      <c r="D649" t="b">
        <v>0</v>
      </c>
      <c r="E649" t="s">
        <v>1473</v>
      </c>
      <c r="F649" t="s">
        <v>82</v>
      </c>
      <c r="G649" t="s">
        <v>81</v>
      </c>
      <c r="H649">
        <v>30.2</v>
      </c>
      <c r="I649">
        <v>13</v>
      </c>
      <c r="J649">
        <v>215</v>
      </c>
      <c r="K649">
        <v>8091.97</v>
      </c>
      <c r="L649">
        <v>487.28</v>
      </c>
      <c r="M649">
        <v>36.52</v>
      </c>
      <c r="N649">
        <v>7568.17</v>
      </c>
      <c r="O649">
        <v>2296.35</v>
      </c>
      <c r="P649">
        <v>5271.82</v>
      </c>
      <c r="Q649">
        <v>45.44</v>
      </c>
      <c r="R649">
        <v>341.46</v>
      </c>
      <c r="S649">
        <v>468</v>
      </c>
      <c r="T649">
        <v>159</v>
      </c>
      <c r="U649">
        <v>6</v>
      </c>
      <c r="V649">
        <v>56</v>
      </c>
      <c r="W649">
        <v>37</v>
      </c>
      <c r="X649">
        <v>35.2</v>
      </c>
      <c r="Y649">
        <v>2.18</v>
      </c>
      <c r="Z649">
        <v>69.66</v>
      </c>
      <c r="AA649">
        <v>2177.42</v>
      </c>
      <c r="AB649">
        <v>1147.54</v>
      </c>
      <c r="AC649">
        <v>300.94</v>
      </c>
      <c r="AD649">
        <v>110</v>
      </c>
      <c r="AE649">
        <v>185.34</v>
      </c>
      <c r="AF649">
        <v>3921.24</v>
      </c>
      <c r="AG649">
        <v>963.6799999999999</v>
      </c>
      <c r="AH649">
        <v>12.73</v>
      </c>
    </row>
    <row r="650" spans="1:34">
      <c r="A650" t="s">
        <v>1087</v>
      </c>
      <c r="B650" t="s">
        <v>261</v>
      </c>
      <c r="C650" t="b">
        <v>0</v>
      </c>
      <c r="D650" t="b">
        <v>0</v>
      </c>
      <c r="E650" t="s">
        <v>1473</v>
      </c>
      <c r="F650" t="s">
        <v>82</v>
      </c>
      <c r="G650" t="s">
        <v>81</v>
      </c>
      <c r="H650">
        <v>29.6</v>
      </c>
      <c r="I650">
        <v>14</v>
      </c>
      <c r="J650">
        <v>302</v>
      </c>
      <c r="K650">
        <v>9735.530000000001</v>
      </c>
      <c r="L650">
        <v>123.46</v>
      </c>
      <c r="M650">
        <v>20.87</v>
      </c>
      <c r="N650">
        <v>9591.200000000001</v>
      </c>
      <c r="O650">
        <v>2806.94</v>
      </c>
      <c r="P650">
        <v>6784.26</v>
      </c>
      <c r="Q650">
        <v>75.91</v>
      </c>
      <c r="R650">
        <v>425.66</v>
      </c>
      <c r="S650">
        <v>557</v>
      </c>
      <c r="T650">
        <v>212</v>
      </c>
      <c r="U650">
        <v>13</v>
      </c>
      <c r="V650">
        <v>90</v>
      </c>
      <c r="W650">
        <v>47</v>
      </c>
      <c r="X650">
        <v>31.76</v>
      </c>
      <c r="Y650">
        <v>1.84</v>
      </c>
      <c r="Z650">
        <v>70.73</v>
      </c>
      <c r="AA650">
        <v>2177.42</v>
      </c>
      <c r="AB650">
        <v>1147.54</v>
      </c>
      <c r="AC650">
        <v>313.11</v>
      </c>
      <c r="AD650">
        <v>110</v>
      </c>
      <c r="AE650">
        <v>169.43</v>
      </c>
      <c r="AF650">
        <v>3917.5</v>
      </c>
      <c r="AG650">
        <v>2365.19</v>
      </c>
      <c r="AH650">
        <v>24.66</v>
      </c>
    </row>
    <row r="651" spans="1:34">
      <c r="A651" t="s">
        <v>1088</v>
      </c>
      <c r="B651" t="s">
        <v>262</v>
      </c>
      <c r="C651" t="b">
        <v>1</v>
      </c>
      <c r="D651" t="b">
        <v>0</v>
      </c>
      <c r="E651" t="s">
        <v>1473</v>
      </c>
      <c r="F651" t="s">
        <v>82</v>
      </c>
      <c r="G651" t="s">
        <v>81</v>
      </c>
      <c r="H651">
        <v>29.7</v>
      </c>
      <c r="I651">
        <v>15</v>
      </c>
      <c r="J651">
        <v>215</v>
      </c>
      <c r="K651">
        <v>8221.549999999999</v>
      </c>
      <c r="L651">
        <v>213.9</v>
      </c>
      <c r="M651">
        <v>20</v>
      </c>
      <c r="N651">
        <v>7987.65</v>
      </c>
      <c r="O651">
        <v>2375.72</v>
      </c>
      <c r="P651">
        <v>5611.93</v>
      </c>
      <c r="Q651">
        <v>56.03</v>
      </c>
      <c r="R651">
        <v>441.7</v>
      </c>
      <c r="S651">
        <v>461</v>
      </c>
      <c r="T651">
        <v>162</v>
      </c>
      <c r="U651">
        <v>7</v>
      </c>
      <c r="V651">
        <v>53</v>
      </c>
      <c r="W651">
        <v>50</v>
      </c>
      <c r="X651">
        <v>37.15</v>
      </c>
      <c r="Y651">
        <v>2.14</v>
      </c>
      <c r="Z651">
        <v>70.26000000000001</v>
      </c>
      <c r="AA651">
        <v>2177.42</v>
      </c>
      <c r="AB651">
        <v>1147.54</v>
      </c>
      <c r="AC651">
        <v>284.45</v>
      </c>
      <c r="AD651">
        <v>110</v>
      </c>
      <c r="AE651">
        <v>203.98</v>
      </c>
      <c r="AF651">
        <v>3923.39</v>
      </c>
      <c r="AG651">
        <v>1190.81</v>
      </c>
      <c r="AH651">
        <v>14.91</v>
      </c>
    </row>
    <row r="652" spans="1:34">
      <c r="A652" t="s">
        <v>1089</v>
      </c>
      <c r="B652" t="s">
        <v>263</v>
      </c>
      <c r="C652" t="b">
        <v>1</v>
      </c>
      <c r="D652" t="b">
        <v>0</v>
      </c>
      <c r="E652" t="s">
        <v>1473</v>
      </c>
      <c r="F652" t="s">
        <v>82</v>
      </c>
      <c r="G652" t="s">
        <v>81</v>
      </c>
      <c r="H652">
        <v>30.9</v>
      </c>
      <c r="I652">
        <v>16</v>
      </c>
      <c r="J652">
        <v>194</v>
      </c>
      <c r="K652">
        <v>7492.04</v>
      </c>
      <c r="L652">
        <v>339.11</v>
      </c>
      <c r="M652">
        <v>69.56</v>
      </c>
      <c r="N652">
        <v>7083.37</v>
      </c>
      <c r="O652">
        <v>2139.91</v>
      </c>
      <c r="P652">
        <v>4943.46</v>
      </c>
      <c r="Q652">
        <v>47.59</v>
      </c>
      <c r="R652">
        <v>429.28</v>
      </c>
      <c r="S652">
        <v>441</v>
      </c>
      <c r="T652">
        <v>149</v>
      </c>
      <c r="U652">
        <v>8</v>
      </c>
      <c r="V652">
        <v>45</v>
      </c>
      <c r="W652">
        <v>42</v>
      </c>
      <c r="X652">
        <v>36.51</v>
      </c>
      <c r="Y652">
        <v>2.27</v>
      </c>
      <c r="Z652">
        <v>69.79000000000001</v>
      </c>
      <c r="AA652">
        <v>2177.42</v>
      </c>
      <c r="AB652">
        <v>1147.54</v>
      </c>
      <c r="AC652">
        <v>302.4</v>
      </c>
      <c r="AD652">
        <v>110</v>
      </c>
      <c r="AE652">
        <v>179.26</v>
      </c>
      <c r="AF652">
        <v>3916.62</v>
      </c>
      <c r="AG652">
        <v>549.97</v>
      </c>
      <c r="AH652">
        <v>7.76</v>
      </c>
    </row>
    <row r="653" spans="1:34">
      <c r="A653" t="s">
        <v>458</v>
      </c>
      <c r="B653" t="s">
        <v>75</v>
      </c>
      <c r="C653" t="b">
        <v>0</v>
      </c>
      <c r="D653" t="b">
        <v>0</v>
      </c>
      <c r="E653" t="s">
        <v>1473</v>
      </c>
      <c r="F653" t="s">
        <v>82</v>
      </c>
      <c r="G653" t="s">
        <v>81</v>
      </c>
      <c r="H653">
        <v>30.6</v>
      </c>
      <c r="I653">
        <v>17</v>
      </c>
      <c r="J653">
        <v>267</v>
      </c>
      <c r="K653">
        <v>7916.33</v>
      </c>
      <c r="L653">
        <v>328.67</v>
      </c>
      <c r="M653">
        <v>20</v>
      </c>
      <c r="N653">
        <v>7567.66</v>
      </c>
      <c r="O653">
        <v>2291.84</v>
      </c>
      <c r="P653">
        <v>5275.82</v>
      </c>
      <c r="Q653">
        <v>59.69</v>
      </c>
      <c r="R653">
        <v>345.11</v>
      </c>
      <c r="S653">
        <v>454</v>
      </c>
      <c r="T653">
        <v>190</v>
      </c>
      <c r="U653">
        <v>5</v>
      </c>
      <c r="V653">
        <v>77</v>
      </c>
      <c r="W653">
        <v>35</v>
      </c>
      <c r="X653">
        <v>28.34</v>
      </c>
      <c r="Y653">
        <v>1.7</v>
      </c>
      <c r="Z653">
        <v>69.72</v>
      </c>
      <c r="AA653">
        <v>2177.42</v>
      </c>
      <c r="AB653">
        <v>1147.54</v>
      </c>
      <c r="AC653">
        <v>300.01</v>
      </c>
      <c r="AD653">
        <v>110</v>
      </c>
      <c r="AE653">
        <v>194.44</v>
      </c>
      <c r="AF653">
        <v>3929.41</v>
      </c>
      <c r="AG653">
        <v>941.61</v>
      </c>
      <c r="AH653">
        <v>12.44</v>
      </c>
    </row>
    <row r="654" spans="1:34">
      <c r="A654" t="s">
        <v>1090</v>
      </c>
      <c r="B654" t="s">
        <v>258</v>
      </c>
      <c r="C654" t="b">
        <v>0</v>
      </c>
      <c r="D654" t="b">
        <v>0</v>
      </c>
      <c r="E654" t="s">
        <v>1473</v>
      </c>
      <c r="F654" t="s">
        <v>82</v>
      </c>
      <c r="G654" t="s">
        <v>81</v>
      </c>
      <c r="H654">
        <v>31.9</v>
      </c>
      <c r="I654">
        <v>18</v>
      </c>
      <c r="J654">
        <v>203</v>
      </c>
      <c r="K654">
        <v>6079.83</v>
      </c>
      <c r="L654">
        <v>190.42</v>
      </c>
      <c r="M654">
        <v>19.13</v>
      </c>
      <c r="N654">
        <v>5870.28</v>
      </c>
      <c r="O654">
        <v>1742.4</v>
      </c>
      <c r="P654">
        <v>4127.88</v>
      </c>
      <c r="Q654">
        <v>41.13</v>
      </c>
      <c r="R654">
        <v>266.87</v>
      </c>
      <c r="S654">
        <v>347</v>
      </c>
      <c r="T654">
        <v>140</v>
      </c>
      <c r="U654">
        <v>7</v>
      </c>
      <c r="V654">
        <v>63</v>
      </c>
      <c r="W654">
        <v>28</v>
      </c>
      <c r="X654">
        <v>28.92</v>
      </c>
      <c r="Y654">
        <v>1.71</v>
      </c>
      <c r="Z654">
        <v>70.31999999999999</v>
      </c>
      <c r="AA654">
        <v>2177.42</v>
      </c>
      <c r="AB654">
        <v>1147.54</v>
      </c>
      <c r="AC654">
        <v>314.88</v>
      </c>
      <c r="AD654">
        <v>110</v>
      </c>
      <c r="AE654">
        <v>179.69</v>
      </c>
      <c r="AF654">
        <v>3929.53</v>
      </c>
      <c r="AG654">
        <v>-109.65</v>
      </c>
      <c r="AH654">
        <v>-1.87</v>
      </c>
    </row>
    <row r="655" spans="1:34">
      <c r="A655" t="s">
        <v>1091</v>
      </c>
      <c r="B655" t="s">
        <v>259</v>
      </c>
      <c r="C655" t="b">
        <v>0</v>
      </c>
      <c r="D655" t="b">
        <v>0</v>
      </c>
      <c r="E655" t="s">
        <v>1473</v>
      </c>
      <c r="F655" t="s">
        <v>82</v>
      </c>
      <c r="G655" t="s">
        <v>81</v>
      </c>
      <c r="H655">
        <v>28.5</v>
      </c>
      <c r="I655">
        <v>19</v>
      </c>
      <c r="J655">
        <v>268</v>
      </c>
      <c r="K655">
        <v>7948.5</v>
      </c>
      <c r="L655">
        <v>242.59</v>
      </c>
      <c r="M655">
        <v>20</v>
      </c>
      <c r="N655">
        <v>7685.91</v>
      </c>
      <c r="O655">
        <v>2245.59</v>
      </c>
      <c r="P655">
        <v>5440.32</v>
      </c>
      <c r="Q655">
        <v>59.44</v>
      </c>
      <c r="R655">
        <v>304.18</v>
      </c>
      <c r="S655">
        <v>456</v>
      </c>
      <c r="T655">
        <v>143</v>
      </c>
      <c r="U655">
        <v>15</v>
      </c>
      <c r="V655">
        <v>125</v>
      </c>
      <c r="W655">
        <v>34</v>
      </c>
      <c r="X655">
        <v>28.68</v>
      </c>
      <c r="Y655">
        <v>1.7</v>
      </c>
      <c r="Z655">
        <v>70.78</v>
      </c>
      <c r="AA655">
        <v>2177.42</v>
      </c>
      <c r="AB655">
        <v>1147.54</v>
      </c>
      <c r="AC655">
        <v>302.9</v>
      </c>
      <c r="AD655">
        <v>110</v>
      </c>
      <c r="AE655">
        <v>1405.34</v>
      </c>
      <c r="AF655">
        <v>5143.2</v>
      </c>
      <c r="AG655">
        <v>-66.5</v>
      </c>
      <c r="AH655">
        <v>-0.87</v>
      </c>
    </row>
    <row r="656" spans="1:34">
      <c r="A656" t="s">
        <v>1092</v>
      </c>
      <c r="B656" t="s">
        <v>260</v>
      </c>
      <c r="C656" t="b">
        <v>0</v>
      </c>
      <c r="D656" t="b">
        <v>0</v>
      </c>
      <c r="E656" t="s">
        <v>1473</v>
      </c>
      <c r="F656" t="s">
        <v>82</v>
      </c>
      <c r="G656" t="s">
        <v>81</v>
      </c>
      <c r="H656">
        <v>28.5</v>
      </c>
      <c r="I656">
        <v>20</v>
      </c>
      <c r="J656">
        <v>266</v>
      </c>
      <c r="K656">
        <v>7821.54</v>
      </c>
      <c r="L656">
        <v>393.89</v>
      </c>
      <c r="M656">
        <v>20.87</v>
      </c>
      <c r="N656">
        <v>7406.78</v>
      </c>
      <c r="O656">
        <v>2267.13</v>
      </c>
      <c r="P656">
        <v>5139.65</v>
      </c>
      <c r="Q656">
        <v>55.96</v>
      </c>
      <c r="R656">
        <v>262.28</v>
      </c>
      <c r="S656">
        <v>455</v>
      </c>
      <c r="T656">
        <v>198</v>
      </c>
      <c r="U656">
        <v>14</v>
      </c>
      <c r="V656">
        <v>68</v>
      </c>
      <c r="W656">
        <v>34</v>
      </c>
      <c r="X656">
        <v>27.85</v>
      </c>
      <c r="Y656">
        <v>1.71</v>
      </c>
      <c r="Z656">
        <v>69.39</v>
      </c>
      <c r="AA656">
        <v>2177.42</v>
      </c>
      <c r="AB656">
        <v>1147.54</v>
      </c>
      <c r="AC656">
        <v>271.66</v>
      </c>
      <c r="AD656">
        <v>110</v>
      </c>
      <c r="AE656">
        <v>178.31</v>
      </c>
      <c r="AF656">
        <v>3884.93</v>
      </c>
      <c r="AG656">
        <v>936.48</v>
      </c>
      <c r="AH656">
        <v>12.64</v>
      </c>
    </row>
    <row r="657" spans="1:34">
      <c r="A657" t="s">
        <v>1093</v>
      </c>
      <c r="B657" t="s">
        <v>261</v>
      </c>
      <c r="C657" t="b">
        <v>0</v>
      </c>
      <c r="D657" t="b">
        <v>0</v>
      </c>
      <c r="E657" t="s">
        <v>1473</v>
      </c>
      <c r="F657" t="s">
        <v>82</v>
      </c>
      <c r="G657" t="s">
        <v>81</v>
      </c>
      <c r="H657">
        <v>28</v>
      </c>
      <c r="I657">
        <v>21</v>
      </c>
      <c r="J657">
        <v>315</v>
      </c>
      <c r="K657">
        <v>9320.67</v>
      </c>
      <c r="L657">
        <v>227.82</v>
      </c>
      <c r="M657">
        <v>20</v>
      </c>
      <c r="N657">
        <v>9072.85</v>
      </c>
      <c r="O657">
        <v>2649.5</v>
      </c>
      <c r="P657">
        <v>6423.35</v>
      </c>
      <c r="Q657">
        <v>76.2</v>
      </c>
      <c r="R657">
        <v>267.04</v>
      </c>
      <c r="S657">
        <v>549</v>
      </c>
      <c r="T657">
        <v>232</v>
      </c>
      <c r="U657">
        <v>9</v>
      </c>
      <c r="V657">
        <v>83</v>
      </c>
      <c r="W657">
        <v>40</v>
      </c>
      <c r="X657">
        <v>28.8</v>
      </c>
      <c r="Y657">
        <v>1.74</v>
      </c>
      <c r="Z657">
        <v>70.8</v>
      </c>
      <c r="AA657">
        <v>2177.42</v>
      </c>
      <c r="AB657">
        <v>1147.54</v>
      </c>
      <c r="AC657">
        <v>297.26</v>
      </c>
      <c r="AD657">
        <v>110</v>
      </c>
      <c r="AE657">
        <v>197.53</v>
      </c>
      <c r="AF657">
        <v>3929.75</v>
      </c>
      <c r="AG657">
        <v>2150.36</v>
      </c>
      <c r="AH657">
        <v>23.7</v>
      </c>
    </row>
    <row r="658" spans="1:34">
      <c r="A658" t="s">
        <v>1094</v>
      </c>
      <c r="B658" t="s">
        <v>262</v>
      </c>
      <c r="C658" t="b">
        <v>1</v>
      </c>
      <c r="D658" t="b">
        <v>0</v>
      </c>
      <c r="E658" t="s">
        <v>1473</v>
      </c>
      <c r="F658" t="s">
        <v>82</v>
      </c>
      <c r="G658" t="s">
        <v>81</v>
      </c>
      <c r="H658">
        <v>28.6</v>
      </c>
      <c r="I658">
        <v>22</v>
      </c>
      <c r="J658">
        <v>247</v>
      </c>
      <c r="K658">
        <v>8818.950000000001</v>
      </c>
      <c r="L658">
        <v>254.78</v>
      </c>
      <c r="M658">
        <v>20</v>
      </c>
      <c r="N658">
        <v>8544.17</v>
      </c>
      <c r="O658">
        <v>2507.6</v>
      </c>
      <c r="P658">
        <v>6036.57</v>
      </c>
      <c r="Q658">
        <v>61.34</v>
      </c>
      <c r="R658">
        <v>417.06</v>
      </c>
      <c r="S658">
        <v>504</v>
      </c>
      <c r="T658">
        <v>166</v>
      </c>
      <c r="U658">
        <v>14</v>
      </c>
      <c r="V658">
        <v>81</v>
      </c>
      <c r="W658">
        <v>52</v>
      </c>
      <c r="X658">
        <v>34.59</v>
      </c>
      <c r="Y658">
        <v>2.04</v>
      </c>
      <c r="Z658">
        <v>70.65000000000001</v>
      </c>
      <c r="AA658">
        <v>2177.42</v>
      </c>
      <c r="AB658">
        <v>1147.54</v>
      </c>
      <c r="AC658">
        <v>280.97</v>
      </c>
      <c r="AD658">
        <v>110</v>
      </c>
      <c r="AE658">
        <v>172.48</v>
      </c>
      <c r="AF658">
        <v>3888.41</v>
      </c>
      <c r="AG658">
        <v>1669.76</v>
      </c>
      <c r="AH658">
        <v>19.54</v>
      </c>
    </row>
    <row r="659" spans="1:34">
      <c r="A659" t="s">
        <v>1095</v>
      </c>
      <c r="B659" t="s">
        <v>263</v>
      </c>
      <c r="C659" t="b">
        <v>1</v>
      </c>
      <c r="D659" t="b">
        <v>0</v>
      </c>
      <c r="E659" t="s">
        <v>1473</v>
      </c>
      <c r="F659" t="s">
        <v>82</v>
      </c>
      <c r="G659" t="s">
        <v>81</v>
      </c>
      <c r="H659">
        <v>27.2</v>
      </c>
      <c r="I659">
        <v>23</v>
      </c>
      <c r="J659">
        <v>230</v>
      </c>
      <c r="K659">
        <v>8055.59</v>
      </c>
      <c r="L659">
        <v>280</v>
      </c>
      <c r="M659">
        <v>0</v>
      </c>
      <c r="N659">
        <v>7775.59</v>
      </c>
      <c r="O659">
        <v>2305.86</v>
      </c>
      <c r="P659">
        <v>5469.73</v>
      </c>
      <c r="Q659">
        <v>55.65</v>
      </c>
      <c r="R659">
        <v>378.76</v>
      </c>
      <c r="S659">
        <v>465</v>
      </c>
      <c r="T659">
        <v>174</v>
      </c>
      <c r="U659">
        <v>14</v>
      </c>
      <c r="V659">
        <v>56</v>
      </c>
      <c r="W659">
        <v>38</v>
      </c>
      <c r="X659">
        <v>33.81</v>
      </c>
      <c r="Y659">
        <v>2.02</v>
      </c>
      <c r="Z659">
        <v>70.34</v>
      </c>
      <c r="AA659">
        <v>2177.42</v>
      </c>
      <c r="AB659">
        <v>1147.54</v>
      </c>
      <c r="AC659">
        <v>256.14</v>
      </c>
      <c r="AD659">
        <v>110</v>
      </c>
      <c r="AE659">
        <v>193.33</v>
      </c>
      <c r="AF659">
        <v>3884.43</v>
      </c>
      <c r="AG659">
        <v>1150.89</v>
      </c>
      <c r="AH659">
        <v>14.8</v>
      </c>
    </row>
    <row r="660" spans="1:34">
      <c r="A660" t="s">
        <v>459</v>
      </c>
      <c r="B660" t="s">
        <v>75</v>
      </c>
      <c r="C660" t="b">
        <v>0</v>
      </c>
      <c r="D660" t="b">
        <v>0</v>
      </c>
      <c r="E660" t="s">
        <v>1473</v>
      </c>
      <c r="F660" t="s">
        <v>82</v>
      </c>
      <c r="G660" t="s">
        <v>81</v>
      </c>
      <c r="H660">
        <v>25.1</v>
      </c>
      <c r="I660">
        <v>24</v>
      </c>
      <c r="J660">
        <v>205</v>
      </c>
      <c r="K660">
        <v>6411.18</v>
      </c>
      <c r="L660">
        <v>177.39</v>
      </c>
      <c r="M660">
        <v>0</v>
      </c>
      <c r="N660">
        <v>6233.79</v>
      </c>
      <c r="O660">
        <v>1865.15</v>
      </c>
      <c r="P660">
        <v>4368.64</v>
      </c>
      <c r="Q660">
        <v>46.45</v>
      </c>
      <c r="R660">
        <v>264.04</v>
      </c>
      <c r="S660">
        <v>361</v>
      </c>
      <c r="T660">
        <v>139</v>
      </c>
      <c r="U660">
        <v>4</v>
      </c>
      <c r="V660">
        <v>66</v>
      </c>
      <c r="W660">
        <v>25</v>
      </c>
      <c r="X660">
        <v>30.41</v>
      </c>
      <c r="Y660">
        <v>1.76</v>
      </c>
      <c r="Z660">
        <v>70.08</v>
      </c>
      <c r="AA660">
        <v>2177.42</v>
      </c>
      <c r="AB660">
        <v>1147.54</v>
      </c>
      <c r="AC660">
        <v>247.48</v>
      </c>
      <c r="AD660">
        <v>110</v>
      </c>
      <c r="AE660">
        <v>201.47</v>
      </c>
      <c r="AF660">
        <v>3883.91</v>
      </c>
      <c r="AG660">
        <v>174.24</v>
      </c>
      <c r="AH660">
        <v>2.8</v>
      </c>
    </row>
    <row r="661" spans="1:34">
      <c r="A661" t="s">
        <v>1096</v>
      </c>
      <c r="B661" t="s">
        <v>258</v>
      </c>
      <c r="C661" t="b">
        <v>0</v>
      </c>
      <c r="D661" t="b">
        <v>0</v>
      </c>
      <c r="E661" t="s">
        <v>1473</v>
      </c>
      <c r="F661" t="s">
        <v>82</v>
      </c>
      <c r="G661" t="s">
        <v>81</v>
      </c>
      <c r="H661">
        <v>24.1</v>
      </c>
      <c r="I661">
        <v>25</v>
      </c>
      <c r="J661">
        <v>232</v>
      </c>
      <c r="K661">
        <v>7363.35</v>
      </c>
      <c r="L661">
        <v>128.69</v>
      </c>
      <c r="M661">
        <v>0</v>
      </c>
      <c r="N661">
        <v>7234.66</v>
      </c>
      <c r="O661">
        <v>2174.9</v>
      </c>
      <c r="P661">
        <v>5059.76</v>
      </c>
      <c r="Q661">
        <v>55.37</v>
      </c>
      <c r="R661">
        <v>299.42</v>
      </c>
      <c r="S661">
        <v>428</v>
      </c>
      <c r="T661">
        <v>165</v>
      </c>
      <c r="U661">
        <v>11</v>
      </c>
      <c r="V661">
        <v>67</v>
      </c>
      <c r="W661">
        <v>33</v>
      </c>
      <c r="X661">
        <v>31.18</v>
      </c>
      <c r="Y661">
        <v>1.84</v>
      </c>
      <c r="Z661">
        <v>69.94</v>
      </c>
      <c r="AA661">
        <v>2177.42</v>
      </c>
      <c r="AB661">
        <v>1147.54</v>
      </c>
      <c r="AC661">
        <v>232.13</v>
      </c>
      <c r="AD661">
        <v>110</v>
      </c>
      <c r="AE661">
        <v>183.55</v>
      </c>
      <c r="AF661">
        <v>3850.64</v>
      </c>
      <c r="AG661">
        <v>854.33</v>
      </c>
      <c r="AH661">
        <v>11.81</v>
      </c>
    </row>
    <row r="662" spans="1:34">
      <c r="A662" t="s">
        <v>1097</v>
      </c>
      <c r="B662" t="s">
        <v>259</v>
      </c>
      <c r="C662" t="b">
        <v>0</v>
      </c>
      <c r="D662" t="b">
        <v>0</v>
      </c>
      <c r="E662" t="s">
        <v>1473</v>
      </c>
      <c r="F662" t="s">
        <v>82</v>
      </c>
      <c r="G662" t="s">
        <v>81</v>
      </c>
      <c r="H662">
        <v>23.2</v>
      </c>
      <c r="I662">
        <v>26</v>
      </c>
      <c r="J662">
        <v>249</v>
      </c>
      <c r="K662">
        <v>7253.76</v>
      </c>
      <c r="L662">
        <v>275.63</v>
      </c>
      <c r="M662">
        <v>49.56</v>
      </c>
      <c r="N662">
        <v>6928.57</v>
      </c>
      <c r="O662">
        <v>2065.44</v>
      </c>
      <c r="P662">
        <v>4863.13</v>
      </c>
      <c r="Q662">
        <v>55.92</v>
      </c>
      <c r="R662">
        <v>212.32</v>
      </c>
      <c r="S662">
        <v>422</v>
      </c>
      <c r="T662">
        <v>157</v>
      </c>
      <c r="U662">
        <v>3</v>
      </c>
      <c r="V662">
        <v>92</v>
      </c>
      <c r="W662">
        <v>26</v>
      </c>
      <c r="X662">
        <v>27.83</v>
      </c>
      <c r="Y662">
        <v>1.69</v>
      </c>
      <c r="Z662">
        <v>70.19</v>
      </c>
      <c r="AA662">
        <v>2177.42</v>
      </c>
      <c r="AB662">
        <v>1147.54</v>
      </c>
      <c r="AC662">
        <v>224.73</v>
      </c>
      <c r="AD662">
        <v>110</v>
      </c>
      <c r="AE662">
        <v>187.05</v>
      </c>
      <c r="AF662">
        <v>3846.74</v>
      </c>
      <c r="AG662">
        <v>748.15</v>
      </c>
      <c r="AH662">
        <v>10.8</v>
      </c>
    </row>
    <row r="663" spans="1:34">
      <c r="A663" t="s">
        <v>1098</v>
      </c>
      <c r="B663" t="s">
        <v>260</v>
      </c>
      <c r="C663" t="b">
        <v>0</v>
      </c>
      <c r="D663" t="b">
        <v>0</v>
      </c>
      <c r="E663" t="s">
        <v>1473</v>
      </c>
      <c r="F663" t="s">
        <v>82</v>
      </c>
      <c r="G663" t="s">
        <v>81</v>
      </c>
      <c r="H663">
        <v>24</v>
      </c>
      <c r="I663">
        <v>27</v>
      </c>
      <c r="J663">
        <v>244</v>
      </c>
      <c r="K663">
        <v>7299.85</v>
      </c>
      <c r="L663">
        <v>280.86</v>
      </c>
      <c r="M663">
        <v>7.83</v>
      </c>
      <c r="N663">
        <v>7011.16</v>
      </c>
      <c r="O663">
        <v>2066.29</v>
      </c>
      <c r="P663">
        <v>4944.87</v>
      </c>
      <c r="Q663">
        <v>53.42</v>
      </c>
      <c r="R663">
        <v>308.58</v>
      </c>
      <c r="S663">
        <v>426</v>
      </c>
      <c r="T663">
        <v>169</v>
      </c>
      <c r="U663">
        <v>10</v>
      </c>
      <c r="V663">
        <v>75</v>
      </c>
      <c r="W663">
        <v>36</v>
      </c>
      <c r="X663">
        <v>28.73</v>
      </c>
      <c r="Y663">
        <v>1.75</v>
      </c>
      <c r="Z663">
        <v>70.53</v>
      </c>
      <c r="AA663">
        <v>2177.42</v>
      </c>
      <c r="AB663">
        <v>1147.54</v>
      </c>
      <c r="AC663">
        <v>217.14</v>
      </c>
      <c r="AD663">
        <v>110</v>
      </c>
      <c r="AE663">
        <v>172.79</v>
      </c>
      <c r="AF663">
        <v>3824.89</v>
      </c>
      <c r="AG663">
        <v>757.98</v>
      </c>
      <c r="AH663">
        <v>10.81</v>
      </c>
    </row>
    <row r="664" spans="1:34">
      <c r="A664" t="s">
        <v>1099</v>
      </c>
      <c r="B664" t="s">
        <v>261</v>
      </c>
      <c r="C664" t="b">
        <v>0</v>
      </c>
      <c r="D664" t="b">
        <v>0</v>
      </c>
      <c r="E664" t="s">
        <v>1473</v>
      </c>
      <c r="F664" t="s">
        <v>82</v>
      </c>
      <c r="G664" t="s">
        <v>81</v>
      </c>
      <c r="H664">
        <v>22.8</v>
      </c>
      <c r="I664">
        <v>28</v>
      </c>
      <c r="J664">
        <v>290</v>
      </c>
      <c r="K664">
        <v>9584.200000000001</v>
      </c>
      <c r="L664">
        <v>193.9</v>
      </c>
      <c r="M664">
        <v>59.13</v>
      </c>
      <c r="N664">
        <v>9331.17</v>
      </c>
      <c r="O664">
        <v>2785.13</v>
      </c>
      <c r="P664">
        <v>6546.04</v>
      </c>
      <c r="Q664">
        <v>73.95</v>
      </c>
      <c r="R664">
        <v>344.59</v>
      </c>
      <c r="S664">
        <v>551</v>
      </c>
      <c r="T664">
        <v>207</v>
      </c>
      <c r="U664">
        <v>7</v>
      </c>
      <c r="V664">
        <v>83</v>
      </c>
      <c r="W664">
        <v>40</v>
      </c>
      <c r="X664">
        <v>32.18</v>
      </c>
      <c r="Y664">
        <v>1.9</v>
      </c>
      <c r="Z664">
        <v>70.15000000000001</v>
      </c>
      <c r="AA664">
        <v>2177.42</v>
      </c>
      <c r="AB664">
        <v>1147.54</v>
      </c>
      <c r="AC664">
        <v>228.05</v>
      </c>
      <c r="AD664">
        <v>110</v>
      </c>
      <c r="AE664">
        <v>231.45</v>
      </c>
      <c r="AF664">
        <v>3894.46</v>
      </c>
      <c r="AG664">
        <v>2233.04</v>
      </c>
      <c r="AH664">
        <v>23.93</v>
      </c>
    </row>
    <row r="665" spans="1:34">
      <c r="A665" t="s">
        <v>1100</v>
      </c>
      <c r="B665" t="s">
        <v>262</v>
      </c>
      <c r="C665" t="b">
        <v>1</v>
      </c>
      <c r="D665" t="b">
        <v>0</v>
      </c>
      <c r="E665" t="s">
        <v>1473</v>
      </c>
      <c r="F665" t="s">
        <v>82</v>
      </c>
      <c r="G665" t="s">
        <v>81</v>
      </c>
      <c r="H665">
        <v>21.6</v>
      </c>
      <c r="I665">
        <v>29</v>
      </c>
      <c r="J665">
        <v>282</v>
      </c>
      <c r="K665">
        <v>10349.46</v>
      </c>
      <c r="L665">
        <v>273.9</v>
      </c>
      <c r="M665">
        <v>17.39</v>
      </c>
      <c r="N665">
        <v>10058.17</v>
      </c>
      <c r="O665">
        <v>2993.26</v>
      </c>
      <c r="P665">
        <v>7064.91</v>
      </c>
      <c r="Q665">
        <v>80.70999999999999</v>
      </c>
      <c r="R665">
        <v>421.87</v>
      </c>
      <c r="S665">
        <v>599</v>
      </c>
      <c r="T665">
        <v>194</v>
      </c>
      <c r="U665">
        <v>11</v>
      </c>
      <c r="V665">
        <v>88</v>
      </c>
      <c r="W665">
        <v>48</v>
      </c>
      <c r="X665">
        <v>35.67</v>
      </c>
      <c r="Y665">
        <v>2.12</v>
      </c>
      <c r="Z665">
        <v>70.23999999999999</v>
      </c>
      <c r="AA665">
        <v>2177.42</v>
      </c>
      <c r="AB665">
        <v>1147.54</v>
      </c>
      <c r="AC665">
        <v>191.57</v>
      </c>
      <c r="AD665">
        <v>110</v>
      </c>
      <c r="AE665">
        <v>182.66</v>
      </c>
      <c r="AF665">
        <v>3809.19</v>
      </c>
      <c r="AG665">
        <v>2753.14</v>
      </c>
      <c r="AH665">
        <v>27.37</v>
      </c>
    </row>
    <row r="666" spans="1:34">
      <c r="A666" t="s">
        <v>1101</v>
      </c>
      <c r="B666" t="s">
        <v>263</v>
      </c>
      <c r="C666" t="b">
        <v>1</v>
      </c>
      <c r="D666" t="b">
        <v>0</v>
      </c>
      <c r="E666" t="s">
        <v>1473</v>
      </c>
      <c r="F666" t="s">
        <v>82</v>
      </c>
      <c r="G666" t="s">
        <v>81</v>
      </c>
      <c r="H666">
        <v>23.1</v>
      </c>
      <c r="I666">
        <v>30</v>
      </c>
      <c r="J666">
        <v>209</v>
      </c>
      <c r="K666">
        <v>7778.05</v>
      </c>
      <c r="L666">
        <v>367.81</v>
      </c>
      <c r="M666">
        <v>80</v>
      </c>
      <c r="N666">
        <v>7330.24</v>
      </c>
      <c r="O666">
        <v>2229.14</v>
      </c>
      <c r="P666">
        <v>5101.1</v>
      </c>
      <c r="Q666">
        <v>57.22</v>
      </c>
      <c r="R666">
        <v>287.35</v>
      </c>
      <c r="S666">
        <v>448</v>
      </c>
      <c r="T666">
        <v>154</v>
      </c>
      <c r="U666">
        <v>8</v>
      </c>
      <c r="V666">
        <v>55</v>
      </c>
      <c r="W666">
        <v>31</v>
      </c>
      <c r="X666">
        <v>35.07</v>
      </c>
      <c r="Y666">
        <v>2.14</v>
      </c>
      <c r="Z666">
        <v>69.59</v>
      </c>
      <c r="AA666">
        <v>2177.42</v>
      </c>
      <c r="AB666">
        <v>1147.54</v>
      </c>
      <c r="AC666">
        <v>230.47</v>
      </c>
      <c r="AD666">
        <v>110</v>
      </c>
      <c r="AE666">
        <v>226.64</v>
      </c>
      <c r="AF666">
        <v>3892.07</v>
      </c>
      <c r="AG666">
        <v>864.46</v>
      </c>
      <c r="AH666">
        <v>11.79</v>
      </c>
    </row>
    <row r="667" spans="1:34">
      <c r="A667" t="s">
        <v>460</v>
      </c>
      <c r="B667" t="s">
        <v>75</v>
      </c>
      <c r="C667" t="b">
        <v>0</v>
      </c>
      <c r="D667" t="b">
        <v>0</v>
      </c>
      <c r="E667" t="s">
        <v>1473</v>
      </c>
      <c r="F667" t="s">
        <v>82</v>
      </c>
      <c r="G667" t="s">
        <v>1477</v>
      </c>
      <c r="H667">
        <v>23.3</v>
      </c>
      <c r="I667">
        <v>0</v>
      </c>
      <c r="J667">
        <v>241</v>
      </c>
      <c r="K667">
        <v>7774.6</v>
      </c>
      <c r="L667">
        <v>306.93</v>
      </c>
      <c r="M667">
        <v>0</v>
      </c>
      <c r="N667">
        <v>7467.67</v>
      </c>
      <c r="O667">
        <v>2229.9</v>
      </c>
      <c r="P667">
        <v>5237.77</v>
      </c>
      <c r="Q667">
        <v>60.71</v>
      </c>
      <c r="R667">
        <v>234.75</v>
      </c>
      <c r="S667">
        <v>456</v>
      </c>
      <c r="T667">
        <v>167</v>
      </c>
      <c r="U667">
        <v>13</v>
      </c>
      <c r="V667">
        <v>74</v>
      </c>
      <c r="W667">
        <v>25</v>
      </c>
      <c r="X667">
        <v>30.99</v>
      </c>
      <c r="Y667">
        <v>1.89</v>
      </c>
      <c r="Z667">
        <v>70.14</v>
      </c>
      <c r="AA667">
        <v>2177.42</v>
      </c>
      <c r="AB667">
        <v>1147.54</v>
      </c>
      <c r="AC667">
        <v>214.98</v>
      </c>
      <c r="AD667">
        <v>110</v>
      </c>
      <c r="AE667">
        <v>178.64</v>
      </c>
      <c r="AF667">
        <v>3828.58</v>
      </c>
      <c r="AG667">
        <v>1113.73</v>
      </c>
      <c r="AH667">
        <v>14.91</v>
      </c>
    </row>
    <row r="668" spans="1:34">
      <c r="A668" t="s">
        <v>1102</v>
      </c>
      <c r="B668" t="s">
        <v>258</v>
      </c>
      <c r="C668" t="b">
        <v>0</v>
      </c>
      <c r="D668" t="b">
        <v>0</v>
      </c>
      <c r="E668" t="s">
        <v>1473</v>
      </c>
      <c r="F668" t="s">
        <v>82</v>
      </c>
      <c r="G668" t="s">
        <v>1477</v>
      </c>
      <c r="H668">
        <v>22.4</v>
      </c>
      <c r="I668">
        <v>1</v>
      </c>
      <c r="J668">
        <v>233</v>
      </c>
      <c r="K668">
        <v>7331.07</v>
      </c>
      <c r="L668">
        <v>206.94</v>
      </c>
      <c r="M668">
        <v>25.22</v>
      </c>
      <c r="N668">
        <v>7098.91</v>
      </c>
      <c r="O668">
        <v>2095.35</v>
      </c>
      <c r="P668">
        <v>5003.56</v>
      </c>
      <c r="Q668">
        <v>58.02</v>
      </c>
      <c r="R668">
        <v>258.82</v>
      </c>
      <c r="S668">
        <v>426</v>
      </c>
      <c r="T668">
        <v>164</v>
      </c>
      <c r="U668">
        <v>8</v>
      </c>
      <c r="V668">
        <v>69</v>
      </c>
      <c r="W668">
        <v>28</v>
      </c>
      <c r="X668">
        <v>30.47</v>
      </c>
      <c r="Y668">
        <v>1.83</v>
      </c>
      <c r="Z668">
        <v>70.48</v>
      </c>
      <c r="AA668">
        <v>2177.42</v>
      </c>
      <c r="AB668">
        <v>1147.54</v>
      </c>
      <c r="AC668">
        <v>225.31</v>
      </c>
      <c r="AD668">
        <v>110</v>
      </c>
      <c r="AE668">
        <v>201.47</v>
      </c>
      <c r="AF668">
        <v>3861.74</v>
      </c>
      <c r="AG668">
        <v>824.98</v>
      </c>
      <c r="AH668">
        <v>11.62</v>
      </c>
    </row>
    <row r="669" spans="1:34">
      <c r="A669" t="s">
        <v>1103</v>
      </c>
      <c r="B669" t="s">
        <v>259</v>
      </c>
      <c r="C669" t="b">
        <v>0</v>
      </c>
      <c r="D669" t="b">
        <v>0</v>
      </c>
      <c r="E669" t="s">
        <v>1473</v>
      </c>
      <c r="F669" t="s">
        <v>82</v>
      </c>
      <c r="G669" t="s">
        <v>1477</v>
      </c>
      <c r="H669">
        <v>19.8</v>
      </c>
      <c r="I669">
        <v>2</v>
      </c>
      <c r="J669">
        <v>266</v>
      </c>
      <c r="K669">
        <v>8420.68</v>
      </c>
      <c r="L669">
        <v>147.83</v>
      </c>
      <c r="M669">
        <v>9.57</v>
      </c>
      <c r="N669">
        <v>8263.280000000001</v>
      </c>
      <c r="O669">
        <v>2390.7</v>
      </c>
      <c r="P669">
        <v>5872.58</v>
      </c>
      <c r="Q669">
        <v>63.88</v>
      </c>
      <c r="R669">
        <v>320.29</v>
      </c>
      <c r="S669">
        <v>489</v>
      </c>
      <c r="T669">
        <v>196</v>
      </c>
      <c r="U669">
        <v>9</v>
      </c>
      <c r="V669">
        <v>70</v>
      </c>
      <c r="W669">
        <v>33</v>
      </c>
      <c r="X669">
        <v>31.06</v>
      </c>
      <c r="Y669">
        <v>1.84</v>
      </c>
      <c r="Z669">
        <v>71.06999999999999</v>
      </c>
      <c r="AA669">
        <v>2177.42</v>
      </c>
      <c r="AB669">
        <v>1147.54</v>
      </c>
      <c r="AC669">
        <v>214.71</v>
      </c>
      <c r="AD669">
        <v>110</v>
      </c>
      <c r="AE669">
        <v>197.85</v>
      </c>
      <c r="AF669">
        <v>3847.52</v>
      </c>
      <c r="AG669">
        <v>1640.89</v>
      </c>
      <c r="AH669">
        <v>19.86</v>
      </c>
    </row>
    <row r="670" spans="1:34">
      <c r="A670" t="s">
        <v>1104</v>
      </c>
      <c r="B670" t="s">
        <v>260</v>
      </c>
      <c r="C670" t="b">
        <v>0</v>
      </c>
      <c r="D670" t="b">
        <v>0</v>
      </c>
      <c r="E670" t="s">
        <v>1473</v>
      </c>
      <c r="F670" t="s">
        <v>82</v>
      </c>
      <c r="G670" t="s">
        <v>1477</v>
      </c>
      <c r="H670">
        <v>22.2</v>
      </c>
      <c r="I670">
        <v>3</v>
      </c>
      <c r="J670">
        <v>264</v>
      </c>
      <c r="K670">
        <v>7817.19</v>
      </c>
      <c r="L670">
        <v>191.3</v>
      </c>
      <c r="M670">
        <v>13.91</v>
      </c>
      <c r="N670">
        <v>7611.98</v>
      </c>
      <c r="O670">
        <v>2267.25</v>
      </c>
      <c r="P670">
        <v>5344.73</v>
      </c>
      <c r="Q670">
        <v>64.3</v>
      </c>
      <c r="R670">
        <v>343.43</v>
      </c>
      <c r="S670">
        <v>462</v>
      </c>
      <c r="T670">
        <v>191</v>
      </c>
      <c r="U670">
        <v>11</v>
      </c>
      <c r="V670">
        <v>73</v>
      </c>
      <c r="W670">
        <v>38</v>
      </c>
      <c r="X670">
        <v>28.83</v>
      </c>
      <c r="Y670">
        <v>1.75</v>
      </c>
      <c r="Z670">
        <v>70.20999999999999</v>
      </c>
      <c r="AA670">
        <v>2177.42</v>
      </c>
      <c r="AB670">
        <v>1147.54</v>
      </c>
      <c r="AC670">
        <v>225.78</v>
      </c>
      <c r="AD670">
        <v>110</v>
      </c>
      <c r="AE670">
        <v>167.2</v>
      </c>
      <c r="AF670">
        <v>3827.94</v>
      </c>
      <c r="AG670">
        <v>1109.06</v>
      </c>
      <c r="AH670">
        <v>14.57</v>
      </c>
    </row>
    <row r="671" spans="1:34">
      <c r="A671" t="s">
        <v>1105</v>
      </c>
      <c r="B671" t="s">
        <v>261</v>
      </c>
      <c r="C671" t="b">
        <v>0</v>
      </c>
      <c r="D671" t="b">
        <v>0</v>
      </c>
      <c r="E671" t="s">
        <v>1473</v>
      </c>
      <c r="F671" t="s">
        <v>82</v>
      </c>
      <c r="G671" t="s">
        <v>1477</v>
      </c>
      <c r="H671">
        <v>23.6</v>
      </c>
      <c r="I671">
        <v>4</v>
      </c>
      <c r="J671">
        <v>329</v>
      </c>
      <c r="K671">
        <v>10801.54</v>
      </c>
      <c r="L671">
        <v>277.38</v>
      </c>
      <c r="M671">
        <v>48.69</v>
      </c>
      <c r="N671">
        <v>10475.47</v>
      </c>
      <c r="O671">
        <v>3097.51</v>
      </c>
      <c r="P671">
        <v>7377.96</v>
      </c>
      <c r="Q671">
        <v>90.95999999999999</v>
      </c>
      <c r="R671">
        <v>264.04</v>
      </c>
      <c r="S671">
        <v>621</v>
      </c>
      <c r="T671">
        <v>225</v>
      </c>
      <c r="U671">
        <v>11</v>
      </c>
      <c r="V671">
        <v>104</v>
      </c>
      <c r="W671">
        <v>34</v>
      </c>
      <c r="X671">
        <v>31.84</v>
      </c>
      <c r="Y671">
        <v>1.89</v>
      </c>
      <c r="Z671">
        <v>70.43000000000001</v>
      </c>
      <c r="AA671">
        <v>2177.42</v>
      </c>
      <c r="AB671">
        <v>1147.54</v>
      </c>
      <c r="AC671">
        <v>254.27</v>
      </c>
      <c r="AD671">
        <v>110</v>
      </c>
      <c r="AE671">
        <v>172.63</v>
      </c>
      <c r="AF671">
        <v>3861.86</v>
      </c>
      <c r="AG671">
        <v>3161.1</v>
      </c>
      <c r="AH671">
        <v>30.18</v>
      </c>
    </row>
    <row r="672" spans="1:34">
      <c r="A672" t="s">
        <v>1106</v>
      </c>
      <c r="B672" t="s">
        <v>262</v>
      </c>
      <c r="C672" t="b">
        <v>1</v>
      </c>
      <c r="D672" t="b">
        <v>0</v>
      </c>
      <c r="E672" t="s">
        <v>1473</v>
      </c>
      <c r="F672" t="s">
        <v>82</v>
      </c>
      <c r="G672" t="s">
        <v>81</v>
      </c>
      <c r="H672">
        <v>22.7</v>
      </c>
      <c r="I672">
        <v>5</v>
      </c>
      <c r="J672">
        <v>269</v>
      </c>
      <c r="K672">
        <v>11722.53</v>
      </c>
      <c r="L672">
        <v>359.12</v>
      </c>
      <c r="M672">
        <v>38.26</v>
      </c>
      <c r="N672">
        <v>11325.15</v>
      </c>
      <c r="O672">
        <v>3419.22</v>
      </c>
      <c r="P672">
        <v>7905.93</v>
      </c>
      <c r="Q672">
        <v>95.51000000000001</v>
      </c>
      <c r="R672">
        <v>343.25</v>
      </c>
      <c r="S672">
        <v>666</v>
      </c>
      <c r="T672">
        <v>186</v>
      </c>
      <c r="U672">
        <v>11</v>
      </c>
      <c r="V672">
        <v>83</v>
      </c>
      <c r="W672">
        <v>33</v>
      </c>
      <c r="X672">
        <v>42.1</v>
      </c>
      <c r="Y672">
        <v>2.48</v>
      </c>
      <c r="Z672">
        <v>69.81</v>
      </c>
      <c r="AA672">
        <v>2250</v>
      </c>
      <c r="AB672">
        <v>1147.54</v>
      </c>
      <c r="AC672">
        <v>220.97</v>
      </c>
      <c r="AD672">
        <v>110</v>
      </c>
      <c r="AE672">
        <v>221.41</v>
      </c>
      <c r="AF672">
        <v>3949.92</v>
      </c>
      <c r="AG672">
        <v>3517.25</v>
      </c>
      <c r="AH672">
        <v>31.06</v>
      </c>
    </row>
    <row r="673" spans="1:34">
      <c r="A673" t="s">
        <v>1107</v>
      </c>
      <c r="B673" t="s">
        <v>263</v>
      </c>
      <c r="C673" t="b">
        <v>1</v>
      </c>
      <c r="D673" t="b">
        <v>0</v>
      </c>
      <c r="E673" t="s">
        <v>1473</v>
      </c>
      <c r="F673" t="s">
        <v>82</v>
      </c>
      <c r="G673" t="s">
        <v>81</v>
      </c>
      <c r="H673">
        <v>22.5</v>
      </c>
      <c r="I673">
        <v>6</v>
      </c>
      <c r="J673">
        <v>245</v>
      </c>
      <c r="K673">
        <v>8763.33</v>
      </c>
      <c r="L673">
        <v>280.85</v>
      </c>
      <c r="M673">
        <v>14.78</v>
      </c>
      <c r="N673">
        <v>8467.700000000001</v>
      </c>
      <c r="O673">
        <v>2499.02</v>
      </c>
      <c r="P673">
        <v>5968.68</v>
      </c>
      <c r="Q673">
        <v>64.27</v>
      </c>
      <c r="R673">
        <v>372.57</v>
      </c>
      <c r="S673">
        <v>520</v>
      </c>
      <c r="T673">
        <v>178</v>
      </c>
      <c r="U673">
        <v>10</v>
      </c>
      <c r="V673">
        <v>67</v>
      </c>
      <c r="W673">
        <v>41</v>
      </c>
      <c r="X673">
        <v>34.56</v>
      </c>
      <c r="Y673">
        <v>2.12</v>
      </c>
      <c r="Z673">
        <v>70.48999999999999</v>
      </c>
      <c r="AA673">
        <v>2250</v>
      </c>
      <c r="AB673">
        <v>1147.54</v>
      </c>
      <c r="AC673">
        <v>232.62</v>
      </c>
      <c r="AD673">
        <v>110</v>
      </c>
      <c r="AE673">
        <v>181.07</v>
      </c>
      <c r="AF673">
        <v>3921.23</v>
      </c>
      <c r="AG673">
        <v>1610.61</v>
      </c>
      <c r="AH673">
        <v>19.02</v>
      </c>
    </row>
    <row r="674" spans="1:34">
      <c r="A674" t="s">
        <v>461</v>
      </c>
      <c r="B674" t="s">
        <v>75</v>
      </c>
      <c r="C674" t="b">
        <v>0</v>
      </c>
      <c r="D674" t="b">
        <v>0</v>
      </c>
      <c r="E674" t="s">
        <v>1473</v>
      </c>
      <c r="F674" t="s">
        <v>1474</v>
      </c>
      <c r="G674" t="s">
        <v>81</v>
      </c>
      <c r="H674">
        <v>23.6</v>
      </c>
      <c r="I674">
        <v>7</v>
      </c>
      <c r="J674">
        <v>286</v>
      </c>
      <c r="K674">
        <v>8405.02</v>
      </c>
      <c r="L674">
        <v>375.64</v>
      </c>
      <c r="M674">
        <v>17.39</v>
      </c>
      <c r="N674">
        <v>8011.99</v>
      </c>
      <c r="O674">
        <v>2425.91</v>
      </c>
      <c r="P674">
        <v>5586.08</v>
      </c>
      <c r="Q674">
        <v>69.16</v>
      </c>
      <c r="R674">
        <v>190.37</v>
      </c>
      <c r="S674">
        <v>485</v>
      </c>
      <c r="T674">
        <v>200</v>
      </c>
      <c r="U674">
        <v>11</v>
      </c>
      <c r="V674">
        <v>86</v>
      </c>
      <c r="W674">
        <v>25</v>
      </c>
      <c r="X674">
        <v>28.01</v>
      </c>
      <c r="Y674">
        <v>1.7</v>
      </c>
      <c r="Z674">
        <v>69.72</v>
      </c>
      <c r="AA674">
        <v>2250</v>
      </c>
      <c r="AB674">
        <v>1147.54</v>
      </c>
      <c r="AC674">
        <v>228.47</v>
      </c>
      <c r="AD674">
        <v>110</v>
      </c>
      <c r="AE674">
        <v>173.27</v>
      </c>
      <c r="AF674">
        <v>3909.28</v>
      </c>
      <c r="AG674">
        <v>1417.27</v>
      </c>
      <c r="AH674">
        <v>17.69</v>
      </c>
    </row>
    <row r="675" spans="1:34">
      <c r="A675" t="s">
        <v>1108</v>
      </c>
      <c r="B675" t="s">
        <v>258</v>
      </c>
      <c r="C675" t="b">
        <v>0</v>
      </c>
      <c r="D675" t="b">
        <v>0</v>
      </c>
      <c r="E675" t="s">
        <v>1473</v>
      </c>
      <c r="F675" t="s">
        <v>1474</v>
      </c>
      <c r="G675" t="s">
        <v>81</v>
      </c>
      <c r="H675">
        <v>23.8</v>
      </c>
      <c r="I675">
        <v>8</v>
      </c>
      <c r="J675">
        <v>256</v>
      </c>
      <c r="K675">
        <v>7524.99</v>
      </c>
      <c r="L675">
        <v>289.55</v>
      </c>
      <c r="M675">
        <v>9.57</v>
      </c>
      <c r="N675">
        <v>7225.87</v>
      </c>
      <c r="O675">
        <v>2123.51</v>
      </c>
      <c r="P675">
        <v>5102.36</v>
      </c>
      <c r="Q675">
        <v>56.78</v>
      </c>
      <c r="R675">
        <v>258.83</v>
      </c>
      <c r="S675">
        <v>443</v>
      </c>
      <c r="T675">
        <v>189</v>
      </c>
      <c r="U675">
        <v>10</v>
      </c>
      <c r="V675">
        <v>67</v>
      </c>
      <c r="W675">
        <v>29</v>
      </c>
      <c r="X675">
        <v>28.23</v>
      </c>
      <c r="Y675">
        <v>1.73</v>
      </c>
      <c r="Z675">
        <v>70.61</v>
      </c>
      <c r="AA675">
        <v>2250</v>
      </c>
      <c r="AB675">
        <v>1147.54</v>
      </c>
      <c r="AC675">
        <v>231.13</v>
      </c>
      <c r="AD675">
        <v>110</v>
      </c>
      <c r="AE675">
        <v>170.79</v>
      </c>
      <c r="AF675">
        <v>3909.46</v>
      </c>
      <c r="AG675">
        <v>877.29</v>
      </c>
      <c r="AH675">
        <v>12.14</v>
      </c>
    </row>
    <row r="676" spans="1:34">
      <c r="A676" t="s">
        <v>1109</v>
      </c>
      <c r="B676" t="s">
        <v>259</v>
      </c>
      <c r="C676" t="b">
        <v>0</v>
      </c>
      <c r="D676" t="b">
        <v>0</v>
      </c>
      <c r="E676" t="s">
        <v>1473</v>
      </c>
      <c r="F676" t="s">
        <v>1474</v>
      </c>
      <c r="G676" t="s">
        <v>81</v>
      </c>
      <c r="H676">
        <v>23.5</v>
      </c>
      <c r="I676">
        <v>9</v>
      </c>
      <c r="J676">
        <v>277</v>
      </c>
      <c r="K676">
        <v>8417.17</v>
      </c>
      <c r="L676">
        <v>280.86</v>
      </c>
      <c r="M676">
        <v>0</v>
      </c>
      <c r="N676">
        <v>8136.31</v>
      </c>
      <c r="O676">
        <v>2413.76</v>
      </c>
      <c r="P676">
        <v>5722.55</v>
      </c>
      <c r="Q676">
        <v>67.95999999999999</v>
      </c>
      <c r="R676">
        <v>241.83</v>
      </c>
      <c r="S676">
        <v>481</v>
      </c>
      <c r="T676">
        <v>189</v>
      </c>
      <c r="U676">
        <v>6</v>
      </c>
      <c r="V676">
        <v>88</v>
      </c>
      <c r="W676">
        <v>32</v>
      </c>
      <c r="X676">
        <v>29.37</v>
      </c>
      <c r="Y676">
        <v>1.74</v>
      </c>
      <c r="Z676">
        <v>70.33</v>
      </c>
      <c r="AA676">
        <v>2250</v>
      </c>
      <c r="AB676">
        <v>1147.54</v>
      </c>
      <c r="AC676">
        <v>237</v>
      </c>
      <c r="AD676">
        <v>110</v>
      </c>
      <c r="AE676">
        <v>166.02</v>
      </c>
      <c r="AF676">
        <v>3910.56</v>
      </c>
      <c r="AG676">
        <v>1502.2</v>
      </c>
      <c r="AH676">
        <v>18.46</v>
      </c>
    </row>
    <row r="677" spans="1:34">
      <c r="A677" t="s">
        <v>1110</v>
      </c>
      <c r="B677" t="s">
        <v>260</v>
      </c>
      <c r="C677" t="b">
        <v>0</v>
      </c>
      <c r="D677" t="b">
        <v>0</v>
      </c>
      <c r="E677" t="s">
        <v>1473</v>
      </c>
      <c r="F677" t="s">
        <v>1474</v>
      </c>
      <c r="G677" t="s">
        <v>81</v>
      </c>
      <c r="H677">
        <v>22.7</v>
      </c>
      <c r="I677">
        <v>10</v>
      </c>
      <c r="J677">
        <v>272</v>
      </c>
      <c r="K677">
        <v>10380.71</v>
      </c>
      <c r="L677">
        <v>518.59</v>
      </c>
      <c r="M677">
        <v>2.61</v>
      </c>
      <c r="N677">
        <v>9859.51</v>
      </c>
      <c r="O677">
        <v>3040.97</v>
      </c>
      <c r="P677">
        <v>6818.54</v>
      </c>
      <c r="Q677">
        <v>62.47</v>
      </c>
      <c r="R677">
        <v>428.52</v>
      </c>
      <c r="S677">
        <v>578</v>
      </c>
      <c r="T677">
        <v>181</v>
      </c>
      <c r="U677">
        <v>10</v>
      </c>
      <c r="V677">
        <v>91</v>
      </c>
      <c r="W677">
        <v>41</v>
      </c>
      <c r="X677">
        <v>36.25</v>
      </c>
      <c r="Y677">
        <v>2.12</v>
      </c>
      <c r="Z677">
        <v>69.16</v>
      </c>
      <c r="AA677">
        <v>2250</v>
      </c>
      <c r="AB677">
        <v>1147.54</v>
      </c>
      <c r="AC677">
        <v>242.25</v>
      </c>
      <c r="AD677">
        <v>110</v>
      </c>
      <c r="AE677">
        <v>208.94</v>
      </c>
      <c r="AF677">
        <v>3958.73</v>
      </c>
      <c r="AG677">
        <v>2368.82</v>
      </c>
      <c r="AH677">
        <v>24.03</v>
      </c>
    </row>
    <row r="678" spans="1:34">
      <c r="A678" t="s">
        <v>1111</v>
      </c>
      <c r="B678" t="s">
        <v>261</v>
      </c>
      <c r="C678" t="b">
        <v>0</v>
      </c>
      <c r="D678" t="b">
        <v>0</v>
      </c>
      <c r="E678" t="s">
        <v>1473</v>
      </c>
      <c r="F678" t="s">
        <v>1474</v>
      </c>
      <c r="G678" t="s">
        <v>81</v>
      </c>
      <c r="H678">
        <v>22.3</v>
      </c>
      <c r="I678">
        <v>11</v>
      </c>
      <c r="J678">
        <v>327</v>
      </c>
      <c r="K678">
        <v>10483.28</v>
      </c>
      <c r="L678">
        <v>388.67</v>
      </c>
      <c r="M678">
        <v>26.09</v>
      </c>
      <c r="N678">
        <v>10068.52</v>
      </c>
      <c r="O678">
        <v>3016.55</v>
      </c>
      <c r="P678">
        <v>7051.97</v>
      </c>
      <c r="Q678">
        <v>79</v>
      </c>
      <c r="R678">
        <v>460.69</v>
      </c>
      <c r="S678">
        <v>613</v>
      </c>
      <c r="T678">
        <v>238</v>
      </c>
      <c r="U678">
        <v>9</v>
      </c>
      <c r="V678">
        <v>89</v>
      </c>
      <c r="W678">
        <v>57</v>
      </c>
      <c r="X678">
        <v>30.79</v>
      </c>
      <c r="Y678">
        <v>1.87</v>
      </c>
      <c r="Z678">
        <v>70.04000000000001</v>
      </c>
      <c r="AA678">
        <v>2250</v>
      </c>
      <c r="AB678">
        <v>1147.54</v>
      </c>
      <c r="AC678">
        <v>232.45</v>
      </c>
      <c r="AD678">
        <v>110</v>
      </c>
      <c r="AE678">
        <v>192.7</v>
      </c>
      <c r="AF678">
        <v>3932.69</v>
      </c>
      <c r="AG678">
        <v>2579.59</v>
      </c>
      <c r="AH678">
        <v>25.62</v>
      </c>
    </row>
    <row r="679" spans="1:34">
      <c r="A679" t="s">
        <v>1112</v>
      </c>
      <c r="B679" t="s">
        <v>262</v>
      </c>
      <c r="C679" t="b">
        <v>1</v>
      </c>
      <c r="D679" t="b">
        <v>0</v>
      </c>
      <c r="E679" t="s">
        <v>1473</v>
      </c>
      <c r="F679" t="s">
        <v>1474</v>
      </c>
      <c r="G679" t="s">
        <v>81</v>
      </c>
      <c r="H679">
        <v>23.7</v>
      </c>
      <c r="I679">
        <v>12</v>
      </c>
      <c r="J679">
        <v>264</v>
      </c>
      <c r="K679">
        <v>9590.25</v>
      </c>
      <c r="L679">
        <v>354.78</v>
      </c>
      <c r="M679">
        <v>20</v>
      </c>
      <c r="N679">
        <v>9215.469999999999</v>
      </c>
      <c r="O679">
        <v>2719.18</v>
      </c>
      <c r="P679">
        <v>6496.29</v>
      </c>
      <c r="Q679">
        <v>66.69</v>
      </c>
      <c r="R679">
        <v>437.91</v>
      </c>
      <c r="S679">
        <v>557</v>
      </c>
      <c r="T679">
        <v>195</v>
      </c>
      <c r="U679">
        <v>13</v>
      </c>
      <c r="V679">
        <v>69</v>
      </c>
      <c r="W679">
        <v>45</v>
      </c>
      <c r="X679">
        <v>34.91</v>
      </c>
      <c r="Y679">
        <v>2.11</v>
      </c>
      <c r="Z679">
        <v>70.48999999999999</v>
      </c>
      <c r="AA679">
        <v>2250</v>
      </c>
      <c r="AB679">
        <v>1147.54</v>
      </c>
      <c r="AC679">
        <v>229.73</v>
      </c>
      <c r="AD679">
        <v>110</v>
      </c>
      <c r="AE679">
        <v>193.7</v>
      </c>
      <c r="AF679">
        <v>3930.97</v>
      </c>
      <c r="AG679">
        <v>2060.72</v>
      </c>
      <c r="AH679">
        <v>22.36</v>
      </c>
    </row>
    <row r="680" spans="1:34">
      <c r="A680" t="s">
        <v>1113</v>
      </c>
      <c r="B680" t="s">
        <v>263</v>
      </c>
      <c r="C680" t="b">
        <v>1</v>
      </c>
      <c r="D680" t="b">
        <v>0</v>
      </c>
      <c r="E680" t="s">
        <v>1473</v>
      </c>
      <c r="F680" t="s">
        <v>1474</v>
      </c>
      <c r="G680" t="s">
        <v>81</v>
      </c>
      <c r="H680">
        <v>23.3</v>
      </c>
      <c r="I680">
        <v>13</v>
      </c>
      <c r="J680">
        <v>250</v>
      </c>
      <c r="K680">
        <v>9938.110000000001</v>
      </c>
      <c r="L680">
        <v>137.38</v>
      </c>
      <c r="M680">
        <v>0</v>
      </c>
      <c r="N680">
        <v>9800.73</v>
      </c>
      <c r="O680">
        <v>2864.47</v>
      </c>
      <c r="P680">
        <v>6936.26</v>
      </c>
      <c r="Q680">
        <v>81.5</v>
      </c>
      <c r="R680">
        <v>313.98</v>
      </c>
      <c r="S680">
        <v>581</v>
      </c>
      <c r="T680">
        <v>162</v>
      </c>
      <c r="U680">
        <v>9</v>
      </c>
      <c r="V680">
        <v>88</v>
      </c>
      <c r="W680">
        <v>26</v>
      </c>
      <c r="X680">
        <v>39.2</v>
      </c>
      <c r="Y680">
        <v>2.32</v>
      </c>
      <c r="Z680">
        <v>70.77</v>
      </c>
      <c r="AA680">
        <v>2250</v>
      </c>
      <c r="AB680">
        <v>1147.54</v>
      </c>
      <c r="AC680">
        <v>228.56</v>
      </c>
      <c r="AD680">
        <v>110</v>
      </c>
      <c r="AE680">
        <v>199.08</v>
      </c>
      <c r="AF680">
        <v>3935.18</v>
      </c>
      <c r="AG680">
        <v>2605.6</v>
      </c>
      <c r="AH680">
        <v>26.59</v>
      </c>
    </row>
    <row r="681" spans="1:34">
      <c r="A681" t="s">
        <v>462</v>
      </c>
      <c r="B681" t="s">
        <v>75</v>
      </c>
      <c r="C681" t="b">
        <v>0</v>
      </c>
      <c r="D681" t="b">
        <v>0</v>
      </c>
      <c r="E681" t="s">
        <v>1473</v>
      </c>
      <c r="F681" t="s">
        <v>1474</v>
      </c>
      <c r="G681" t="s">
        <v>81</v>
      </c>
      <c r="H681">
        <v>22.8</v>
      </c>
      <c r="I681">
        <v>14</v>
      </c>
      <c r="J681">
        <v>274</v>
      </c>
      <c r="K681">
        <v>8098.01</v>
      </c>
      <c r="L681">
        <v>296.5</v>
      </c>
      <c r="M681">
        <v>11.3</v>
      </c>
      <c r="N681">
        <v>7790.21</v>
      </c>
      <c r="O681">
        <v>2260.49</v>
      </c>
      <c r="P681">
        <v>5529.72</v>
      </c>
      <c r="Q681">
        <v>63.78</v>
      </c>
      <c r="R681">
        <v>307.82</v>
      </c>
      <c r="S681">
        <v>476</v>
      </c>
      <c r="T681">
        <v>201</v>
      </c>
      <c r="U681">
        <v>13</v>
      </c>
      <c r="V681">
        <v>73</v>
      </c>
      <c r="W681">
        <v>40</v>
      </c>
      <c r="X681">
        <v>28.43</v>
      </c>
      <c r="Y681">
        <v>1.74</v>
      </c>
      <c r="Z681">
        <v>70.98</v>
      </c>
      <c r="AA681">
        <v>2250</v>
      </c>
      <c r="AB681">
        <v>1147.54</v>
      </c>
      <c r="AC681">
        <v>219.99</v>
      </c>
      <c r="AD681">
        <v>110</v>
      </c>
      <c r="AE681">
        <v>178.32</v>
      </c>
      <c r="AF681">
        <v>3905.85</v>
      </c>
      <c r="AG681">
        <v>1252.27</v>
      </c>
      <c r="AH681">
        <v>16.07</v>
      </c>
    </row>
    <row r="682" spans="1:34">
      <c r="A682" t="s">
        <v>1114</v>
      </c>
      <c r="B682" t="s">
        <v>258</v>
      </c>
      <c r="C682" t="b">
        <v>0</v>
      </c>
      <c r="D682" t="b">
        <v>0</v>
      </c>
      <c r="E682" t="s">
        <v>1473</v>
      </c>
      <c r="F682" t="s">
        <v>1474</v>
      </c>
      <c r="G682" t="s">
        <v>81</v>
      </c>
      <c r="H682">
        <v>21.7</v>
      </c>
      <c r="I682">
        <v>15</v>
      </c>
      <c r="J682">
        <v>266</v>
      </c>
      <c r="K682">
        <v>8015.43</v>
      </c>
      <c r="L682">
        <v>418.24</v>
      </c>
      <c r="M682">
        <v>0</v>
      </c>
      <c r="N682">
        <v>7597.19</v>
      </c>
      <c r="O682">
        <v>2410.7</v>
      </c>
      <c r="P682">
        <v>5186.49</v>
      </c>
      <c r="Q682">
        <v>59.01</v>
      </c>
      <c r="R682">
        <v>291.94</v>
      </c>
      <c r="S682">
        <v>457</v>
      </c>
      <c r="T682">
        <v>190</v>
      </c>
      <c r="U682">
        <v>10</v>
      </c>
      <c r="V682">
        <v>76</v>
      </c>
      <c r="W682">
        <v>30</v>
      </c>
      <c r="X682">
        <v>28.56</v>
      </c>
      <c r="Y682">
        <v>1.72</v>
      </c>
      <c r="Z682">
        <v>68.27</v>
      </c>
      <c r="AA682">
        <v>2250</v>
      </c>
      <c r="AB682">
        <v>1147.54</v>
      </c>
      <c r="AC682">
        <v>201.97</v>
      </c>
      <c r="AD682">
        <v>110</v>
      </c>
      <c r="AE682">
        <v>207.52</v>
      </c>
      <c r="AF682">
        <v>3917.03</v>
      </c>
      <c r="AG682">
        <v>918.51</v>
      </c>
      <c r="AH682">
        <v>12.09</v>
      </c>
    </row>
    <row r="683" spans="1:34">
      <c r="A683" t="s">
        <v>1115</v>
      </c>
      <c r="B683" t="s">
        <v>259</v>
      </c>
      <c r="C683" t="b">
        <v>0</v>
      </c>
      <c r="D683" t="b">
        <v>0</v>
      </c>
      <c r="E683" t="s">
        <v>1473</v>
      </c>
      <c r="F683" t="s">
        <v>1474</v>
      </c>
      <c r="G683" t="s">
        <v>81</v>
      </c>
      <c r="H683">
        <v>22.6</v>
      </c>
      <c r="I683">
        <v>16</v>
      </c>
      <c r="J683">
        <v>265</v>
      </c>
      <c r="K683">
        <v>7577.17</v>
      </c>
      <c r="L683">
        <v>276.49</v>
      </c>
      <c r="M683">
        <v>16.52</v>
      </c>
      <c r="N683">
        <v>7284.16</v>
      </c>
      <c r="O683">
        <v>2203.91</v>
      </c>
      <c r="P683">
        <v>5080.25</v>
      </c>
      <c r="Q683">
        <v>54.2</v>
      </c>
      <c r="R683">
        <v>296.18</v>
      </c>
      <c r="S683">
        <v>436</v>
      </c>
      <c r="T683">
        <v>184</v>
      </c>
      <c r="U683">
        <v>8</v>
      </c>
      <c r="V683">
        <v>81</v>
      </c>
      <c r="W683">
        <v>34</v>
      </c>
      <c r="X683">
        <v>27.49</v>
      </c>
      <c r="Y683">
        <v>1.65</v>
      </c>
      <c r="Z683">
        <v>69.73999999999999</v>
      </c>
      <c r="AA683">
        <v>2250</v>
      </c>
      <c r="AB683">
        <v>1147.54</v>
      </c>
      <c r="AC683">
        <v>222.91</v>
      </c>
      <c r="AD683">
        <v>110</v>
      </c>
      <c r="AE683">
        <v>161.82</v>
      </c>
      <c r="AF683">
        <v>3892.27</v>
      </c>
      <c r="AG683">
        <v>837.6</v>
      </c>
      <c r="AH683">
        <v>11.5</v>
      </c>
    </row>
    <row r="684" spans="1:34">
      <c r="A684" t="s">
        <v>1116</v>
      </c>
      <c r="B684" t="s">
        <v>260</v>
      </c>
      <c r="C684" t="b">
        <v>0</v>
      </c>
      <c r="D684" t="b">
        <v>0</v>
      </c>
      <c r="E684" t="s">
        <v>1473</v>
      </c>
      <c r="F684" t="s">
        <v>1474</v>
      </c>
      <c r="G684" t="s">
        <v>81</v>
      </c>
      <c r="H684">
        <v>21.6</v>
      </c>
      <c r="I684">
        <v>17</v>
      </c>
      <c r="J684">
        <v>229</v>
      </c>
      <c r="K684">
        <v>6739.79</v>
      </c>
      <c r="L684">
        <v>149.56</v>
      </c>
      <c r="M684">
        <v>20</v>
      </c>
      <c r="N684">
        <v>6570.23</v>
      </c>
      <c r="O684">
        <v>1944.69</v>
      </c>
      <c r="P684">
        <v>4625.54</v>
      </c>
      <c r="Q684">
        <v>49.09</v>
      </c>
      <c r="R684">
        <v>311.65</v>
      </c>
      <c r="S684">
        <v>397</v>
      </c>
      <c r="T684">
        <v>161</v>
      </c>
      <c r="U684">
        <v>10</v>
      </c>
      <c r="V684">
        <v>68</v>
      </c>
      <c r="W684">
        <v>31</v>
      </c>
      <c r="X684">
        <v>28.69</v>
      </c>
      <c r="Y684">
        <v>1.73</v>
      </c>
      <c r="Z684">
        <v>70.40000000000001</v>
      </c>
      <c r="AA684">
        <v>2250</v>
      </c>
      <c r="AB684">
        <v>1147.54</v>
      </c>
      <c r="AC684">
        <v>216.66</v>
      </c>
      <c r="AD684">
        <v>110</v>
      </c>
      <c r="AE684">
        <v>181.27</v>
      </c>
      <c r="AF684">
        <v>3905.47</v>
      </c>
      <c r="AG684">
        <v>359.33</v>
      </c>
      <c r="AH684">
        <v>5.47</v>
      </c>
    </row>
    <row r="685" spans="1:34">
      <c r="A685" t="s">
        <v>1117</v>
      </c>
      <c r="B685" t="s">
        <v>261</v>
      </c>
      <c r="C685" t="b">
        <v>0</v>
      </c>
      <c r="D685" t="b">
        <v>0</v>
      </c>
      <c r="E685" t="s">
        <v>1473</v>
      </c>
      <c r="F685" t="s">
        <v>1474</v>
      </c>
      <c r="G685" t="s">
        <v>81</v>
      </c>
      <c r="H685">
        <v>22.5</v>
      </c>
      <c r="I685">
        <v>18</v>
      </c>
      <c r="J685">
        <v>291</v>
      </c>
      <c r="K685">
        <v>9611.059999999999</v>
      </c>
      <c r="L685">
        <v>199.99</v>
      </c>
      <c r="M685">
        <v>37.39</v>
      </c>
      <c r="N685">
        <v>9373.68</v>
      </c>
      <c r="O685">
        <v>2701.48</v>
      </c>
      <c r="P685">
        <v>6672.2</v>
      </c>
      <c r="Q685">
        <v>77.84999999999999</v>
      </c>
      <c r="R685">
        <v>304.38</v>
      </c>
      <c r="S685">
        <v>554</v>
      </c>
      <c r="T685">
        <v>188</v>
      </c>
      <c r="U685">
        <v>6</v>
      </c>
      <c r="V685">
        <v>103</v>
      </c>
      <c r="W685">
        <v>33</v>
      </c>
      <c r="X685">
        <v>32.21</v>
      </c>
      <c r="Y685">
        <v>1.9</v>
      </c>
      <c r="Z685">
        <v>71.18000000000001</v>
      </c>
      <c r="AA685">
        <v>2250</v>
      </c>
      <c r="AB685">
        <v>1147.54</v>
      </c>
      <c r="AC685">
        <v>202.22</v>
      </c>
      <c r="AD685">
        <v>110</v>
      </c>
      <c r="AE685">
        <v>204.55</v>
      </c>
      <c r="AF685">
        <v>3914.31</v>
      </c>
      <c r="AG685">
        <v>2375.66</v>
      </c>
      <c r="AH685">
        <v>25.34</v>
      </c>
    </row>
    <row r="686" spans="1:34">
      <c r="A686" t="s">
        <v>1118</v>
      </c>
      <c r="B686" t="s">
        <v>262</v>
      </c>
      <c r="C686" t="b">
        <v>1</v>
      </c>
      <c r="D686" t="b">
        <v>0</v>
      </c>
      <c r="E686" t="s">
        <v>1473</v>
      </c>
      <c r="F686" t="s">
        <v>1475</v>
      </c>
      <c r="G686" t="s">
        <v>81</v>
      </c>
      <c r="H686">
        <v>20.7</v>
      </c>
      <c r="I686">
        <v>19</v>
      </c>
      <c r="J686">
        <v>270</v>
      </c>
      <c r="K686">
        <v>11625.19</v>
      </c>
      <c r="L686">
        <v>277.38</v>
      </c>
      <c r="M686">
        <v>9.57</v>
      </c>
      <c r="N686">
        <v>11338.24</v>
      </c>
      <c r="O686">
        <v>3526.31</v>
      </c>
      <c r="P686">
        <v>7811.93</v>
      </c>
      <c r="Q686">
        <v>90.90000000000001</v>
      </c>
      <c r="R686">
        <v>434.5</v>
      </c>
      <c r="S686">
        <v>662</v>
      </c>
      <c r="T686">
        <v>185</v>
      </c>
      <c r="U686">
        <v>9</v>
      </c>
      <c r="V686">
        <v>85</v>
      </c>
      <c r="W686">
        <v>42</v>
      </c>
      <c r="X686">
        <v>41.99</v>
      </c>
      <c r="Y686">
        <v>2.45</v>
      </c>
      <c r="Z686">
        <v>68.90000000000001</v>
      </c>
      <c r="AA686">
        <v>2250</v>
      </c>
      <c r="AB686">
        <v>1147.54</v>
      </c>
      <c r="AC686">
        <v>213.92</v>
      </c>
      <c r="AD686">
        <v>110</v>
      </c>
      <c r="AE686">
        <v>197.6</v>
      </c>
      <c r="AF686">
        <v>3919.06</v>
      </c>
      <c r="AG686">
        <v>3367.47</v>
      </c>
      <c r="AH686">
        <v>29.7</v>
      </c>
    </row>
    <row r="687" spans="1:34">
      <c r="A687" t="s">
        <v>1119</v>
      </c>
      <c r="B687" t="s">
        <v>263</v>
      </c>
      <c r="C687" t="b">
        <v>1</v>
      </c>
      <c r="D687" t="b">
        <v>0</v>
      </c>
      <c r="E687" t="s">
        <v>1473</v>
      </c>
      <c r="F687" t="s">
        <v>1475</v>
      </c>
      <c r="G687" t="s">
        <v>81</v>
      </c>
      <c r="H687">
        <v>21.7</v>
      </c>
      <c r="I687">
        <v>20</v>
      </c>
      <c r="J687">
        <v>247</v>
      </c>
      <c r="K687">
        <v>9145.030000000001</v>
      </c>
      <c r="L687">
        <v>166.93</v>
      </c>
      <c r="M687">
        <v>12.17</v>
      </c>
      <c r="N687">
        <v>8965.93</v>
      </c>
      <c r="O687">
        <v>2618.09</v>
      </c>
      <c r="P687">
        <v>6347.84</v>
      </c>
      <c r="Q687">
        <v>77.31999999999999</v>
      </c>
      <c r="R687">
        <v>279.9</v>
      </c>
      <c r="S687">
        <v>534</v>
      </c>
      <c r="T687">
        <v>164</v>
      </c>
      <c r="U687">
        <v>18</v>
      </c>
      <c r="V687">
        <v>83</v>
      </c>
      <c r="W687">
        <v>34</v>
      </c>
      <c r="X687">
        <v>36.3</v>
      </c>
      <c r="Y687">
        <v>2.16</v>
      </c>
      <c r="Z687">
        <v>70.8</v>
      </c>
      <c r="AA687">
        <v>2250</v>
      </c>
      <c r="AB687">
        <v>1147.54</v>
      </c>
      <c r="AC687">
        <v>194.21</v>
      </c>
      <c r="AD687">
        <v>110</v>
      </c>
      <c r="AE687">
        <v>187.28</v>
      </c>
      <c r="AF687">
        <v>3889.03</v>
      </c>
      <c r="AG687">
        <v>2101.59</v>
      </c>
      <c r="AH687">
        <v>23.44</v>
      </c>
    </row>
    <row r="688" spans="1:34">
      <c r="A688" t="s">
        <v>463</v>
      </c>
      <c r="B688" t="s">
        <v>75</v>
      </c>
      <c r="C688" t="b">
        <v>0</v>
      </c>
      <c r="D688" t="b">
        <v>0</v>
      </c>
      <c r="E688" t="s">
        <v>1473</v>
      </c>
      <c r="F688" t="s">
        <v>1475</v>
      </c>
      <c r="G688" t="s">
        <v>81</v>
      </c>
      <c r="H688">
        <v>22.4</v>
      </c>
      <c r="I688">
        <v>21</v>
      </c>
      <c r="J688">
        <v>227</v>
      </c>
      <c r="K688">
        <v>8071.1</v>
      </c>
      <c r="L688">
        <v>350.59</v>
      </c>
      <c r="M688">
        <v>0</v>
      </c>
      <c r="N688">
        <v>7720.51</v>
      </c>
      <c r="O688">
        <v>2379.98</v>
      </c>
      <c r="P688">
        <v>5340.53</v>
      </c>
      <c r="Q688">
        <v>57.64</v>
      </c>
      <c r="R688">
        <v>194.96</v>
      </c>
      <c r="S688">
        <v>466</v>
      </c>
      <c r="T688">
        <v>164</v>
      </c>
      <c r="U688">
        <v>14</v>
      </c>
      <c r="V688">
        <v>63</v>
      </c>
      <c r="W688">
        <v>24</v>
      </c>
      <c r="X688">
        <v>34.01</v>
      </c>
      <c r="Y688">
        <v>2.05</v>
      </c>
      <c r="Z688">
        <v>69.17</v>
      </c>
      <c r="AA688">
        <v>2250</v>
      </c>
      <c r="AB688">
        <v>1147.54</v>
      </c>
      <c r="AC688">
        <v>210</v>
      </c>
      <c r="AD688">
        <v>110</v>
      </c>
      <c r="AE688">
        <v>180.63</v>
      </c>
      <c r="AF688">
        <v>3898.17</v>
      </c>
      <c r="AG688">
        <v>1189.76</v>
      </c>
      <c r="AH688">
        <v>15.41</v>
      </c>
    </row>
    <row r="689" spans="1:34">
      <c r="A689" t="s">
        <v>1120</v>
      </c>
      <c r="B689" t="s">
        <v>258</v>
      </c>
      <c r="C689" t="b">
        <v>0</v>
      </c>
      <c r="D689" t="b">
        <v>0</v>
      </c>
      <c r="E689" t="s">
        <v>1473</v>
      </c>
      <c r="F689" t="s">
        <v>1475</v>
      </c>
      <c r="G689" t="s">
        <v>81</v>
      </c>
      <c r="H689">
        <v>23.7</v>
      </c>
      <c r="I689">
        <v>22</v>
      </c>
      <c r="J689">
        <v>242</v>
      </c>
      <c r="K689">
        <v>8105.04</v>
      </c>
      <c r="L689">
        <v>386</v>
      </c>
      <c r="M689">
        <v>49.57</v>
      </c>
      <c r="N689">
        <v>7669.47</v>
      </c>
      <c r="O689">
        <v>2289.43</v>
      </c>
      <c r="P689">
        <v>5380.04</v>
      </c>
      <c r="Q689">
        <v>50.25</v>
      </c>
      <c r="R689">
        <v>308.04</v>
      </c>
      <c r="S689">
        <v>481</v>
      </c>
      <c r="T689">
        <v>169</v>
      </c>
      <c r="U689">
        <v>10</v>
      </c>
      <c r="V689">
        <v>73</v>
      </c>
      <c r="W689">
        <v>31</v>
      </c>
      <c r="X689">
        <v>31.69</v>
      </c>
      <c r="Y689">
        <v>1.99</v>
      </c>
      <c r="Z689">
        <v>70.15000000000001</v>
      </c>
      <c r="AA689">
        <v>2250</v>
      </c>
      <c r="AB689">
        <v>1147.54</v>
      </c>
      <c r="AC689">
        <v>270.23</v>
      </c>
      <c r="AD689">
        <v>110</v>
      </c>
      <c r="AE689">
        <v>183.82</v>
      </c>
      <c r="AF689">
        <v>3961.59</v>
      </c>
      <c r="AG689">
        <v>1060.16</v>
      </c>
      <c r="AH689">
        <v>13.82</v>
      </c>
    </row>
    <row r="690" spans="1:34">
      <c r="A690" t="s">
        <v>1121</v>
      </c>
      <c r="B690" t="s">
        <v>259</v>
      </c>
      <c r="C690" t="b">
        <v>0</v>
      </c>
      <c r="D690" t="b">
        <v>0</v>
      </c>
      <c r="E690" t="s">
        <v>1473</v>
      </c>
      <c r="F690" t="s">
        <v>1475</v>
      </c>
      <c r="G690" t="s">
        <v>81</v>
      </c>
      <c r="H690">
        <v>25</v>
      </c>
      <c r="I690">
        <v>23</v>
      </c>
      <c r="J690">
        <v>206</v>
      </c>
      <c r="K690">
        <v>7334.59</v>
      </c>
      <c r="L690">
        <v>390.86</v>
      </c>
      <c r="M690">
        <v>54.78</v>
      </c>
      <c r="N690">
        <v>6888.95</v>
      </c>
      <c r="O690">
        <v>2115.26</v>
      </c>
      <c r="P690">
        <v>4773.69</v>
      </c>
      <c r="Q690">
        <v>42.61</v>
      </c>
      <c r="R690">
        <v>364.07</v>
      </c>
      <c r="S690">
        <v>432</v>
      </c>
      <c r="T690">
        <v>158</v>
      </c>
      <c r="U690">
        <v>14</v>
      </c>
      <c r="V690">
        <v>48</v>
      </c>
      <c r="W690">
        <v>38</v>
      </c>
      <c r="X690">
        <v>33.44</v>
      </c>
      <c r="Y690">
        <v>2.1</v>
      </c>
      <c r="Z690">
        <v>69.29000000000001</v>
      </c>
      <c r="AA690">
        <v>2250</v>
      </c>
      <c r="AB690">
        <v>1147.54</v>
      </c>
      <c r="AC690">
        <v>253.55</v>
      </c>
      <c r="AD690">
        <v>110</v>
      </c>
      <c r="AE690">
        <v>178.34</v>
      </c>
      <c r="AF690">
        <v>3939.43</v>
      </c>
      <c r="AG690">
        <v>427.58</v>
      </c>
      <c r="AH690">
        <v>6.21</v>
      </c>
    </row>
    <row r="691" spans="1:34">
      <c r="A691" t="s">
        <v>1122</v>
      </c>
      <c r="B691" t="s">
        <v>260</v>
      </c>
      <c r="C691" t="b">
        <v>0</v>
      </c>
      <c r="D691" t="b">
        <v>0</v>
      </c>
      <c r="E691" t="s">
        <v>1473</v>
      </c>
      <c r="F691" t="s">
        <v>1475</v>
      </c>
      <c r="G691" t="s">
        <v>81</v>
      </c>
      <c r="H691">
        <v>22.2</v>
      </c>
      <c r="I691">
        <v>24</v>
      </c>
      <c r="J691">
        <v>220</v>
      </c>
      <c r="K691">
        <v>7600.65</v>
      </c>
      <c r="L691">
        <v>209.9</v>
      </c>
      <c r="M691">
        <v>0</v>
      </c>
      <c r="N691">
        <v>7390.75</v>
      </c>
      <c r="O691">
        <v>2130.26</v>
      </c>
      <c r="P691">
        <v>5260.49</v>
      </c>
      <c r="Q691">
        <v>55.97</v>
      </c>
      <c r="R691">
        <v>288.15</v>
      </c>
      <c r="S691">
        <v>452</v>
      </c>
      <c r="T691">
        <v>148</v>
      </c>
      <c r="U691">
        <v>8</v>
      </c>
      <c r="V691">
        <v>72</v>
      </c>
      <c r="W691">
        <v>32</v>
      </c>
      <c r="X691">
        <v>33.59</v>
      </c>
      <c r="Y691">
        <v>2.05</v>
      </c>
      <c r="Z691">
        <v>71.18000000000001</v>
      </c>
      <c r="AA691">
        <v>2250</v>
      </c>
      <c r="AB691">
        <v>1147.54</v>
      </c>
      <c r="AC691">
        <v>192.54</v>
      </c>
      <c r="AD691">
        <v>110</v>
      </c>
      <c r="AE691">
        <v>199.63</v>
      </c>
      <c r="AF691">
        <v>3899.71</v>
      </c>
      <c r="AG691">
        <v>1016.66</v>
      </c>
      <c r="AH691">
        <v>13.76</v>
      </c>
    </row>
    <row r="692" spans="1:34">
      <c r="A692" t="s">
        <v>1123</v>
      </c>
      <c r="B692" t="s">
        <v>261</v>
      </c>
      <c r="C692" t="b">
        <v>0</v>
      </c>
      <c r="D692" t="b">
        <v>0</v>
      </c>
      <c r="E692" t="s">
        <v>1473</v>
      </c>
      <c r="F692" t="s">
        <v>1475</v>
      </c>
      <c r="G692" t="s">
        <v>81</v>
      </c>
      <c r="H692">
        <v>20.9</v>
      </c>
      <c r="I692">
        <v>25</v>
      </c>
      <c r="J692">
        <v>276</v>
      </c>
      <c r="K692">
        <v>9160.719999999999</v>
      </c>
      <c r="L692">
        <v>344.34</v>
      </c>
      <c r="M692">
        <v>8.699999999999999</v>
      </c>
      <c r="N692">
        <v>8807.68</v>
      </c>
      <c r="O692">
        <v>2629.94</v>
      </c>
      <c r="P692">
        <v>6177.74</v>
      </c>
      <c r="Q692">
        <v>75.15000000000001</v>
      </c>
      <c r="R692">
        <v>334.65</v>
      </c>
      <c r="S692">
        <v>545</v>
      </c>
      <c r="T692">
        <v>191</v>
      </c>
      <c r="U692">
        <v>11</v>
      </c>
      <c r="V692">
        <v>85</v>
      </c>
      <c r="W692">
        <v>36</v>
      </c>
      <c r="X692">
        <v>31.91</v>
      </c>
      <c r="Y692">
        <v>1.97</v>
      </c>
      <c r="Z692">
        <v>70.14</v>
      </c>
      <c r="AA692">
        <v>2250</v>
      </c>
      <c r="AB692">
        <v>1147.54</v>
      </c>
      <c r="AC692">
        <v>215.39</v>
      </c>
      <c r="AD692">
        <v>110</v>
      </c>
      <c r="AE692">
        <v>187.12</v>
      </c>
      <c r="AF692">
        <v>3910.05</v>
      </c>
      <c r="AG692">
        <v>1857.89</v>
      </c>
      <c r="AH692">
        <v>21.09</v>
      </c>
    </row>
    <row r="693" spans="1:34">
      <c r="A693" t="s">
        <v>1124</v>
      </c>
      <c r="B693" t="s">
        <v>262</v>
      </c>
      <c r="C693" t="b">
        <v>1</v>
      </c>
      <c r="D693" t="b">
        <v>0</v>
      </c>
      <c r="E693" t="s">
        <v>1473</v>
      </c>
      <c r="F693" t="s">
        <v>1475</v>
      </c>
      <c r="G693" t="s">
        <v>81</v>
      </c>
      <c r="H693">
        <v>19.3</v>
      </c>
      <c r="I693">
        <v>26</v>
      </c>
      <c r="J693">
        <v>290</v>
      </c>
      <c r="K693">
        <v>10577.13</v>
      </c>
      <c r="L693">
        <v>438.22</v>
      </c>
      <c r="M693">
        <v>0</v>
      </c>
      <c r="N693">
        <v>10138.91</v>
      </c>
      <c r="O693">
        <v>3045.76</v>
      </c>
      <c r="P693">
        <v>7093.15</v>
      </c>
      <c r="Q693">
        <v>83.3</v>
      </c>
      <c r="R693">
        <v>297.73</v>
      </c>
      <c r="S693">
        <v>613</v>
      </c>
      <c r="T693">
        <v>200</v>
      </c>
      <c r="U693">
        <v>9</v>
      </c>
      <c r="V693">
        <v>90</v>
      </c>
      <c r="W693">
        <v>32</v>
      </c>
      <c r="X693">
        <v>34.96</v>
      </c>
      <c r="Y693">
        <v>2.11</v>
      </c>
      <c r="Z693">
        <v>69.95999999999999</v>
      </c>
      <c r="AA693">
        <v>2250</v>
      </c>
      <c r="AB693">
        <v>1147.54</v>
      </c>
      <c r="AC693">
        <v>206.72</v>
      </c>
      <c r="AD693">
        <v>110</v>
      </c>
      <c r="AE693">
        <v>198.22</v>
      </c>
      <c r="AF693">
        <v>3912.48</v>
      </c>
      <c r="AG693">
        <v>2799.64</v>
      </c>
      <c r="AH693">
        <v>27.61</v>
      </c>
    </row>
    <row r="694" spans="1:34">
      <c r="A694" t="s">
        <v>1125</v>
      </c>
      <c r="B694" t="s">
        <v>263</v>
      </c>
      <c r="C694" t="b">
        <v>1</v>
      </c>
      <c r="D694" t="b">
        <v>0</v>
      </c>
      <c r="E694" t="s">
        <v>1473</v>
      </c>
      <c r="F694" t="s">
        <v>1475</v>
      </c>
      <c r="G694" t="s">
        <v>81</v>
      </c>
      <c r="H694">
        <v>19.8</v>
      </c>
      <c r="I694">
        <v>27</v>
      </c>
      <c r="J694">
        <v>219</v>
      </c>
      <c r="K694">
        <v>8158.14</v>
      </c>
      <c r="L694">
        <v>280.85</v>
      </c>
      <c r="M694">
        <v>44.35</v>
      </c>
      <c r="N694">
        <v>7832.94</v>
      </c>
      <c r="O694">
        <v>2412.72</v>
      </c>
      <c r="P694">
        <v>5420.22</v>
      </c>
      <c r="Q694">
        <v>58.76</v>
      </c>
      <c r="R694">
        <v>357.04</v>
      </c>
      <c r="S694">
        <v>471</v>
      </c>
      <c r="T694">
        <v>156</v>
      </c>
      <c r="U694">
        <v>8</v>
      </c>
      <c r="V694">
        <v>63</v>
      </c>
      <c r="W694">
        <v>33</v>
      </c>
      <c r="X694">
        <v>35.77</v>
      </c>
      <c r="Y694">
        <v>2.15</v>
      </c>
      <c r="Z694">
        <v>69.2</v>
      </c>
      <c r="AA694">
        <v>2250</v>
      </c>
      <c r="AB694">
        <v>1147.54</v>
      </c>
      <c r="AC694">
        <v>203.21</v>
      </c>
      <c r="AD694">
        <v>110</v>
      </c>
      <c r="AE694">
        <v>200.02</v>
      </c>
      <c r="AF694">
        <v>3910.77</v>
      </c>
      <c r="AG694">
        <v>1093.65</v>
      </c>
      <c r="AH694">
        <v>13.96</v>
      </c>
    </row>
    <row r="695" spans="1:34">
      <c r="A695" t="s">
        <v>464</v>
      </c>
      <c r="B695" t="s">
        <v>75</v>
      </c>
      <c r="C695" t="b">
        <v>0</v>
      </c>
      <c r="D695" t="b">
        <v>0</v>
      </c>
      <c r="E695" t="s">
        <v>1473</v>
      </c>
      <c r="F695" t="s">
        <v>82</v>
      </c>
      <c r="G695" t="s">
        <v>81</v>
      </c>
      <c r="H695">
        <v>18.6</v>
      </c>
      <c r="I695">
        <v>28</v>
      </c>
      <c r="J695">
        <v>240</v>
      </c>
      <c r="K695">
        <v>6705.06</v>
      </c>
      <c r="L695">
        <v>343.46</v>
      </c>
      <c r="M695">
        <v>54.78</v>
      </c>
      <c r="N695">
        <v>6306.82</v>
      </c>
      <c r="O695">
        <v>1903.56</v>
      </c>
      <c r="P695">
        <v>4403.26</v>
      </c>
      <c r="Q695">
        <v>45.31</v>
      </c>
      <c r="R695">
        <v>255.99</v>
      </c>
      <c r="S695">
        <v>390</v>
      </c>
      <c r="T695">
        <v>167</v>
      </c>
      <c r="U695">
        <v>11</v>
      </c>
      <c r="V695">
        <v>73</v>
      </c>
      <c r="W695">
        <v>26</v>
      </c>
      <c r="X695">
        <v>26.28</v>
      </c>
      <c r="Y695">
        <v>1.62</v>
      </c>
      <c r="Z695">
        <v>69.81999999999999</v>
      </c>
      <c r="AA695">
        <v>2250</v>
      </c>
      <c r="AB695">
        <v>1147.54</v>
      </c>
      <c r="AC695">
        <v>201.68</v>
      </c>
      <c r="AD695">
        <v>110</v>
      </c>
      <c r="AE695">
        <v>176.54</v>
      </c>
      <c r="AF695">
        <v>3885.76</v>
      </c>
      <c r="AG695">
        <v>216.2</v>
      </c>
      <c r="AH695">
        <v>3.43</v>
      </c>
    </row>
    <row r="696" spans="1:34">
      <c r="A696" t="s">
        <v>1126</v>
      </c>
      <c r="B696" t="s">
        <v>258</v>
      </c>
      <c r="C696" t="b">
        <v>0</v>
      </c>
      <c r="D696" t="b">
        <v>0</v>
      </c>
      <c r="E696" t="s">
        <v>1473</v>
      </c>
      <c r="F696" t="s">
        <v>82</v>
      </c>
      <c r="G696" t="s">
        <v>81</v>
      </c>
      <c r="H696">
        <v>18</v>
      </c>
      <c r="I696">
        <v>29</v>
      </c>
      <c r="J696">
        <v>242</v>
      </c>
      <c r="K696">
        <v>7525.18</v>
      </c>
      <c r="L696">
        <v>228.69</v>
      </c>
      <c r="M696">
        <v>20</v>
      </c>
      <c r="N696">
        <v>7276.49</v>
      </c>
      <c r="O696">
        <v>2224.37</v>
      </c>
      <c r="P696">
        <v>5052.12</v>
      </c>
      <c r="Q696">
        <v>62.39</v>
      </c>
      <c r="R696">
        <v>259.44</v>
      </c>
      <c r="S696">
        <v>425</v>
      </c>
      <c r="T696">
        <v>178</v>
      </c>
      <c r="U696">
        <v>14</v>
      </c>
      <c r="V696">
        <v>64</v>
      </c>
      <c r="W696">
        <v>31</v>
      </c>
      <c r="X696">
        <v>30.07</v>
      </c>
      <c r="Y696">
        <v>1.76</v>
      </c>
      <c r="Z696">
        <v>69.43000000000001</v>
      </c>
      <c r="AA696">
        <v>2250</v>
      </c>
      <c r="AB696">
        <v>1147.54</v>
      </c>
      <c r="AC696">
        <v>223.41</v>
      </c>
      <c r="AD696">
        <v>110</v>
      </c>
      <c r="AE696">
        <v>218.54</v>
      </c>
      <c r="AF696">
        <v>3949.49</v>
      </c>
      <c r="AG696">
        <v>780.8</v>
      </c>
      <c r="AH696">
        <v>10.73</v>
      </c>
    </row>
    <row r="697" spans="1:34">
      <c r="A697" t="s">
        <v>1127</v>
      </c>
      <c r="B697" t="s">
        <v>259</v>
      </c>
      <c r="C697" t="b">
        <v>0</v>
      </c>
      <c r="D697" t="b">
        <v>0</v>
      </c>
      <c r="E697" t="s">
        <v>1473</v>
      </c>
      <c r="F697" t="s">
        <v>82</v>
      </c>
      <c r="G697" t="s">
        <v>81</v>
      </c>
      <c r="H697">
        <v>17.6</v>
      </c>
      <c r="I697">
        <v>30</v>
      </c>
      <c r="J697">
        <v>242</v>
      </c>
      <c r="K697">
        <v>7881.54</v>
      </c>
      <c r="L697">
        <v>336.09</v>
      </c>
      <c r="M697">
        <v>20.87</v>
      </c>
      <c r="N697">
        <v>7524.58</v>
      </c>
      <c r="O697">
        <v>2382.5</v>
      </c>
      <c r="P697">
        <v>5142.08</v>
      </c>
      <c r="Q697">
        <v>49.75</v>
      </c>
      <c r="R697">
        <v>213.48</v>
      </c>
      <c r="S697">
        <v>454</v>
      </c>
      <c r="T697">
        <v>177</v>
      </c>
      <c r="U697">
        <v>10</v>
      </c>
      <c r="V697">
        <v>65</v>
      </c>
      <c r="W697">
        <v>26</v>
      </c>
      <c r="X697">
        <v>31.09</v>
      </c>
      <c r="Y697">
        <v>1.88</v>
      </c>
      <c r="Z697">
        <v>68.34</v>
      </c>
      <c r="AA697">
        <v>2250</v>
      </c>
      <c r="AB697">
        <v>1147.54</v>
      </c>
      <c r="AC697">
        <v>209.3</v>
      </c>
      <c r="AD697">
        <v>110</v>
      </c>
      <c r="AE697">
        <v>177.63</v>
      </c>
      <c r="AF697">
        <v>3894.47</v>
      </c>
      <c r="AG697">
        <v>984.38</v>
      </c>
      <c r="AH697">
        <v>13.08</v>
      </c>
    </row>
    <row r="698" spans="1:34">
      <c r="A698" t="s">
        <v>1128</v>
      </c>
      <c r="B698" t="s">
        <v>260</v>
      </c>
      <c r="C698" t="b">
        <v>0</v>
      </c>
      <c r="D698" t="b">
        <v>0</v>
      </c>
      <c r="E698" t="s">
        <v>1473</v>
      </c>
      <c r="F698" t="s">
        <v>82</v>
      </c>
      <c r="G698" t="s">
        <v>1496</v>
      </c>
      <c r="H698">
        <v>17.9</v>
      </c>
      <c r="I698">
        <v>0</v>
      </c>
      <c r="J698">
        <v>394</v>
      </c>
      <c r="K698">
        <v>14527.67</v>
      </c>
      <c r="L698">
        <v>3046.74</v>
      </c>
      <c r="M698">
        <v>27.13</v>
      </c>
      <c r="N698">
        <v>11453.8</v>
      </c>
      <c r="O698">
        <v>4259.19</v>
      </c>
      <c r="P698">
        <v>7194.61</v>
      </c>
      <c r="Q698">
        <v>78.41</v>
      </c>
      <c r="R698">
        <v>395.89</v>
      </c>
      <c r="S698">
        <v>825</v>
      </c>
      <c r="T698">
        <v>289</v>
      </c>
      <c r="U698">
        <v>33</v>
      </c>
      <c r="V698">
        <v>105</v>
      </c>
      <c r="W698">
        <v>53</v>
      </c>
      <c r="X698">
        <v>29.07</v>
      </c>
      <c r="Y698">
        <v>2.09</v>
      </c>
      <c r="Z698">
        <v>62.81</v>
      </c>
      <c r="AA698">
        <v>2600</v>
      </c>
      <c r="AB698">
        <v>1147.54</v>
      </c>
      <c r="AC698">
        <v>192.96</v>
      </c>
      <c r="AD698">
        <v>1310</v>
      </c>
      <c r="AE698">
        <v>163.18</v>
      </c>
      <c r="AF698">
        <v>5413.68</v>
      </c>
      <c r="AG698">
        <v>1306.63</v>
      </c>
      <c r="AH698">
        <v>11.41</v>
      </c>
    </row>
    <row r="699" spans="1:34">
      <c r="A699" t="s">
        <v>1129</v>
      </c>
      <c r="B699" t="s">
        <v>261</v>
      </c>
      <c r="C699" t="b">
        <v>0</v>
      </c>
      <c r="D699" t="b">
        <v>0</v>
      </c>
      <c r="E699" t="s">
        <v>1473</v>
      </c>
      <c r="F699" t="s">
        <v>82</v>
      </c>
      <c r="G699" t="s">
        <v>1496</v>
      </c>
      <c r="H699">
        <v>19.6</v>
      </c>
      <c r="I699">
        <v>1</v>
      </c>
      <c r="J699">
        <v>446</v>
      </c>
      <c r="K699">
        <v>17123.19</v>
      </c>
      <c r="L699">
        <v>3794.84</v>
      </c>
      <c r="M699">
        <v>34.78</v>
      </c>
      <c r="N699">
        <v>13293.57</v>
      </c>
      <c r="O699">
        <v>4949.63</v>
      </c>
      <c r="P699">
        <v>8343.940000000001</v>
      </c>
      <c r="Q699">
        <v>113</v>
      </c>
      <c r="R699">
        <v>409.86</v>
      </c>
      <c r="S699">
        <v>986</v>
      </c>
      <c r="T699">
        <v>307</v>
      </c>
      <c r="U699">
        <v>41</v>
      </c>
      <c r="V699">
        <v>139</v>
      </c>
      <c r="W699">
        <v>47</v>
      </c>
      <c r="X699">
        <v>29.81</v>
      </c>
      <c r="Y699">
        <v>2.21</v>
      </c>
      <c r="Z699">
        <v>62.77</v>
      </c>
      <c r="AA699">
        <v>2600</v>
      </c>
      <c r="AB699">
        <v>1147.54</v>
      </c>
      <c r="AC699">
        <v>201.54</v>
      </c>
      <c r="AD699">
        <v>1310</v>
      </c>
      <c r="AE699">
        <v>172.73</v>
      </c>
      <c r="AF699">
        <v>5431.81</v>
      </c>
      <c r="AG699">
        <v>2389.27</v>
      </c>
      <c r="AH699">
        <v>17.97</v>
      </c>
    </row>
    <row r="700" spans="1:34">
      <c r="A700" t="s">
        <v>1130</v>
      </c>
      <c r="B700" t="s">
        <v>262</v>
      </c>
      <c r="C700" t="b">
        <v>1</v>
      </c>
      <c r="D700" t="b">
        <v>0</v>
      </c>
      <c r="E700" t="s">
        <v>1473</v>
      </c>
      <c r="F700" t="s">
        <v>82</v>
      </c>
      <c r="G700" t="s">
        <v>1496</v>
      </c>
      <c r="H700">
        <v>19.7</v>
      </c>
      <c r="I700">
        <v>2</v>
      </c>
      <c r="J700">
        <v>345</v>
      </c>
      <c r="K700">
        <v>13677.31</v>
      </c>
      <c r="L700">
        <v>3079.84</v>
      </c>
      <c r="M700">
        <v>28.52</v>
      </c>
      <c r="N700">
        <v>10568.95</v>
      </c>
      <c r="O700">
        <v>3921.13</v>
      </c>
      <c r="P700">
        <v>6647.82</v>
      </c>
      <c r="Q700">
        <v>85.37</v>
      </c>
      <c r="R700">
        <v>429.47</v>
      </c>
      <c r="S700">
        <v>785</v>
      </c>
      <c r="T700">
        <v>248</v>
      </c>
      <c r="U700">
        <v>42</v>
      </c>
      <c r="V700">
        <v>97</v>
      </c>
      <c r="W700">
        <v>57</v>
      </c>
      <c r="X700">
        <v>30.63</v>
      </c>
      <c r="Y700">
        <v>2.28</v>
      </c>
      <c r="Z700">
        <v>62.9</v>
      </c>
      <c r="AA700">
        <v>2600</v>
      </c>
      <c r="AB700">
        <v>1147.54</v>
      </c>
      <c r="AC700">
        <v>208.28</v>
      </c>
      <c r="AD700">
        <v>1310</v>
      </c>
      <c r="AE700">
        <v>209.04</v>
      </c>
      <c r="AF700">
        <v>5474.86</v>
      </c>
      <c r="AG700">
        <v>658.12</v>
      </c>
      <c r="AH700">
        <v>6.23</v>
      </c>
    </row>
    <row r="701" spans="1:34">
      <c r="A701" t="s">
        <v>1131</v>
      </c>
      <c r="B701" t="s">
        <v>263</v>
      </c>
      <c r="C701" t="b">
        <v>1</v>
      </c>
      <c r="D701" t="b">
        <v>0</v>
      </c>
      <c r="E701" t="s">
        <v>1473</v>
      </c>
      <c r="F701" t="s">
        <v>82</v>
      </c>
      <c r="G701" t="s">
        <v>1496</v>
      </c>
      <c r="H701">
        <v>19.5</v>
      </c>
      <c r="I701">
        <v>3</v>
      </c>
      <c r="J701">
        <v>335</v>
      </c>
      <c r="K701">
        <v>13344.07</v>
      </c>
      <c r="L701">
        <v>2897.08</v>
      </c>
      <c r="M701">
        <v>16</v>
      </c>
      <c r="N701">
        <v>10430.99</v>
      </c>
      <c r="O701">
        <v>3812.43</v>
      </c>
      <c r="P701">
        <v>6618.56</v>
      </c>
      <c r="Q701">
        <v>78.63</v>
      </c>
      <c r="R701">
        <v>511.52</v>
      </c>
      <c r="S701">
        <v>777</v>
      </c>
      <c r="T701">
        <v>241</v>
      </c>
      <c r="U701">
        <v>37</v>
      </c>
      <c r="V701">
        <v>94</v>
      </c>
      <c r="W701">
        <v>60</v>
      </c>
      <c r="X701">
        <v>31.14</v>
      </c>
      <c r="Y701">
        <v>2.32</v>
      </c>
      <c r="Z701">
        <v>63.45</v>
      </c>
      <c r="AA701">
        <v>2600</v>
      </c>
      <c r="AB701">
        <v>1147.54</v>
      </c>
      <c r="AC701">
        <v>231.73</v>
      </c>
      <c r="AD701">
        <v>1310</v>
      </c>
      <c r="AE701">
        <v>203.89</v>
      </c>
      <c r="AF701">
        <v>5493.16</v>
      </c>
      <c r="AG701">
        <v>535.25</v>
      </c>
      <c r="AH701">
        <v>5.13</v>
      </c>
    </row>
    <row r="702" spans="1:34">
      <c r="A702" t="s">
        <v>465</v>
      </c>
      <c r="B702" t="s">
        <v>75</v>
      </c>
      <c r="C702" t="b">
        <v>0</v>
      </c>
      <c r="D702" t="b">
        <v>0</v>
      </c>
      <c r="E702" t="s">
        <v>80</v>
      </c>
      <c r="F702" t="s">
        <v>82</v>
      </c>
      <c r="G702" t="s">
        <v>1496</v>
      </c>
      <c r="H702">
        <v>18.9</v>
      </c>
      <c r="I702">
        <v>4</v>
      </c>
      <c r="J702">
        <v>351</v>
      </c>
      <c r="K702">
        <v>10972.72</v>
      </c>
      <c r="L702">
        <v>2413.28</v>
      </c>
      <c r="M702">
        <v>40.34</v>
      </c>
      <c r="N702">
        <v>8519.1</v>
      </c>
      <c r="O702">
        <v>3191.65</v>
      </c>
      <c r="P702">
        <v>5327.45</v>
      </c>
      <c r="Q702">
        <v>65.20999999999999</v>
      </c>
      <c r="R702">
        <v>373.86</v>
      </c>
      <c r="S702">
        <v>633</v>
      </c>
      <c r="T702">
        <v>256</v>
      </c>
      <c r="U702">
        <v>44</v>
      </c>
      <c r="V702">
        <v>95</v>
      </c>
      <c r="W702">
        <v>45</v>
      </c>
      <c r="X702">
        <v>24.27</v>
      </c>
      <c r="Y702">
        <v>1.8</v>
      </c>
      <c r="Z702">
        <v>62.54</v>
      </c>
      <c r="AA702">
        <v>2527.42</v>
      </c>
      <c r="AB702">
        <v>1147.54</v>
      </c>
      <c r="AC702">
        <v>210.9</v>
      </c>
      <c r="AD702">
        <v>1310</v>
      </c>
      <c r="AE702">
        <v>178.13</v>
      </c>
      <c r="AF702">
        <v>5373.99</v>
      </c>
      <c r="AG702">
        <v>-485.61</v>
      </c>
      <c r="AH702">
        <v>-5.7</v>
      </c>
    </row>
    <row r="703" spans="1:34">
      <c r="A703" t="s">
        <v>1132</v>
      </c>
      <c r="B703" t="s">
        <v>258</v>
      </c>
      <c r="C703" t="b">
        <v>0</v>
      </c>
      <c r="D703" t="b">
        <v>0</v>
      </c>
      <c r="E703" t="s">
        <v>80</v>
      </c>
      <c r="F703" t="s">
        <v>82</v>
      </c>
      <c r="G703" t="s">
        <v>304</v>
      </c>
      <c r="H703">
        <v>20.4</v>
      </c>
      <c r="I703">
        <v>5</v>
      </c>
      <c r="J703">
        <v>358</v>
      </c>
      <c r="K703">
        <v>11101.4</v>
      </c>
      <c r="L703">
        <v>2601.07</v>
      </c>
      <c r="M703">
        <v>44.52</v>
      </c>
      <c r="N703">
        <v>8455.809999999999</v>
      </c>
      <c r="O703">
        <v>3174.03</v>
      </c>
      <c r="P703">
        <v>5281.78</v>
      </c>
      <c r="Q703">
        <v>73.11</v>
      </c>
      <c r="R703">
        <v>219.44</v>
      </c>
      <c r="S703">
        <v>655</v>
      </c>
      <c r="T703">
        <v>253</v>
      </c>
      <c r="U703">
        <v>34</v>
      </c>
      <c r="V703">
        <v>105</v>
      </c>
      <c r="W703">
        <v>33</v>
      </c>
      <c r="X703">
        <v>23.62</v>
      </c>
      <c r="Y703">
        <v>1.83</v>
      </c>
      <c r="Z703">
        <v>62.46</v>
      </c>
      <c r="AA703">
        <v>2527.42</v>
      </c>
      <c r="AB703">
        <v>1147.54</v>
      </c>
      <c r="AC703">
        <v>227.13</v>
      </c>
      <c r="AD703">
        <v>1310</v>
      </c>
      <c r="AE703">
        <v>215.23</v>
      </c>
      <c r="AF703">
        <v>5427.32</v>
      </c>
      <c r="AG703">
        <v>-438.09</v>
      </c>
      <c r="AH703">
        <v>-5.18</v>
      </c>
    </row>
    <row r="704" spans="1:34">
      <c r="A704" t="s">
        <v>1133</v>
      </c>
      <c r="B704" t="s">
        <v>259</v>
      </c>
      <c r="C704" t="b">
        <v>0</v>
      </c>
      <c r="D704" t="b">
        <v>0</v>
      </c>
      <c r="E704" t="s">
        <v>80</v>
      </c>
      <c r="F704" t="s">
        <v>82</v>
      </c>
      <c r="G704" t="s">
        <v>305</v>
      </c>
      <c r="H704">
        <v>20.7</v>
      </c>
      <c r="I704">
        <v>6</v>
      </c>
      <c r="J704">
        <v>288</v>
      </c>
      <c r="K704">
        <v>8913.719999999999</v>
      </c>
      <c r="L704">
        <v>295.64</v>
      </c>
      <c r="M704">
        <v>19.13</v>
      </c>
      <c r="N704">
        <v>8598.950000000001</v>
      </c>
      <c r="O704">
        <v>2592.31</v>
      </c>
      <c r="P704">
        <v>6006.64</v>
      </c>
      <c r="Q704">
        <v>73.5</v>
      </c>
      <c r="R704">
        <v>301.33</v>
      </c>
      <c r="S704">
        <v>516</v>
      </c>
      <c r="T704">
        <v>203</v>
      </c>
      <c r="U704">
        <v>9</v>
      </c>
      <c r="V704">
        <v>85</v>
      </c>
      <c r="W704">
        <v>36</v>
      </c>
      <c r="X704">
        <v>29.86</v>
      </c>
      <c r="Y704">
        <v>1.79</v>
      </c>
      <c r="Z704">
        <v>69.84999999999999</v>
      </c>
      <c r="AA704">
        <v>2177.42</v>
      </c>
      <c r="AB704">
        <v>1147.54</v>
      </c>
      <c r="AC704">
        <v>192.67</v>
      </c>
      <c r="AD704">
        <v>110</v>
      </c>
      <c r="AE704">
        <v>187.01</v>
      </c>
      <c r="AF704">
        <v>3814.64</v>
      </c>
      <c r="AG704">
        <v>1817.17</v>
      </c>
      <c r="AH704">
        <v>21.13</v>
      </c>
    </row>
    <row r="705" spans="1:34">
      <c r="A705" t="s">
        <v>1134</v>
      </c>
      <c r="B705" t="s">
        <v>260</v>
      </c>
      <c r="C705" t="b">
        <v>0</v>
      </c>
      <c r="D705" t="b">
        <v>0</v>
      </c>
      <c r="E705" t="s">
        <v>80</v>
      </c>
      <c r="F705" t="s">
        <v>82</v>
      </c>
      <c r="G705" t="s">
        <v>305</v>
      </c>
      <c r="H705">
        <v>22.5</v>
      </c>
      <c r="I705">
        <v>7</v>
      </c>
      <c r="J705">
        <v>311</v>
      </c>
      <c r="K705">
        <v>9631.950000000001</v>
      </c>
      <c r="L705">
        <v>274.77</v>
      </c>
      <c r="M705">
        <v>49.56</v>
      </c>
      <c r="N705">
        <v>9307.620000000001</v>
      </c>
      <c r="O705">
        <v>2782.66</v>
      </c>
      <c r="P705">
        <v>6524.96</v>
      </c>
      <c r="Q705">
        <v>73.55</v>
      </c>
      <c r="R705">
        <v>437.29</v>
      </c>
      <c r="S705">
        <v>563</v>
      </c>
      <c r="T705">
        <v>228</v>
      </c>
      <c r="U705">
        <v>11</v>
      </c>
      <c r="V705">
        <v>83</v>
      </c>
      <c r="W705">
        <v>48</v>
      </c>
      <c r="X705">
        <v>29.93</v>
      </c>
      <c r="Y705">
        <v>1.81</v>
      </c>
      <c r="Z705">
        <v>70.09999999999999</v>
      </c>
      <c r="AA705">
        <v>2177.42</v>
      </c>
      <c r="AB705">
        <v>1147.54</v>
      </c>
      <c r="AC705">
        <v>192.26</v>
      </c>
      <c r="AD705">
        <v>110</v>
      </c>
      <c r="AE705">
        <v>200.03</v>
      </c>
      <c r="AF705">
        <v>3827.25</v>
      </c>
      <c r="AG705">
        <v>2186.87</v>
      </c>
      <c r="AH705">
        <v>23.5</v>
      </c>
    </row>
    <row r="706" spans="1:34">
      <c r="A706" t="s">
        <v>1135</v>
      </c>
      <c r="B706" t="s">
        <v>261</v>
      </c>
      <c r="C706" t="b">
        <v>0</v>
      </c>
      <c r="D706" t="b">
        <v>0</v>
      </c>
      <c r="E706" t="s">
        <v>80</v>
      </c>
      <c r="F706" t="s">
        <v>82</v>
      </c>
      <c r="G706" t="s">
        <v>305</v>
      </c>
      <c r="H706">
        <v>21.6</v>
      </c>
      <c r="I706">
        <v>8</v>
      </c>
      <c r="J706">
        <v>317</v>
      </c>
      <c r="K706">
        <v>10413.82</v>
      </c>
      <c r="L706">
        <v>218.25</v>
      </c>
      <c r="M706">
        <v>0</v>
      </c>
      <c r="N706">
        <v>10195.57</v>
      </c>
      <c r="O706">
        <v>2930.19</v>
      </c>
      <c r="P706">
        <v>7265.38</v>
      </c>
      <c r="Q706">
        <v>89.5</v>
      </c>
      <c r="R706">
        <v>344.03</v>
      </c>
      <c r="S706">
        <v>595</v>
      </c>
      <c r="T706">
        <v>210</v>
      </c>
      <c r="U706">
        <v>14</v>
      </c>
      <c r="V706">
        <v>107</v>
      </c>
      <c r="W706">
        <v>33</v>
      </c>
      <c r="X706">
        <v>32.16</v>
      </c>
      <c r="Y706">
        <v>1.88</v>
      </c>
      <c r="Z706">
        <v>71.26000000000001</v>
      </c>
      <c r="AA706">
        <v>2177.42</v>
      </c>
      <c r="AB706">
        <v>1147.54</v>
      </c>
      <c r="AC706">
        <v>206.44</v>
      </c>
      <c r="AD706">
        <v>110</v>
      </c>
      <c r="AE706">
        <v>171.81</v>
      </c>
      <c r="AF706">
        <v>3813.21</v>
      </c>
      <c r="AG706">
        <v>3018.64</v>
      </c>
      <c r="AH706">
        <v>29.61</v>
      </c>
    </row>
    <row r="707" spans="1:34">
      <c r="A707" t="s">
        <v>1136</v>
      </c>
      <c r="B707" t="s">
        <v>262</v>
      </c>
      <c r="C707" t="b">
        <v>1</v>
      </c>
      <c r="D707" t="b">
        <v>0</v>
      </c>
      <c r="E707" t="s">
        <v>80</v>
      </c>
      <c r="F707" t="s">
        <v>82</v>
      </c>
      <c r="G707" t="s">
        <v>305</v>
      </c>
      <c r="H707">
        <v>20.5</v>
      </c>
      <c r="I707">
        <v>9</v>
      </c>
      <c r="J707">
        <v>272</v>
      </c>
      <c r="K707">
        <v>10214.61</v>
      </c>
      <c r="L707">
        <v>316.52</v>
      </c>
      <c r="M707">
        <v>0</v>
      </c>
      <c r="N707">
        <v>9898.09</v>
      </c>
      <c r="O707">
        <v>2990.76</v>
      </c>
      <c r="P707">
        <v>6907.33</v>
      </c>
      <c r="Q707">
        <v>75.95</v>
      </c>
      <c r="R707">
        <v>334.04</v>
      </c>
      <c r="S707">
        <v>578</v>
      </c>
      <c r="T707">
        <v>197</v>
      </c>
      <c r="U707">
        <v>12</v>
      </c>
      <c r="V707">
        <v>75</v>
      </c>
      <c r="W707">
        <v>42</v>
      </c>
      <c r="X707">
        <v>36.39</v>
      </c>
      <c r="Y707">
        <v>2.12</v>
      </c>
      <c r="Z707">
        <v>69.78</v>
      </c>
      <c r="AA707">
        <v>2177.42</v>
      </c>
      <c r="AB707">
        <v>1147.54</v>
      </c>
      <c r="AC707">
        <v>204.76</v>
      </c>
      <c r="AD707">
        <v>110</v>
      </c>
      <c r="AE707">
        <v>215.93</v>
      </c>
      <c r="AF707">
        <v>3855.65</v>
      </c>
      <c r="AG707">
        <v>2641.69</v>
      </c>
      <c r="AH707">
        <v>26.69</v>
      </c>
    </row>
    <row r="708" spans="1:34">
      <c r="A708" t="s">
        <v>1137</v>
      </c>
      <c r="B708" t="s">
        <v>263</v>
      </c>
      <c r="C708" t="b">
        <v>1</v>
      </c>
      <c r="D708" t="b">
        <v>0</v>
      </c>
      <c r="E708" t="s">
        <v>80</v>
      </c>
      <c r="F708" t="s">
        <v>82</v>
      </c>
      <c r="G708" t="s">
        <v>305</v>
      </c>
      <c r="H708">
        <v>19.4</v>
      </c>
      <c r="I708">
        <v>10</v>
      </c>
      <c r="J708">
        <v>245</v>
      </c>
      <c r="K708">
        <v>9129.469999999999</v>
      </c>
      <c r="L708">
        <v>253.89</v>
      </c>
      <c r="M708">
        <v>86.09</v>
      </c>
      <c r="N708">
        <v>8789.49</v>
      </c>
      <c r="O708">
        <v>2694.89</v>
      </c>
      <c r="P708">
        <v>6094.6</v>
      </c>
      <c r="Q708">
        <v>70.62</v>
      </c>
      <c r="R708">
        <v>308.03</v>
      </c>
      <c r="S708">
        <v>522</v>
      </c>
      <c r="T708">
        <v>181</v>
      </c>
      <c r="U708">
        <v>11</v>
      </c>
      <c r="V708">
        <v>64</v>
      </c>
      <c r="W708">
        <v>39</v>
      </c>
      <c r="X708">
        <v>35.88</v>
      </c>
      <c r="Y708">
        <v>2.13</v>
      </c>
      <c r="Z708">
        <v>69.34</v>
      </c>
      <c r="AA708">
        <v>2177.42</v>
      </c>
      <c r="AB708">
        <v>1147.54</v>
      </c>
      <c r="AC708">
        <v>226.02</v>
      </c>
      <c r="AD708">
        <v>110</v>
      </c>
      <c r="AE708">
        <v>223.55</v>
      </c>
      <c r="AF708">
        <v>3884.53</v>
      </c>
      <c r="AG708">
        <v>1831.42</v>
      </c>
      <c r="AH708">
        <v>20.84</v>
      </c>
    </row>
    <row r="709" spans="1:34">
      <c r="A709" t="s">
        <v>466</v>
      </c>
      <c r="B709" t="s">
        <v>75</v>
      </c>
      <c r="C709" t="b">
        <v>0</v>
      </c>
      <c r="D709" t="b">
        <v>0</v>
      </c>
      <c r="E709" t="s">
        <v>80</v>
      </c>
      <c r="F709" t="s">
        <v>82</v>
      </c>
      <c r="G709" t="s">
        <v>305</v>
      </c>
      <c r="H709">
        <v>19.6</v>
      </c>
      <c r="I709">
        <v>11</v>
      </c>
      <c r="J709">
        <v>249</v>
      </c>
      <c r="K709">
        <v>6849.39</v>
      </c>
      <c r="L709">
        <v>304.32</v>
      </c>
      <c r="M709">
        <v>0</v>
      </c>
      <c r="N709">
        <v>6545.07</v>
      </c>
      <c r="O709">
        <v>1998.16</v>
      </c>
      <c r="P709">
        <v>4546.91</v>
      </c>
      <c r="Q709">
        <v>56.45</v>
      </c>
      <c r="R709">
        <v>206.24</v>
      </c>
      <c r="S709">
        <v>398</v>
      </c>
      <c r="T709">
        <v>172</v>
      </c>
      <c r="U709">
        <v>8</v>
      </c>
      <c r="V709">
        <v>77</v>
      </c>
      <c r="W709">
        <v>26</v>
      </c>
      <c r="X709">
        <v>26.29</v>
      </c>
      <c r="Y709">
        <v>1.6</v>
      </c>
      <c r="Z709">
        <v>69.47</v>
      </c>
      <c r="AA709">
        <v>2177.42</v>
      </c>
      <c r="AB709">
        <v>1147.54</v>
      </c>
      <c r="AC709">
        <v>199.76</v>
      </c>
      <c r="AD709">
        <v>110</v>
      </c>
      <c r="AE709">
        <v>214.47</v>
      </c>
      <c r="AF709">
        <v>3849.19</v>
      </c>
      <c r="AG709">
        <v>435.03</v>
      </c>
      <c r="AH709">
        <v>6.65</v>
      </c>
    </row>
    <row r="710" spans="1:34">
      <c r="A710" t="s">
        <v>1138</v>
      </c>
      <c r="B710" t="s">
        <v>258</v>
      </c>
      <c r="C710" t="b">
        <v>0</v>
      </c>
      <c r="D710" t="b">
        <v>0</v>
      </c>
      <c r="E710" t="s">
        <v>80</v>
      </c>
      <c r="F710" t="s">
        <v>82</v>
      </c>
      <c r="G710" t="s">
        <v>305</v>
      </c>
      <c r="H710">
        <v>19.9</v>
      </c>
      <c r="I710">
        <v>12</v>
      </c>
      <c r="J710">
        <v>262</v>
      </c>
      <c r="K710">
        <v>7735.45</v>
      </c>
      <c r="L710">
        <v>379.98</v>
      </c>
      <c r="M710">
        <v>52.17</v>
      </c>
      <c r="N710">
        <v>7303.3</v>
      </c>
      <c r="O710">
        <v>2283.2</v>
      </c>
      <c r="P710">
        <v>5020.1</v>
      </c>
      <c r="Q710">
        <v>61.75</v>
      </c>
      <c r="R710">
        <v>266.48</v>
      </c>
      <c r="S710">
        <v>454</v>
      </c>
      <c r="T710">
        <v>202</v>
      </c>
      <c r="U710">
        <v>11</v>
      </c>
      <c r="V710">
        <v>60</v>
      </c>
      <c r="W710">
        <v>32</v>
      </c>
      <c r="X710">
        <v>27.88</v>
      </c>
      <c r="Y710">
        <v>1.73</v>
      </c>
      <c r="Z710">
        <v>68.73999999999999</v>
      </c>
      <c r="AA710">
        <v>2177.42</v>
      </c>
      <c r="AB710">
        <v>1147.54</v>
      </c>
      <c r="AC710">
        <v>212.87</v>
      </c>
      <c r="AD710">
        <v>110</v>
      </c>
      <c r="AE710">
        <v>208.96</v>
      </c>
      <c r="AF710">
        <v>3856.79</v>
      </c>
      <c r="AG710">
        <v>835.08</v>
      </c>
      <c r="AH710">
        <v>11.43</v>
      </c>
    </row>
    <row r="711" spans="1:34">
      <c r="A711" t="s">
        <v>1139</v>
      </c>
      <c r="B711" t="s">
        <v>259</v>
      </c>
      <c r="C711" t="b">
        <v>0</v>
      </c>
      <c r="D711" t="b">
        <v>0</v>
      </c>
      <c r="E711" t="s">
        <v>80</v>
      </c>
      <c r="F711" t="s">
        <v>82</v>
      </c>
      <c r="G711" t="s">
        <v>81</v>
      </c>
      <c r="H711">
        <v>19.5</v>
      </c>
      <c r="I711">
        <v>13</v>
      </c>
      <c r="J711">
        <v>264</v>
      </c>
      <c r="K711">
        <v>8965.07</v>
      </c>
      <c r="L711">
        <v>442.07</v>
      </c>
      <c r="M711">
        <v>40.86</v>
      </c>
      <c r="N711">
        <v>8482.139999999999</v>
      </c>
      <c r="O711">
        <v>2664.33</v>
      </c>
      <c r="P711">
        <v>5817.81</v>
      </c>
      <c r="Q711">
        <v>58.55</v>
      </c>
      <c r="R711">
        <v>338.64</v>
      </c>
      <c r="S711">
        <v>527</v>
      </c>
      <c r="T711">
        <v>197</v>
      </c>
      <c r="U711">
        <v>14</v>
      </c>
      <c r="V711">
        <v>67</v>
      </c>
      <c r="W711">
        <v>34</v>
      </c>
      <c r="X711">
        <v>32.13</v>
      </c>
      <c r="Y711">
        <v>2</v>
      </c>
      <c r="Z711">
        <v>68.59</v>
      </c>
      <c r="AA711">
        <v>2177.42</v>
      </c>
      <c r="AB711">
        <v>1147.54</v>
      </c>
      <c r="AC711">
        <v>197.65</v>
      </c>
      <c r="AD711">
        <v>110</v>
      </c>
      <c r="AE711">
        <v>173.96</v>
      </c>
      <c r="AF711">
        <v>3806.57</v>
      </c>
      <c r="AG711">
        <v>1614.05</v>
      </c>
      <c r="AH711">
        <v>19.03</v>
      </c>
    </row>
    <row r="712" spans="1:34">
      <c r="A712" t="s">
        <v>1140</v>
      </c>
      <c r="B712" t="s">
        <v>260</v>
      </c>
      <c r="C712" t="b">
        <v>0</v>
      </c>
      <c r="D712" t="b">
        <v>0</v>
      </c>
      <c r="E712" t="s">
        <v>80</v>
      </c>
      <c r="F712" t="s">
        <v>82</v>
      </c>
      <c r="G712" t="s">
        <v>81</v>
      </c>
      <c r="H712">
        <v>17.2</v>
      </c>
      <c r="I712">
        <v>14</v>
      </c>
      <c r="J712">
        <v>318</v>
      </c>
      <c r="K712">
        <v>9514.530000000001</v>
      </c>
      <c r="L712">
        <v>366.92</v>
      </c>
      <c r="M712">
        <v>53.04</v>
      </c>
      <c r="N712">
        <v>9094.57</v>
      </c>
      <c r="O712">
        <v>2784.66</v>
      </c>
      <c r="P712">
        <v>6309.91</v>
      </c>
      <c r="Q712">
        <v>75</v>
      </c>
      <c r="R712">
        <v>330.57</v>
      </c>
      <c r="S712">
        <v>554</v>
      </c>
      <c r="T712">
        <v>230</v>
      </c>
      <c r="U712">
        <v>11</v>
      </c>
      <c r="V712">
        <v>88</v>
      </c>
      <c r="W712">
        <v>38</v>
      </c>
      <c r="X712">
        <v>28.6</v>
      </c>
      <c r="Y712">
        <v>1.74</v>
      </c>
      <c r="Z712">
        <v>69.38</v>
      </c>
      <c r="AA712">
        <v>2177.42</v>
      </c>
      <c r="AB712">
        <v>1147.54</v>
      </c>
      <c r="AC712">
        <v>223.3</v>
      </c>
      <c r="AD712">
        <v>110</v>
      </c>
      <c r="AE712">
        <v>197.36</v>
      </c>
      <c r="AF712">
        <v>3855.62</v>
      </c>
      <c r="AG712">
        <v>2048.72</v>
      </c>
      <c r="AH712">
        <v>22.53</v>
      </c>
    </row>
    <row r="713" spans="1:34">
      <c r="A713" t="s">
        <v>1141</v>
      </c>
      <c r="B713" t="s">
        <v>261</v>
      </c>
      <c r="C713" t="b">
        <v>0</v>
      </c>
      <c r="D713" t="b">
        <v>0</v>
      </c>
      <c r="E713" t="s">
        <v>80</v>
      </c>
      <c r="F713" t="s">
        <v>82</v>
      </c>
      <c r="G713" t="s">
        <v>81</v>
      </c>
      <c r="H713">
        <v>20.1</v>
      </c>
      <c r="I713">
        <v>15</v>
      </c>
      <c r="J713">
        <v>404</v>
      </c>
      <c r="K713">
        <v>12526.63</v>
      </c>
      <c r="L713">
        <v>307.8</v>
      </c>
      <c r="M713">
        <v>19.13</v>
      </c>
      <c r="N713">
        <v>12199.7</v>
      </c>
      <c r="O713">
        <v>3458.75</v>
      </c>
      <c r="P713">
        <v>8740.950000000001</v>
      </c>
      <c r="Q713">
        <v>105.99</v>
      </c>
      <c r="R713">
        <v>259.05</v>
      </c>
      <c r="S713">
        <v>743</v>
      </c>
      <c r="T713">
        <v>276</v>
      </c>
      <c r="U713">
        <v>16</v>
      </c>
      <c r="V713">
        <v>128</v>
      </c>
      <c r="W713">
        <v>30</v>
      </c>
      <c r="X713">
        <v>30.2</v>
      </c>
      <c r="Y713">
        <v>1.84</v>
      </c>
      <c r="Z713">
        <v>71.65000000000001</v>
      </c>
      <c r="AA713">
        <v>2177.42</v>
      </c>
      <c r="AB713">
        <v>1147.54</v>
      </c>
      <c r="AC713">
        <v>203.42</v>
      </c>
      <c r="AD713">
        <v>110</v>
      </c>
      <c r="AE713">
        <v>207.27</v>
      </c>
      <c r="AF713">
        <v>3845.65</v>
      </c>
      <c r="AG713">
        <v>4530.26</v>
      </c>
      <c r="AH713">
        <v>37.13</v>
      </c>
    </row>
    <row r="714" spans="1:34">
      <c r="A714" t="s">
        <v>1142</v>
      </c>
      <c r="B714" t="s">
        <v>262</v>
      </c>
      <c r="C714" t="b">
        <v>1</v>
      </c>
      <c r="D714" t="b">
        <v>0</v>
      </c>
      <c r="E714" t="s">
        <v>80</v>
      </c>
      <c r="F714" t="s">
        <v>82</v>
      </c>
      <c r="G714" t="s">
        <v>81</v>
      </c>
      <c r="H714">
        <v>16.6</v>
      </c>
      <c r="I714">
        <v>16</v>
      </c>
      <c r="J714">
        <v>284</v>
      </c>
      <c r="K714">
        <v>10642.51</v>
      </c>
      <c r="L714">
        <v>283.47</v>
      </c>
      <c r="M714">
        <v>73.92</v>
      </c>
      <c r="N714">
        <v>10285.12</v>
      </c>
      <c r="O714">
        <v>3090.68</v>
      </c>
      <c r="P714">
        <v>7194.44</v>
      </c>
      <c r="Q714">
        <v>81.01000000000001</v>
      </c>
      <c r="R714">
        <v>265.58</v>
      </c>
      <c r="S714">
        <v>608</v>
      </c>
      <c r="T714">
        <v>181</v>
      </c>
      <c r="U714">
        <v>9</v>
      </c>
      <c r="V714">
        <v>103</v>
      </c>
      <c r="W714">
        <v>32</v>
      </c>
      <c r="X714">
        <v>36.22</v>
      </c>
      <c r="Y714">
        <v>2.14</v>
      </c>
      <c r="Z714">
        <v>69.95</v>
      </c>
      <c r="AA714">
        <v>2177.42</v>
      </c>
      <c r="AB714">
        <v>1147.54</v>
      </c>
      <c r="AC714">
        <v>198.99</v>
      </c>
      <c r="AD714">
        <v>110</v>
      </c>
      <c r="AE714">
        <v>187.52</v>
      </c>
      <c r="AF714">
        <v>3821.47</v>
      </c>
      <c r="AG714">
        <v>3026.38</v>
      </c>
      <c r="AH714">
        <v>29.42</v>
      </c>
    </row>
    <row r="715" spans="1:34">
      <c r="A715" t="s">
        <v>1143</v>
      </c>
      <c r="B715" t="s">
        <v>263</v>
      </c>
      <c r="C715" t="b">
        <v>1</v>
      </c>
      <c r="D715" t="b">
        <v>0</v>
      </c>
      <c r="E715" t="s">
        <v>80</v>
      </c>
      <c r="F715" t="s">
        <v>82</v>
      </c>
      <c r="G715" t="s">
        <v>81</v>
      </c>
      <c r="H715">
        <v>16.5</v>
      </c>
      <c r="I715">
        <v>17</v>
      </c>
      <c r="J715">
        <v>276</v>
      </c>
      <c r="K715">
        <v>10818.12</v>
      </c>
      <c r="L715">
        <v>329.54</v>
      </c>
      <c r="M715">
        <v>42.61</v>
      </c>
      <c r="N715">
        <v>10445.97</v>
      </c>
      <c r="O715">
        <v>3281.8</v>
      </c>
      <c r="P715">
        <v>7164.17</v>
      </c>
      <c r="Q715">
        <v>82.73999999999999</v>
      </c>
      <c r="R715">
        <v>463.22</v>
      </c>
      <c r="S715">
        <v>615</v>
      </c>
      <c r="T715">
        <v>207</v>
      </c>
      <c r="U715">
        <v>12</v>
      </c>
      <c r="V715">
        <v>69</v>
      </c>
      <c r="W715">
        <v>43</v>
      </c>
      <c r="X715">
        <v>37.85</v>
      </c>
      <c r="Y715">
        <v>2.23</v>
      </c>
      <c r="Z715">
        <v>68.58</v>
      </c>
      <c r="AA715">
        <v>2177.42</v>
      </c>
      <c r="AB715">
        <v>1147.54</v>
      </c>
      <c r="AC715">
        <v>237.11</v>
      </c>
      <c r="AD715">
        <v>110</v>
      </c>
      <c r="AE715">
        <v>222.05</v>
      </c>
      <c r="AF715">
        <v>3894.12</v>
      </c>
      <c r="AG715">
        <v>2724.09</v>
      </c>
      <c r="AH715">
        <v>26.08</v>
      </c>
    </row>
    <row r="716" spans="1:34">
      <c r="A716" t="s">
        <v>467</v>
      </c>
      <c r="B716" t="s">
        <v>75</v>
      </c>
      <c r="C716" t="b">
        <v>0</v>
      </c>
      <c r="D716" t="b">
        <v>0</v>
      </c>
      <c r="E716" t="s">
        <v>80</v>
      </c>
      <c r="F716" t="s">
        <v>82</v>
      </c>
      <c r="G716" t="s">
        <v>81</v>
      </c>
      <c r="H716">
        <v>13.7</v>
      </c>
      <c r="I716">
        <v>18</v>
      </c>
      <c r="J716">
        <v>234</v>
      </c>
      <c r="K716">
        <v>6988.6</v>
      </c>
      <c r="L716">
        <v>244.32</v>
      </c>
      <c r="M716">
        <v>20.87</v>
      </c>
      <c r="N716">
        <v>6723.41</v>
      </c>
      <c r="O716">
        <v>2090.43</v>
      </c>
      <c r="P716">
        <v>4632.98</v>
      </c>
      <c r="Q716">
        <v>46.41</v>
      </c>
      <c r="R716">
        <v>377.88</v>
      </c>
      <c r="S716">
        <v>408</v>
      </c>
      <c r="T716">
        <v>160</v>
      </c>
      <c r="U716">
        <v>9</v>
      </c>
      <c r="V716">
        <v>74</v>
      </c>
      <c r="W716">
        <v>42</v>
      </c>
      <c r="X716">
        <v>28.73</v>
      </c>
      <c r="Y716">
        <v>1.74</v>
      </c>
      <c r="Z716">
        <v>68.91</v>
      </c>
      <c r="AA716">
        <v>2177.42</v>
      </c>
      <c r="AB716">
        <v>1147.54</v>
      </c>
      <c r="AC716">
        <v>168.16</v>
      </c>
      <c r="AD716">
        <v>110</v>
      </c>
      <c r="AE716">
        <v>160.12</v>
      </c>
      <c r="AF716">
        <v>3763.24</v>
      </c>
      <c r="AG716">
        <v>445.45</v>
      </c>
      <c r="AH716">
        <v>6.63</v>
      </c>
    </row>
    <row r="717" spans="1:34">
      <c r="A717" t="s">
        <v>1144</v>
      </c>
      <c r="B717" t="s">
        <v>258</v>
      </c>
      <c r="C717" t="b">
        <v>0</v>
      </c>
      <c r="D717" t="b">
        <v>0</v>
      </c>
      <c r="E717" t="s">
        <v>80</v>
      </c>
      <c r="F717" t="s">
        <v>82</v>
      </c>
      <c r="G717" t="s">
        <v>81</v>
      </c>
      <c r="H717">
        <v>16.6</v>
      </c>
      <c r="I717">
        <v>19</v>
      </c>
      <c r="J717">
        <v>277</v>
      </c>
      <c r="K717">
        <v>8504.139999999999</v>
      </c>
      <c r="L717">
        <v>162.6</v>
      </c>
      <c r="M717">
        <v>49.56</v>
      </c>
      <c r="N717">
        <v>8291.98</v>
      </c>
      <c r="O717">
        <v>2444.22</v>
      </c>
      <c r="P717">
        <v>5847.76</v>
      </c>
      <c r="Q717">
        <v>58.7</v>
      </c>
      <c r="R717">
        <v>369.99</v>
      </c>
      <c r="S717">
        <v>500</v>
      </c>
      <c r="T717">
        <v>194</v>
      </c>
      <c r="U717">
        <v>7</v>
      </c>
      <c r="V717">
        <v>83</v>
      </c>
      <c r="W717">
        <v>43</v>
      </c>
      <c r="X717">
        <v>29.93</v>
      </c>
      <c r="Y717">
        <v>1.81</v>
      </c>
      <c r="Z717">
        <v>70.52</v>
      </c>
      <c r="AA717">
        <v>2177.42</v>
      </c>
      <c r="AB717">
        <v>1147.54</v>
      </c>
      <c r="AC717">
        <v>224.48</v>
      </c>
      <c r="AD717">
        <v>110</v>
      </c>
      <c r="AE717">
        <v>188.27</v>
      </c>
      <c r="AF717">
        <v>3847.71</v>
      </c>
      <c r="AG717">
        <v>1571.36</v>
      </c>
      <c r="AH717">
        <v>18.95</v>
      </c>
    </row>
    <row r="718" spans="1:34">
      <c r="A718" t="s">
        <v>1145</v>
      </c>
      <c r="B718" t="s">
        <v>259</v>
      </c>
      <c r="C718" t="b">
        <v>0</v>
      </c>
      <c r="D718" t="b">
        <v>0</v>
      </c>
      <c r="E718" t="s">
        <v>80</v>
      </c>
      <c r="F718" t="s">
        <v>82</v>
      </c>
      <c r="G718" t="s">
        <v>81</v>
      </c>
      <c r="H718">
        <v>17.9</v>
      </c>
      <c r="I718">
        <v>20</v>
      </c>
      <c r="J718">
        <v>272</v>
      </c>
      <c r="K718">
        <v>9096.370000000001</v>
      </c>
      <c r="L718">
        <v>431.91</v>
      </c>
      <c r="M718">
        <v>26.08</v>
      </c>
      <c r="N718">
        <v>8638.379999999999</v>
      </c>
      <c r="O718">
        <v>2684.89</v>
      </c>
      <c r="P718">
        <v>5953.49</v>
      </c>
      <c r="Q718">
        <v>61.42</v>
      </c>
      <c r="R718">
        <v>264.04</v>
      </c>
      <c r="S718">
        <v>521</v>
      </c>
      <c r="T718">
        <v>181</v>
      </c>
      <c r="U718">
        <v>16</v>
      </c>
      <c r="V718">
        <v>91</v>
      </c>
      <c r="W718">
        <v>29</v>
      </c>
      <c r="X718">
        <v>31.76</v>
      </c>
      <c r="Y718">
        <v>1.92</v>
      </c>
      <c r="Z718">
        <v>68.92</v>
      </c>
      <c r="AA718">
        <v>2177.42</v>
      </c>
      <c r="AB718">
        <v>1147.54</v>
      </c>
      <c r="AC718">
        <v>218.79</v>
      </c>
      <c r="AD718">
        <v>110</v>
      </c>
      <c r="AE718">
        <v>199.01</v>
      </c>
      <c r="AF718">
        <v>3852.76</v>
      </c>
      <c r="AG718">
        <v>1775.27</v>
      </c>
      <c r="AH718">
        <v>20.55</v>
      </c>
    </row>
    <row r="719" spans="1:34">
      <c r="A719" t="s">
        <v>1146</v>
      </c>
      <c r="B719" t="s">
        <v>260</v>
      </c>
      <c r="C719" t="b">
        <v>0</v>
      </c>
      <c r="D719" t="b">
        <v>0</v>
      </c>
      <c r="E719" t="s">
        <v>80</v>
      </c>
      <c r="F719" t="s">
        <v>82</v>
      </c>
      <c r="G719" t="s">
        <v>81</v>
      </c>
      <c r="H719">
        <v>20.8</v>
      </c>
      <c r="I719">
        <v>21</v>
      </c>
      <c r="J719">
        <v>321</v>
      </c>
      <c r="K719">
        <v>9660.76</v>
      </c>
      <c r="L719">
        <v>332.15</v>
      </c>
      <c r="M719">
        <v>21.74</v>
      </c>
      <c r="N719">
        <v>9306.870000000001</v>
      </c>
      <c r="O719">
        <v>2873.65</v>
      </c>
      <c r="P719">
        <v>6433.22</v>
      </c>
      <c r="Q719">
        <v>75.92</v>
      </c>
      <c r="R719">
        <v>288.87</v>
      </c>
      <c r="S719">
        <v>551</v>
      </c>
      <c r="T719">
        <v>218</v>
      </c>
      <c r="U719">
        <v>10</v>
      </c>
      <c r="V719">
        <v>103</v>
      </c>
      <c r="W719">
        <v>29</v>
      </c>
      <c r="X719">
        <v>28.99</v>
      </c>
      <c r="Y719">
        <v>1.72</v>
      </c>
      <c r="Z719">
        <v>69.12</v>
      </c>
      <c r="AA719">
        <v>2177.42</v>
      </c>
      <c r="AB719">
        <v>1147.54</v>
      </c>
      <c r="AC719">
        <v>210.31</v>
      </c>
      <c r="AD719">
        <v>110</v>
      </c>
      <c r="AE719">
        <v>212.42</v>
      </c>
      <c r="AF719">
        <v>3857.69</v>
      </c>
      <c r="AG719">
        <v>2210.74</v>
      </c>
      <c r="AH719">
        <v>23.75</v>
      </c>
    </row>
    <row r="720" spans="1:34">
      <c r="A720" t="s">
        <v>1147</v>
      </c>
      <c r="B720" t="s">
        <v>261</v>
      </c>
      <c r="C720" t="b">
        <v>0</v>
      </c>
      <c r="D720" t="b">
        <v>0</v>
      </c>
      <c r="E720" t="s">
        <v>80</v>
      </c>
      <c r="F720" t="s">
        <v>82</v>
      </c>
      <c r="G720" t="s">
        <v>81</v>
      </c>
      <c r="H720">
        <v>19.5</v>
      </c>
      <c r="I720">
        <v>22</v>
      </c>
      <c r="J720">
        <v>347</v>
      </c>
      <c r="K720">
        <v>10978.07</v>
      </c>
      <c r="L720">
        <v>280.86</v>
      </c>
      <c r="M720">
        <v>62.61</v>
      </c>
      <c r="N720">
        <v>10634.6</v>
      </c>
      <c r="O720">
        <v>3169.36</v>
      </c>
      <c r="P720">
        <v>7465.24</v>
      </c>
      <c r="Q720">
        <v>85.75</v>
      </c>
      <c r="R720">
        <v>323</v>
      </c>
      <c r="S720">
        <v>629</v>
      </c>
      <c r="T720">
        <v>245</v>
      </c>
      <c r="U720">
        <v>17</v>
      </c>
      <c r="V720">
        <v>102</v>
      </c>
      <c r="W720">
        <v>42</v>
      </c>
      <c r="X720">
        <v>30.65</v>
      </c>
      <c r="Y720">
        <v>1.81</v>
      </c>
      <c r="Z720">
        <v>70.2</v>
      </c>
      <c r="AA720">
        <v>2177.42</v>
      </c>
      <c r="AB720">
        <v>1147.54</v>
      </c>
      <c r="AC720">
        <v>214.35</v>
      </c>
      <c r="AD720">
        <v>110</v>
      </c>
      <c r="AE720">
        <v>244.96</v>
      </c>
      <c r="AF720">
        <v>3894.27</v>
      </c>
      <c r="AG720">
        <v>3162.22</v>
      </c>
      <c r="AH720">
        <v>29.74</v>
      </c>
    </row>
    <row r="721" spans="1:34">
      <c r="A721" t="s">
        <v>1148</v>
      </c>
      <c r="B721" t="s">
        <v>262</v>
      </c>
      <c r="C721" t="b">
        <v>1</v>
      </c>
      <c r="D721" t="b">
        <v>0</v>
      </c>
      <c r="E721" t="s">
        <v>80</v>
      </c>
      <c r="F721" t="s">
        <v>82</v>
      </c>
      <c r="G721" t="s">
        <v>81</v>
      </c>
      <c r="H721">
        <v>19.4</v>
      </c>
      <c r="I721">
        <v>23</v>
      </c>
      <c r="J721">
        <v>301</v>
      </c>
      <c r="K721">
        <v>11040.8</v>
      </c>
      <c r="L721">
        <v>286.93</v>
      </c>
      <c r="M721">
        <v>0</v>
      </c>
      <c r="N721">
        <v>10753.87</v>
      </c>
      <c r="O721">
        <v>3155.48</v>
      </c>
      <c r="P721">
        <v>7598.39</v>
      </c>
      <c r="Q721">
        <v>83.17</v>
      </c>
      <c r="R721">
        <v>408.66</v>
      </c>
      <c r="S721">
        <v>641</v>
      </c>
      <c r="T721">
        <v>213</v>
      </c>
      <c r="U721">
        <v>15</v>
      </c>
      <c r="V721">
        <v>88</v>
      </c>
      <c r="W721">
        <v>46</v>
      </c>
      <c r="X721">
        <v>35.73</v>
      </c>
      <c r="Y721">
        <v>2.13</v>
      </c>
      <c r="Z721">
        <v>70.66</v>
      </c>
      <c r="AA721">
        <v>2177.42</v>
      </c>
      <c r="AB721">
        <v>1147.54</v>
      </c>
      <c r="AC721">
        <v>230.96</v>
      </c>
      <c r="AD721">
        <v>110</v>
      </c>
      <c r="AE721">
        <v>188.67</v>
      </c>
      <c r="AF721">
        <v>3854.59</v>
      </c>
      <c r="AG721">
        <v>3251.97</v>
      </c>
      <c r="AH721">
        <v>30.24</v>
      </c>
    </row>
    <row r="722" spans="1:34">
      <c r="A722" t="s">
        <v>1149</v>
      </c>
      <c r="B722" t="s">
        <v>263</v>
      </c>
      <c r="C722" t="b">
        <v>1</v>
      </c>
      <c r="D722" t="b">
        <v>0</v>
      </c>
      <c r="E722" t="s">
        <v>80</v>
      </c>
      <c r="F722" t="s">
        <v>82</v>
      </c>
      <c r="G722" t="s">
        <v>81</v>
      </c>
      <c r="H722">
        <v>18.6</v>
      </c>
      <c r="I722">
        <v>24</v>
      </c>
      <c r="J722">
        <v>289</v>
      </c>
      <c r="K722">
        <v>9812.879999999999</v>
      </c>
      <c r="L722">
        <v>243.46</v>
      </c>
      <c r="M722">
        <v>43.48</v>
      </c>
      <c r="N722">
        <v>9525.940000000001</v>
      </c>
      <c r="O722">
        <v>2823.67</v>
      </c>
      <c r="P722">
        <v>6702.27</v>
      </c>
      <c r="Q722">
        <v>71.56999999999999</v>
      </c>
      <c r="R722">
        <v>480.64</v>
      </c>
      <c r="S722">
        <v>563</v>
      </c>
      <c r="T722">
        <v>205</v>
      </c>
      <c r="U722">
        <v>16</v>
      </c>
      <c r="V722">
        <v>84</v>
      </c>
      <c r="W722">
        <v>56</v>
      </c>
      <c r="X722">
        <v>32.96</v>
      </c>
      <c r="Y722">
        <v>1.95</v>
      </c>
      <c r="Z722">
        <v>70.36</v>
      </c>
      <c r="AA722">
        <v>2177.42</v>
      </c>
      <c r="AB722">
        <v>1147.54</v>
      </c>
      <c r="AC722">
        <v>220.25</v>
      </c>
      <c r="AD722">
        <v>110</v>
      </c>
      <c r="AE722">
        <v>197.63</v>
      </c>
      <c r="AF722">
        <v>3852.84</v>
      </c>
      <c r="AG722">
        <v>2297.22</v>
      </c>
      <c r="AH722">
        <v>24.12</v>
      </c>
    </row>
    <row r="723" spans="1:34">
      <c r="A723" t="s">
        <v>468</v>
      </c>
      <c r="B723" t="s">
        <v>75</v>
      </c>
      <c r="C723" t="b">
        <v>0</v>
      </c>
      <c r="D723" t="b">
        <v>0</v>
      </c>
      <c r="E723" t="s">
        <v>80</v>
      </c>
      <c r="F723" t="s">
        <v>82</v>
      </c>
      <c r="G723" t="s">
        <v>81</v>
      </c>
      <c r="H723">
        <v>17.1</v>
      </c>
      <c r="I723">
        <v>25</v>
      </c>
      <c r="J723">
        <v>240</v>
      </c>
      <c r="K723">
        <v>7332</v>
      </c>
      <c r="L723">
        <v>293.9</v>
      </c>
      <c r="M723">
        <v>19.13</v>
      </c>
      <c r="N723">
        <v>7018.97</v>
      </c>
      <c r="O723">
        <v>2162.58</v>
      </c>
      <c r="P723">
        <v>4856.39</v>
      </c>
      <c r="Q723">
        <v>52.75</v>
      </c>
      <c r="R723">
        <v>282.18</v>
      </c>
      <c r="S723">
        <v>431</v>
      </c>
      <c r="T723">
        <v>168</v>
      </c>
      <c r="U723">
        <v>8</v>
      </c>
      <c r="V723">
        <v>72</v>
      </c>
      <c r="W723">
        <v>27</v>
      </c>
      <c r="X723">
        <v>29.25</v>
      </c>
      <c r="Y723">
        <v>1.8</v>
      </c>
      <c r="Z723">
        <v>69.19</v>
      </c>
      <c r="AA723">
        <v>2177.42</v>
      </c>
      <c r="AB723">
        <v>1147.54</v>
      </c>
      <c r="AC723">
        <v>194.25</v>
      </c>
      <c r="AD723">
        <v>110</v>
      </c>
      <c r="AE723">
        <v>205.51</v>
      </c>
      <c r="AF723">
        <v>3834.72</v>
      </c>
      <c r="AG723">
        <v>686.74</v>
      </c>
      <c r="AH723">
        <v>9.779999999999999</v>
      </c>
    </row>
    <row r="724" spans="1:34">
      <c r="A724" t="s">
        <v>1150</v>
      </c>
      <c r="B724" t="s">
        <v>258</v>
      </c>
      <c r="C724" t="b">
        <v>0</v>
      </c>
      <c r="D724" t="b">
        <v>0</v>
      </c>
      <c r="E724" t="s">
        <v>80</v>
      </c>
      <c r="F724" t="s">
        <v>82</v>
      </c>
      <c r="G724" t="s">
        <v>81</v>
      </c>
      <c r="H724">
        <v>18.8</v>
      </c>
      <c r="I724">
        <v>26</v>
      </c>
      <c r="J724">
        <v>250</v>
      </c>
      <c r="K724">
        <v>7740.79</v>
      </c>
      <c r="L724">
        <v>268.7</v>
      </c>
      <c r="M724">
        <v>32.18</v>
      </c>
      <c r="N724">
        <v>7439.91</v>
      </c>
      <c r="O724">
        <v>2265.59</v>
      </c>
      <c r="P724">
        <v>5174.32</v>
      </c>
      <c r="Q724">
        <v>60.45</v>
      </c>
      <c r="R724">
        <v>197.86</v>
      </c>
      <c r="S724">
        <v>437</v>
      </c>
      <c r="T724">
        <v>185</v>
      </c>
      <c r="U724">
        <v>8</v>
      </c>
      <c r="V724">
        <v>65</v>
      </c>
      <c r="W724">
        <v>27</v>
      </c>
      <c r="X724">
        <v>29.76</v>
      </c>
      <c r="Y724">
        <v>1.75</v>
      </c>
      <c r="Z724">
        <v>69.55</v>
      </c>
      <c r="AA724">
        <v>2177.42</v>
      </c>
      <c r="AB724">
        <v>1147.54</v>
      </c>
      <c r="AC724">
        <v>211.91</v>
      </c>
      <c r="AD724">
        <v>110</v>
      </c>
      <c r="AE724">
        <v>173.21</v>
      </c>
      <c r="AF724">
        <v>3820.08</v>
      </c>
      <c r="AG724">
        <v>1095.93</v>
      </c>
      <c r="AH724">
        <v>14.73</v>
      </c>
    </row>
    <row r="725" spans="1:34">
      <c r="A725" t="s">
        <v>1151</v>
      </c>
      <c r="B725" t="s">
        <v>259</v>
      </c>
      <c r="C725" t="b">
        <v>0</v>
      </c>
      <c r="D725" t="b">
        <v>0</v>
      </c>
      <c r="E725" t="s">
        <v>80</v>
      </c>
      <c r="F725" t="s">
        <v>82</v>
      </c>
      <c r="G725" t="s">
        <v>81</v>
      </c>
      <c r="H725">
        <v>19.3</v>
      </c>
      <c r="I725">
        <v>27</v>
      </c>
      <c r="J725">
        <v>284</v>
      </c>
      <c r="K725">
        <v>8125.85</v>
      </c>
      <c r="L725">
        <v>312.17</v>
      </c>
      <c r="M725">
        <v>27.83</v>
      </c>
      <c r="N725">
        <v>7785.85</v>
      </c>
      <c r="O725">
        <v>2350.56</v>
      </c>
      <c r="P725">
        <v>5435.29</v>
      </c>
      <c r="Q725">
        <v>63.59</v>
      </c>
      <c r="R725">
        <v>228.81</v>
      </c>
      <c r="S725">
        <v>469</v>
      </c>
      <c r="T725">
        <v>199</v>
      </c>
      <c r="U725">
        <v>6</v>
      </c>
      <c r="V725">
        <v>85</v>
      </c>
      <c r="W725">
        <v>30</v>
      </c>
      <c r="X725">
        <v>27.41</v>
      </c>
      <c r="Y725">
        <v>1.65</v>
      </c>
      <c r="Z725">
        <v>69.81</v>
      </c>
      <c r="AA725">
        <v>2177.42</v>
      </c>
      <c r="AB725">
        <v>1147.54</v>
      </c>
      <c r="AC725">
        <v>237.23</v>
      </c>
      <c r="AD725">
        <v>110</v>
      </c>
      <c r="AE725">
        <v>170.83</v>
      </c>
      <c r="AF725">
        <v>3843.02</v>
      </c>
      <c r="AG725">
        <v>1299.87</v>
      </c>
      <c r="AH725">
        <v>16.7</v>
      </c>
    </row>
    <row r="726" spans="1:34">
      <c r="A726" t="s">
        <v>1152</v>
      </c>
      <c r="B726" t="s">
        <v>260</v>
      </c>
      <c r="C726" t="b">
        <v>0</v>
      </c>
      <c r="D726" t="b">
        <v>0</v>
      </c>
      <c r="E726" t="s">
        <v>80</v>
      </c>
      <c r="F726" t="s">
        <v>82</v>
      </c>
      <c r="G726" t="s">
        <v>81</v>
      </c>
      <c r="H726">
        <v>18.6</v>
      </c>
      <c r="I726">
        <v>28</v>
      </c>
      <c r="J726">
        <v>269</v>
      </c>
      <c r="K726">
        <v>7890.21</v>
      </c>
      <c r="L726">
        <v>362.59</v>
      </c>
      <c r="M726">
        <v>12.17</v>
      </c>
      <c r="N726">
        <v>7515.45</v>
      </c>
      <c r="O726">
        <v>2278.76</v>
      </c>
      <c r="P726">
        <v>5236.69</v>
      </c>
      <c r="Q726">
        <v>52.55</v>
      </c>
      <c r="R726">
        <v>352.19</v>
      </c>
      <c r="S726">
        <v>470</v>
      </c>
      <c r="T726">
        <v>192</v>
      </c>
      <c r="U726">
        <v>3</v>
      </c>
      <c r="V726">
        <v>77</v>
      </c>
      <c r="W726">
        <v>37</v>
      </c>
      <c r="X726">
        <v>27.94</v>
      </c>
      <c r="Y726">
        <v>1.75</v>
      </c>
      <c r="Z726">
        <v>69.68000000000001</v>
      </c>
      <c r="AA726">
        <v>2177.42</v>
      </c>
      <c r="AB726">
        <v>1147.54</v>
      </c>
      <c r="AC726">
        <v>183.13</v>
      </c>
      <c r="AD726">
        <v>110</v>
      </c>
      <c r="AE726">
        <v>228.3</v>
      </c>
      <c r="AF726">
        <v>3846.39</v>
      </c>
      <c r="AG726">
        <v>985.5599999999999</v>
      </c>
      <c r="AH726">
        <v>13.11</v>
      </c>
    </row>
    <row r="727" spans="1:34">
      <c r="A727" t="s">
        <v>1153</v>
      </c>
      <c r="B727" t="s">
        <v>261</v>
      </c>
      <c r="C727" t="b">
        <v>0</v>
      </c>
      <c r="D727" t="b">
        <v>0</v>
      </c>
      <c r="E727" t="s">
        <v>80</v>
      </c>
      <c r="F727" t="s">
        <v>82</v>
      </c>
      <c r="G727" t="s">
        <v>1477</v>
      </c>
      <c r="H727">
        <v>15.6</v>
      </c>
      <c r="I727">
        <v>0</v>
      </c>
      <c r="J727">
        <v>346</v>
      </c>
      <c r="K727">
        <v>11522.46</v>
      </c>
      <c r="L727">
        <v>353.9</v>
      </c>
      <c r="M727">
        <v>17.39</v>
      </c>
      <c r="N727">
        <v>11151.17</v>
      </c>
      <c r="O727">
        <v>3346.18</v>
      </c>
      <c r="P727">
        <v>7804.99</v>
      </c>
      <c r="Q727">
        <v>94.26000000000001</v>
      </c>
      <c r="R727">
        <v>413.09</v>
      </c>
      <c r="S727">
        <v>675</v>
      </c>
      <c r="T727">
        <v>252</v>
      </c>
      <c r="U727">
        <v>16</v>
      </c>
      <c r="V727">
        <v>94</v>
      </c>
      <c r="W727">
        <v>48</v>
      </c>
      <c r="X727">
        <v>32.23</v>
      </c>
      <c r="Y727">
        <v>1.95</v>
      </c>
      <c r="Z727">
        <v>69.98999999999999</v>
      </c>
      <c r="AA727">
        <v>2177.42</v>
      </c>
      <c r="AB727">
        <v>1147.54</v>
      </c>
      <c r="AC727">
        <v>232.08</v>
      </c>
      <c r="AD727">
        <v>110</v>
      </c>
      <c r="AE727">
        <v>178.52</v>
      </c>
      <c r="AF727">
        <v>3845.56</v>
      </c>
      <c r="AG727">
        <v>3452.08</v>
      </c>
      <c r="AH727">
        <v>30.96</v>
      </c>
    </row>
    <row r="728" spans="1:34">
      <c r="A728" t="s">
        <v>1154</v>
      </c>
      <c r="B728" t="s">
        <v>262</v>
      </c>
      <c r="C728" t="b">
        <v>1</v>
      </c>
      <c r="D728" t="b">
        <v>0</v>
      </c>
      <c r="E728" t="s">
        <v>80</v>
      </c>
      <c r="F728" t="s">
        <v>82</v>
      </c>
      <c r="G728" t="s">
        <v>1477</v>
      </c>
      <c r="H728">
        <v>14.8</v>
      </c>
      <c r="I728">
        <v>1</v>
      </c>
      <c r="J728">
        <v>331</v>
      </c>
      <c r="K728">
        <v>13645.89</v>
      </c>
      <c r="L728">
        <v>454.74</v>
      </c>
      <c r="M728">
        <v>0</v>
      </c>
      <c r="N728">
        <v>13191.15</v>
      </c>
      <c r="O728">
        <v>3925.94</v>
      </c>
      <c r="P728">
        <v>9265.209999999999</v>
      </c>
      <c r="Q728">
        <v>101.66</v>
      </c>
      <c r="R728">
        <v>532.86</v>
      </c>
      <c r="S728">
        <v>781</v>
      </c>
      <c r="T728">
        <v>237</v>
      </c>
      <c r="U728">
        <v>13</v>
      </c>
      <c r="V728">
        <v>94</v>
      </c>
      <c r="W728">
        <v>50</v>
      </c>
      <c r="X728">
        <v>39.85</v>
      </c>
      <c r="Y728">
        <v>2.36</v>
      </c>
      <c r="Z728">
        <v>70.23999999999999</v>
      </c>
      <c r="AA728">
        <v>2177.42</v>
      </c>
      <c r="AB728">
        <v>1147.54</v>
      </c>
      <c r="AC728">
        <v>193.69</v>
      </c>
      <c r="AD728">
        <v>110</v>
      </c>
      <c r="AE728">
        <v>195.11</v>
      </c>
      <c r="AF728">
        <v>3823.76</v>
      </c>
      <c r="AG728">
        <v>4806.93</v>
      </c>
      <c r="AH728">
        <v>36.44</v>
      </c>
    </row>
    <row r="729" spans="1:34">
      <c r="A729" t="s">
        <v>1155</v>
      </c>
      <c r="B729" t="s">
        <v>263</v>
      </c>
      <c r="C729" t="b">
        <v>1</v>
      </c>
      <c r="D729" t="b">
        <v>0</v>
      </c>
      <c r="E729" t="s">
        <v>80</v>
      </c>
      <c r="F729" t="s">
        <v>82</v>
      </c>
      <c r="G729" t="s">
        <v>1477</v>
      </c>
      <c r="H729">
        <v>13.2</v>
      </c>
      <c r="I729">
        <v>2</v>
      </c>
      <c r="J729">
        <v>257</v>
      </c>
      <c r="K729">
        <v>9815.6</v>
      </c>
      <c r="L729">
        <v>226.08</v>
      </c>
      <c r="M729">
        <v>0</v>
      </c>
      <c r="N729">
        <v>9589.52</v>
      </c>
      <c r="O729">
        <v>2845.45</v>
      </c>
      <c r="P729">
        <v>6744.07</v>
      </c>
      <c r="Q729">
        <v>75.38</v>
      </c>
      <c r="R729">
        <v>348.58</v>
      </c>
      <c r="S729">
        <v>579</v>
      </c>
      <c r="T729">
        <v>183</v>
      </c>
      <c r="U729">
        <v>9</v>
      </c>
      <c r="V729">
        <v>74</v>
      </c>
      <c r="W729">
        <v>36</v>
      </c>
      <c r="X729">
        <v>37.31</v>
      </c>
      <c r="Y729">
        <v>2.25</v>
      </c>
      <c r="Z729">
        <v>70.33</v>
      </c>
      <c r="AA729">
        <v>2177.42</v>
      </c>
      <c r="AB729">
        <v>1147.54</v>
      </c>
      <c r="AC729">
        <v>214.59</v>
      </c>
      <c r="AD729">
        <v>110</v>
      </c>
      <c r="AE729">
        <v>207.67</v>
      </c>
      <c r="AF729">
        <v>3857.22</v>
      </c>
      <c r="AG729">
        <v>2462.89</v>
      </c>
      <c r="AH729">
        <v>25.68</v>
      </c>
    </row>
    <row r="730" spans="1:34">
      <c r="A730" t="s">
        <v>469</v>
      </c>
      <c r="B730" t="s">
        <v>75</v>
      </c>
      <c r="C730" t="b">
        <v>0</v>
      </c>
      <c r="D730" t="b">
        <v>0</v>
      </c>
      <c r="E730" t="s">
        <v>80</v>
      </c>
      <c r="F730" t="s">
        <v>82</v>
      </c>
      <c r="G730" t="s">
        <v>1477</v>
      </c>
      <c r="H730">
        <v>11.2</v>
      </c>
      <c r="I730">
        <v>3</v>
      </c>
      <c r="J730">
        <v>286</v>
      </c>
      <c r="K730">
        <v>8114.57</v>
      </c>
      <c r="L730">
        <v>375.62</v>
      </c>
      <c r="M730">
        <v>38.26</v>
      </c>
      <c r="N730">
        <v>7700.69</v>
      </c>
      <c r="O730">
        <v>2294.95</v>
      </c>
      <c r="P730">
        <v>5405.74</v>
      </c>
      <c r="Q730">
        <v>63.53</v>
      </c>
      <c r="R730">
        <v>209.89</v>
      </c>
      <c r="S730">
        <v>482</v>
      </c>
      <c r="T730">
        <v>202</v>
      </c>
      <c r="U730">
        <v>10</v>
      </c>
      <c r="V730">
        <v>84</v>
      </c>
      <c r="W730">
        <v>25</v>
      </c>
      <c r="X730">
        <v>26.93</v>
      </c>
      <c r="Y730">
        <v>1.69</v>
      </c>
      <c r="Z730">
        <v>70.2</v>
      </c>
      <c r="AA730">
        <v>2177.42</v>
      </c>
      <c r="AB730">
        <v>1147.54</v>
      </c>
      <c r="AC730">
        <v>210.79</v>
      </c>
      <c r="AD730">
        <v>110</v>
      </c>
      <c r="AE730">
        <v>191.73</v>
      </c>
      <c r="AF730">
        <v>3837.48</v>
      </c>
      <c r="AG730">
        <v>1294.84</v>
      </c>
      <c r="AH730">
        <v>16.81</v>
      </c>
    </row>
    <row r="731" spans="1:34">
      <c r="A731" t="s">
        <v>1156</v>
      </c>
      <c r="B731" t="s">
        <v>258</v>
      </c>
      <c r="C731" t="b">
        <v>0</v>
      </c>
      <c r="D731" t="b">
        <v>0</v>
      </c>
      <c r="E731" t="s">
        <v>80</v>
      </c>
      <c r="F731" t="s">
        <v>82</v>
      </c>
      <c r="G731" t="s">
        <v>1477</v>
      </c>
      <c r="H731">
        <v>12</v>
      </c>
      <c r="I731">
        <v>4</v>
      </c>
      <c r="J731">
        <v>236</v>
      </c>
      <c r="K731">
        <v>7288.52</v>
      </c>
      <c r="L731">
        <v>199.11</v>
      </c>
      <c r="M731">
        <v>39.13</v>
      </c>
      <c r="N731">
        <v>7050.28</v>
      </c>
      <c r="O731">
        <v>2161.77</v>
      </c>
      <c r="P731">
        <v>4888.51</v>
      </c>
      <c r="Q731">
        <v>54.56</v>
      </c>
      <c r="R731">
        <v>241.05</v>
      </c>
      <c r="S731">
        <v>424</v>
      </c>
      <c r="T731">
        <v>167</v>
      </c>
      <c r="U731">
        <v>10</v>
      </c>
      <c r="V731">
        <v>69</v>
      </c>
      <c r="W731">
        <v>27</v>
      </c>
      <c r="X731">
        <v>29.87</v>
      </c>
      <c r="Y731">
        <v>1.8</v>
      </c>
      <c r="Z731">
        <v>69.34</v>
      </c>
      <c r="AA731">
        <v>2177.42</v>
      </c>
      <c r="AB731">
        <v>1147.54</v>
      </c>
      <c r="AC731">
        <v>235.76</v>
      </c>
      <c r="AD731">
        <v>110</v>
      </c>
      <c r="AE731">
        <v>173.78</v>
      </c>
      <c r="AF731">
        <v>3844.5</v>
      </c>
      <c r="AG731">
        <v>748.4</v>
      </c>
      <c r="AH731">
        <v>10.62</v>
      </c>
    </row>
    <row r="732" spans="1:34">
      <c r="A732" t="s">
        <v>1157</v>
      </c>
      <c r="B732" t="s">
        <v>259</v>
      </c>
      <c r="C732" t="b">
        <v>0</v>
      </c>
      <c r="D732" t="b">
        <v>0</v>
      </c>
      <c r="E732" t="s">
        <v>80</v>
      </c>
      <c r="F732" t="s">
        <v>82</v>
      </c>
      <c r="G732" t="s">
        <v>81</v>
      </c>
      <c r="H732">
        <v>13.1</v>
      </c>
      <c r="I732">
        <v>5</v>
      </c>
      <c r="J732">
        <v>273</v>
      </c>
      <c r="K732">
        <v>8476.379999999999</v>
      </c>
      <c r="L732">
        <v>258.24</v>
      </c>
      <c r="M732">
        <v>46.95</v>
      </c>
      <c r="N732">
        <v>8171.19</v>
      </c>
      <c r="O732">
        <v>2474.01</v>
      </c>
      <c r="P732">
        <v>5697.18</v>
      </c>
      <c r="Q732">
        <v>66.03</v>
      </c>
      <c r="R732">
        <v>358.56</v>
      </c>
      <c r="S732">
        <v>497</v>
      </c>
      <c r="T732">
        <v>195</v>
      </c>
      <c r="U732">
        <v>12</v>
      </c>
      <c r="V732">
        <v>78</v>
      </c>
      <c r="W732">
        <v>36</v>
      </c>
      <c r="X732">
        <v>29.93</v>
      </c>
      <c r="Y732">
        <v>1.82</v>
      </c>
      <c r="Z732">
        <v>69.72</v>
      </c>
      <c r="AA732">
        <v>2177.42</v>
      </c>
      <c r="AB732">
        <v>1147.54</v>
      </c>
      <c r="AC732">
        <v>205.53</v>
      </c>
      <c r="AD732">
        <v>110</v>
      </c>
      <c r="AE732">
        <v>178.42</v>
      </c>
      <c r="AF732">
        <v>3818.91</v>
      </c>
      <c r="AG732">
        <v>1453.68</v>
      </c>
      <c r="AH732">
        <v>17.79</v>
      </c>
    </row>
    <row r="733" spans="1:34">
      <c r="A733" t="s">
        <v>1158</v>
      </c>
      <c r="B733" t="s">
        <v>260</v>
      </c>
      <c r="C733" t="b">
        <v>0</v>
      </c>
      <c r="D733" t="b">
        <v>0</v>
      </c>
      <c r="E733" t="s">
        <v>80</v>
      </c>
      <c r="F733" t="s">
        <v>82</v>
      </c>
      <c r="G733" t="s">
        <v>81</v>
      </c>
      <c r="H733">
        <v>13.2</v>
      </c>
      <c r="I733">
        <v>6</v>
      </c>
      <c r="J733">
        <v>263</v>
      </c>
      <c r="K733">
        <v>8080.71</v>
      </c>
      <c r="L733">
        <v>282.59</v>
      </c>
      <c r="M733">
        <v>41.74</v>
      </c>
      <c r="N733">
        <v>7756.38</v>
      </c>
      <c r="O733">
        <v>2346.32</v>
      </c>
      <c r="P733">
        <v>5410.06</v>
      </c>
      <c r="Q733">
        <v>59.11</v>
      </c>
      <c r="R733">
        <v>304.9</v>
      </c>
      <c r="S733">
        <v>474</v>
      </c>
      <c r="T733">
        <v>191</v>
      </c>
      <c r="U733">
        <v>11</v>
      </c>
      <c r="V733">
        <v>72</v>
      </c>
      <c r="W733">
        <v>40</v>
      </c>
      <c r="X733">
        <v>29.49</v>
      </c>
      <c r="Y733">
        <v>1.8</v>
      </c>
      <c r="Z733">
        <v>69.75</v>
      </c>
      <c r="AA733">
        <v>2322.58</v>
      </c>
      <c r="AB733">
        <v>1246.58</v>
      </c>
      <c r="AC733">
        <v>233.26</v>
      </c>
      <c r="AD733">
        <v>110</v>
      </c>
      <c r="AE733">
        <v>186.18</v>
      </c>
      <c r="AF733">
        <v>4098.6</v>
      </c>
      <c r="AG733">
        <v>947.45</v>
      </c>
      <c r="AH733">
        <v>12.22</v>
      </c>
    </row>
    <row r="734" spans="1:34">
      <c r="A734" t="s">
        <v>1159</v>
      </c>
      <c r="B734" t="s">
        <v>261</v>
      </c>
      <c r="C734" t="b">
        <v>0</v>
      </c>
      <c r="D734" t="b">
        <v>0</v>
      </c>
      <c r="E734" t="s">
        <v>80</v>
      </c>
      <c r="F734" t="s">
        <v>82</v>
      </c>
      <c r="G734" t="s">
        <v>81</v>
      </c>
      <c r="H734">
        <v>14.4</v>
      </c>
      <c r="I734">
        <v>7</v>
      </c>
      <c r="J734">
        <v>327</v>
      </c>
      <c r="K734">
        <v>9958.17</v>
      </c>
      <c r="L734">
        <v>463.44</v>
      </c>
      <c r="M734">
        <v>0</v>
      </c>
      <c r="N734">
        <v>9494.73</v>
      </c>
      <c r="O734">
        <v>2941.34</v>
      </c>
      <c r="P734">
        <v>6553.39</v>
      </c>
      <c r="Q734">
        <v>81.16</v>
      </c>
      <c r="R734">
        <v>238.11</v>
      </c>
      <c r="S734">
        <v>573</v>
      </c>
      <c r="T734">
        <v>236</v>
      </c>
      <c r="U734">
        <v>13</v>
      </c>
      <c r="V734">
        <v>91</v>
      </c>
      <c r="W734">
        <v>29</v>
      </c>
      <c r="X734">
        <v>29.04</v>
      </c>
      <c r="Y734">
        <v>1.75</v>
      </c>
      <c r="Z734">
        <v>69.02</v>
      </c>
      <c r="AA734">
        <v>2322.58</v>
      </c>
      <c r="AB734">
        <v>1246.58</v>
      </c>
      <c r="AC734">
        <v>221.78</v>
      </c>
      <c r="AD734">
        <v>110</v>
      </c>
      <c r="AE734">
        <v>202.89</v>
      </c>
      <c r="AF734">
        <v>4103.83</v>
      </c>
      <c r="AG734">
        <v>2130.29</v>
      </c>
      <c r="AH734">
        <v>22.44</v>
      </c>
    </row>
    <row r="735" spans="1:34">
      <c r="A735" t="s">
        <v>1160</v>
      </c>
      <c r="B735" t="s">
        <v>262</v>
      </c>
      <c r="C735" t="b">
        <v>1</v>
      </c>
      <c r="D735" t="b">
        <v>0</v>
      </c>
      <c r="E735" t="s">
        <v>80</v>
      </c>
      <c r="F735" t="s">
        <v>82</v>
      </c>
      <c r="G735" t="s">
        <v>81</v>
      </c>
      <c r="H735">
        <v>15.7</v>
      </c>
      <c r="I735">
        <v>8</v>
      </c>
      <c r="J735">
        <v>250</v>
      </c>
      <c r="K735">
        <v>9786.92</v>
      </c>
      <c r="L735">
        <v>341.75</v>
      </c>
      <c r="M735">
        <v>0</v>
      </c>
      <c r="N735">
        <v>9445.17</v>
      </c>
      <c r="O735">
        <v>2776.52</v>
      </c>
      <c r="P735">
        <v>6668.65</v>
      </c>
      <c r="Q735">
        <v>76.64</v>
      </c>
      <c r="R735">
        <v>283.19</v>
      </c>
      <c r="S735">
        <v>554</v>
      </c>
      <c r="T735">
        <v>177</v>
      </c>
      <c r="U735">
        <v>17</v>
      </c>
      <c r="V735">
        <v>73</v>
      </c>
      <c r="W735">
        <v>29</v>
      </c>
      <c r="X735">
        <v>37.78</v>
      </c>
      <c r="Y735">
        <v>2.22</v>
      </c>
      <c r="Z735">
        <v>70.59999999999999</v>
      </c>
      <c r="AA735">
        <v>2322.58</v>
      </c>
      <c r="AB735">
        <v>1246.58</v>
      </c>
      <c r="AC735">
        <v>229.67</v>
      </c>
      <c r="AD735">
        <v>110</v>
      </c>
      <c r="AE735">
        <v>171.14</v>
      </c>
      <c r="AF735">
        <v>4079.97</v>
      </c>
      <c r="AG735">
        <v>2228.85</v>
      </c>
      <c r="AH735">
        <v>23.6</v>
      </c>
    </row>
    <row r="736" spans="1:34">
      <c r="A736" t="s">
        <v>1161</v>
      </c>
      <c r="B736" t="s">
        <v>263</v>
      </c>
      <c r="C736" t="b">
        <v>1</v>
      </c>
      <c r="D736" t="b">
        <v>0</v>
      </c>
      <c r="E736" t="s">
        <v>80</v>
      </c>
      <c r="F736" t="s">
        <v>82</v>
      </c>
      <c r="G736" t="s">
        <v>81</v>
      </c>
      <c r="H736">
        <v>14.9</v>
      </c>
      <c r="I736">
        <v>9</v>
      </c>
      <c r="J736">
        <v>237</v>
      </c>
      <c r="K736">
        <v>8659.059999999999</v>
      </c>
      <c r="L736">
        <v>257.37</v>
      </c>
      <c r="M736">
        <v>40</v>
      </c>
      <c r="N736">
        <v>8361.690000000001</v>
      </c>
      <c r="O736">
        <v>2541.69</v>
      </c>
      <c r="P736">
        <v>5820</v>
      </c>
      <c r="Q736">
        <v>60.62</v>
      </c>
      <c r="R736">
        <v>384.06</v>
      </c>
      <c r="S736">
        <v>496</v>
      </c>
      <c r="T736">
        <v>171</v>
      </c>
      <c r="U736">
        <v>12</v>
      </c>
      <c r="V736">
        <v>66</v>
      </c>
      <c r="W736">
        <v>43</v>
      </c>
      <c r="X736">
        <v>35.28</v>
      </c>
      <c r="Y736">
        <v>2.09</v>
      </c>
      <c r="Z736">
        <v>69.59999999999999</v>
      </c>
      <c r="AA736">
        <v>2322.58</v>
      </c>
      <c r="AB736">
        <v>1246.58</v>
      </c>
      <c r="AC736">
        <v>209.18</v>
      </c>
      <c r="AD736">
        <v>110</v>
      </c>
      <c r="AE736">
        <v>197.87</v>
      </c>
      <c r="AF736">
        <v>4086.21</v>
      </c>
      <c r="AG736">
        <v>1289.11</v>
      </c>
      <c r="AH736">
        <v>15.42</v>
      </c>
    </row>
    <row r="737" spans="1:34">
      <c r="A737" t="s">
        <v>470</v>
      </c>
      <c r="B737" t="s">
        <v>75</v>
      </c>
      <c r="C737" t="b">
        <v>0</v>
      </c>
      <c r="D737" t="b">
        <v>0</v>
      </c>
      <c r="E737" t="s">
        <v>80</v>
      </c>
      <c r="F737" t="s">
        <v>82</v>
      </c>
      <c r="G737" t="s">
        <v>81</v>
      </c>
      <c r="H737">
        <v>14.9</v>
      </c>
      <c r="I737">
        <v>10</v>
      </c>
      <c r="J737">
        <v>281</v>
      </c>
      <c r="K737">
        <v>7993.69</v>
      </c>
      <c r="L737">
        <v>386.07</v>
      </c>
      <c r="M737">
        <v>0</v>
      </c>
      <c r="N737">
        <v>7607.62</v>
      </c>
      <c r="O737">
        <v>2362.64</v>
      </c>
      <c r="P737">
        <v>5244.98</v>
      </c>
      <c r="Q737">
        <v>62.37</v>
      </c>
      <c r="R737">
        <v>237.9</v>
      </c>
      <c r="S737">
        <v>449</v>
      </c>
      <c r="T737">
        <v>214</v>
      </c>
      <c r="U737">
        <v>8</v>
      </c>
      <c r="V737">
        <v>67</v>
      </c>
      <c r="W737">
        <v>29</v>
      </c>
      <c r="X737">
        <v>27.07</v>
      </c>
      <c r="Y737">
        <v>1.6</v>
      </c>
      <c r="Z737">
        <v>68.94</v>
      </c>
      <c r="AA737">
        <v>2322.58</v>
      </c>
      <c r="AB737">
        <v>1246.58</v>
      </c>
      <c r="AC737">
        <v>218.6</v>
      </c>
      <c r="AD737">
        <v>110</v>
      </c>
      <c r="AE737">
        <v>164.79</v>
      </c>
      <c r="AF737">
        <v>4062.55</v>
      </c>
      <c r="AG737">
        <v>882.16</v>
      </c>
      <c r="AH737">
        <v>11.6</v>
      </c>
    </row>
    <row r="738" spans="1:34">
      <c r="A738" t="s">
        <v>1162</v>
      </c>
      <c r="B738" t="s">
        <v>258</v>
      </c>
      <c r="C738" t="b">
        <v>0</v>
      </c>
      <c r="D738" t="b">
        <v>0</v>
      </c>
      <c r="E738" t="s">
        <v>80</v>
      </c>
      <c r="F738" t="s">
        <v>82</v>
      </c>
      <c r="G738" t="s">
        <v>1507</v>
      </c>
      <c r="H738">
        <v>11.3</v>
      </c>
      <c r="I738">
        <v>11</v>
      </c>
      <c r="J738">
        <v>248</v>
      </c>
      <c r="K738">
        <v>7415.43</v>
      </c>
      <c r="L738">
        <v>1092.26</v>
      </c>
      <c r="M738">
        <v>28.43</v>
      </c>
      <c r="N738">
        <v>6294.74</v>
      </c>
      <c r="O738">
        <v>2185.11</v>
      </c>
      <c r="P738">
        <v>4109.63</v>
      </c>
      <c r="Q738">
        <v>46.83</v>
      </c>
      <c r="R738">
        <v>299.53</v>
      </c>
      <c r="S738">
        <v>434</v>
      </c>
      <c r="T738">
        <v>176</v>
      </c>
      <c r="U738">
        <v>11</v>
      </c>
      <c r="V738">
        <v>72</v>
      </c>
      <c r="W738">
        <v>43</v>
      </c>
      <c r="X738">
        <v>25.38</v>
      </c>
      <c r="Y738">
        <v>1.75</v>
      </c>
      <c r="Z738">
        <v>65.29000000000001</v>
      </c>
      <c r="AA738">
        <v>2322.58</v>
      </c>
      <c r="AB738">
        <v>1246.58</v>
      </c>
      <c r="AC738">
        <v>216.9</v>
      </c>
      <c r="AD738">
        <v>410</v>
      </c>
      <c r="AE738">
        <v>214.19</v>
      </c>
      <c r="AF738">
        <v>4410.25</v>
      </c>
      <c r="AG738">
        <v>-646.98</v>
      </c>
      <c r="AH738">
        <v>-10.28</v>
      </c>
    </row>
    <row r="739" spans="1:34">
      <c r="A739" t="s">
        <v>1163</v>
      </c>
      <c r="B739" t="s">
        <v>259</v>
      </c>
      <c r="C739" t="b">
        <v>0</v>
      </c>
      <c r="D739" t="b">
        <v>0</v>
      </c>
      <c r="E739" t="s">
        <v>80</v>
      </c>
      <c r="F739" t="s">
        <v>82</v>
      </c>
      <c r="G739" t="s">
        <v>81</v>
      </c>
      <c r="H739">
        <v>14.9</v>
      </c>
      <c r="I739">
        <v>12</v>
      </c>
      <c r="J739">
        <v>277</v>
      </c>
      <c r="K739">
        <v>8740.73</v>
      </c>
      <c r="L739">
        <v>287.8</v>
      </c>
      <c r="M739">
        <v>40</v>
      </c>
      <c r="N739">
        <v>8412.93</v>
      </c>
      <c r="O739">
        <v>2563.55</v>
      </c>
      <c r="P739">
        <v>5849.38</v>
      </c>
      <c r="Q739">
        <v>67.36</v>
      </c>
      <c r="R739">
        <v>290.1</v>
      </c>
      <c r="S739">
        <v>505</v>
      </c>
      <c r="T739">
        <v>217</v>
      </c>
      <c r="U739">
        <v>8</v>
      </c>
      <c r="V739">
        <v>60</v>
      </c>
      <c r="W739">
        <v>36</v>
      </c>
      <c r="X739">
        <v>30.37</v>
      </c>
      <c r="Y739">
        <v>1.82</v>
      </c>
      <c r="Z739">
        <v>69.53</v>
      </c>
      <c r="AA739">
        <v>2322.58</v>
      </c>
      <c r="AB739">
        <v>1246.58</v>
      </c>
      <c r="AC739">
        <v>201.65</v>
      </c>
      <c r="AD739">
        <v>110</v>
      </c>
      <c r="AE739">
        <v>198.45</v>
      </c>
      <c r="AF739">
        <v>4079.26</v>
      </c>
      <c r="AG739">
        <v>1412.66</v>
      </c>
      <c r="AH739">
        <v>16.79</v>
      </c>
    </row>
    <row r="740" spans="1:34">
      <c r="A740" t="s">
        <v>1164</v>
      </c>
      <c r="B740" t="s">
        <v>260</v>
      </c>
      <c r="C740" t="b">
        <v>0</v>
      </c>
      <c r="D740" t="b">
        <v>0</v>
      </c>
      <c r="E740" t="s">
        <v>80</v>
      </c>
      <c r="F740" t="s">
        <v>82</v>
      </c>
      <c r="G740" t="s">
        <v>81</v>
      </c>
      <c r="H740">
        <v>14.5</v>
      </c>
      <c r="I740">
        <v>13</v>
      </c>
      <c r="J740">
        <v>273</v>
      </c>
      <c r="K740">
        <v>9403.370000000001</v>
      </c>
      <c r="L740">
        <v>385.56</v>
      </c>
      <c r="M740">
        <v>20</v>
      </c>
      <c r="N740">
        <v>8997.809999999999</v>
      </c>
      <c r="O740">
        <v>2759.91</v>
      </c>
      <c r="P740">
        <v>6237.9</v>
      </c>
      <c r="Q740">
        <v>66.26000000000001</v>
      </c>
      <c r="R740">
        <v>173.03</v>
      </c>
      <c r="S740">
        <v>556</v>
      </c>
      <c r="T740">
        <v>194</v>
      </c>
      <c r="U740">
        <v>7</v>
      </c>
      <c r="V740">
        <v>79</v>
      </c>
      <c r="W740">
        <v>21</v>
      </c>
      <c r="X740">
        <v>32.96</v>
      </c>
      <c r="Y740">
        <v>2.04</v>
      </c>
      <c r="Z740">
        <v>69.33</v>
      </c>
      <c r="AA740">
        <v>2322.58</v>
      </c>
      <c r="AB740">
        <v>1246.58</v>
      </c>
      <c r="AC740">
        <v>209.05</v>
      </c>
      <c r="AD740">
        <v>110</v>
      </c>
      <c r="AE740">
        <v>192.92</v>
      </c>
      <c r="AF740">
        <v>4081.13</v>
      </c>
      <c r="AG740">
        <v>1917.48</v>
      </c>
      <c r="AH740">
        <v>21.31</v>
      </c>
    </row>
    <row r="741" spans="1:34">
      <c r="A741" t="s">
        <v>1165</v>
      </c>
      <c r="B741" t="s">
        <v>261</v>
      </c>
      <c r="C741" t="b">
        <v>0</v>
      </c>
      <c r="D741" t="b">
        <v>0</v>
      </c>
      <c r="E741" t="s">
        <v>80</v>
      </c>
      <c r="F741" t="s">
        <v>82</v>
      </c>
      <c r="G741" t="s">
        <v>81</v>
      </c>
      <c r="H741">
        <v>13.2</v>
      </c>
      <c r="I741">
        <v>14</v>
      </c>
      <c r="J741">
        <v>357</v>
      </c>
      <c r="K741">
        <v>11494.53</v>
      </c>
      <c r="L741">
        <v>206.09</v>
      </c>
      <c r="M741">
        <v>46.08</v>
      </c>
      <c r="N741">
        <v>11242.36</v>
      </c>
      <c r="O741">
        <v>3307.03</v>
      </c>
      <c r="P741">
        <v>7935.33</v>
      </c>
      <c r="Q741">
        <v>89.18000000000001</v>
      </c>
      <c r="R741">
        <v>333.09</v>
      </c>
      <c r="S741">
        <v>678</v>
      </c>
      <c r="T741">
        <v>240</v>
      </c>
      <c r="U741">
        <v>14</v>
      </c>
      <c r="V741">
        <v>117</v>
      </c>
      <c r="W741">
        <v>40</v>
      </c>
      <c r="X741">
        <v>31.49</v>
      </c>
      <c r="Y741">
        <v>1.9</v>
      </c>
      <c r="Z741">
        <v>70.58</v>
      </c>
      <c r="AA741">
        <v>2322.58</v>
      </c>
      <c r="AB741">
        <v>1246.58</v>
      </c>
      <c r="AC741">
        <v>186.61</v>
      </c>
      <c r="AD741">
        <v>110</v>
      </c>
      <c r="AE741">
        <v>217.88</v>
      </c>
      <c r="AF741">
        <v>4083.65</v>
      </c>
      <c r="AG741">
        <v>3429.41</v>
      </c>
      <c r="AH741">
        <v>30.5</v>
      </c>
    </row>
    <row r="742" spans="1:34">
      <c r="A742" t="s">
        <v>1166</v>
      </c>
      <c r="B742" t="s">
        <v>262</v>
      </c>
      <c r="C742" t="b">
        <v>1</v>
      </c>
      <c r="D742" t="b">
        <v>0</v>
      </c>
      <c r="E742" t="s">
        <v>80</v>
      </c>
      <c r="F742" t="s">
        <v>1475</v>
      </c>
      <c r="G742" t="s">
        <v>81</v>
      </c>
      <c r="H742">
        <v>12.3</v>
      </c>
      <c r="I742">
        <v>15</v>
      </c>
      <c r="J742">
        <v>286</v>
      </c>
      <c r="K742">
        <v>11945.12</v>
      </c>
      <c r="L742">
        <v>251.3</v>
      </c>
      <c r="M742">
        <v>33.91</v>
      </c>
      <c r="N742">
        <v>11659.91</v>
      </c>
      <c r="O742">
        <v>3498.35</v>
      </c>
      <c r="P742">
        <v>8161.56</v>
      </c>
      <c r="Q742">
        <v>90.95</v>
      </c>
      <c r="R742">
        <v>479.32</v>
      </c>
      <c r="S742">
        <v>683</v>
      </c>
      <c r="T742">
        <v>200</v>
      </c>
      <c r="U742">
        <v>17</v>
      </c>
      <c r="V742">
        <v>86</v>
      </c>
      <c r="W742">
        <v>49</v>
      </c>
      <c r="X742">
        <v>40.77</v>
      </c>
      <c r="Y742">
        <v>2.39</v>
      </c>
      <c r="Z742">
        <v>70</v>
      </c>
      <c r="AA742">
        <v>2322.58</v>
      </c>
      <c r="AB742">
        <v>1246.58</v>
      </c>
      <c r="AC742">
        <v>205.61</v>
      </c>
      <c r="AD742">
        <v>110</v>
      </c>
      <c r="AE742">
        <v>172.68</v>
      </c>
      <c r="AF742">
        <v>4057.45</v>
      </c>
      <c r="AG742">
        <v>3533.84</v>
      </c>
      <c r="AH742">
        <v>30.31</v>
      </c>
    </row>
    <row r="743" spans="1:34">
      <c r="A743" t="s">
        <v>1167</v>
      </c>
      <c r="B743" t="s">
        <v>263</v>
      </c>
      <c r="C743" t="b">
        <v>1</v>
      </c>
      <c r="D743" t="b">
        <v>0</v>
      </c>
      <c r="E743" t="s">
        <v>80</v>
      </c>
      <c r="F743" t="s">
        <v>1475</v>
      </c>
      <c r="G743" t="s">
        <v>81</v>
      </c>
      <c r="H743">
        <v>13.3</v>
      </c>
      <c r="I743">
        <v>16</v>
      </c>
      <c r="J743">
        <v>203</v>
      </c>
      <c r="K743">
        <v>8299.1</v>
      </c>
      <c r="L743">
        <v>213.03</v>
      </c>
      <c r="M743">
        <v>42.61</v>
      </c>
      <c r="N743">
        <v>8043.46</v>
      </c>
      <c r="O743">
        <v>2409.44</v>
      </c>
      <c r="P743">
        <v>5634.02</v>
      </c>
      <c r="Q743">
        <v>65.34</v>
      </c>
      <c r="R743">
        <v>225.56</v>
      </c>
      <c r="S743">
        <v>483</v>
      </c>
      <c r="T743">
        <v>142</v>
      </c>
      <c r="U743">
        <v>15</v>
      </c>
      <c r="V743">
        <v>61</v>
      </c>
      <c r="W743">
        <v>23</v>
      </c>
      <c r="X743">
        <v>39.62</v>
      </c>
      <c r="Y743">
        <v>2.38</v>
      </c>
      <c r="Z743">
        <v>70.04000000000001</v>
      </c>
      <c r="AA743">
        <v>2322.58</v>
      </c>
      <c r="AB743">
        <v>1246.58</v>
      </c>
      <c r="AC743">
        <v>223.87</v>
      </c>
      <c r="AD743">
        <v>110</v>
      </c>
      <c r="AE743">
        <v>193.88</v>
      </c>
      <c r="AF743">
        <v>4096.91</v>
      </c>
      <c r="AG743">
        <v>1246.21</v>
      </c>
      <c r="AH743">
        <v>15.49</v>
      </c>
    </row>
    <row r="744" spans="1:34">
      <c r="A744" t="s">
        <v>471</v>
      </c>
      <c r="B744" t="s">
        <v>75</v>
      </c>
      <c r="C744" t="b">
        <v>0</v>
      </c>
      <c r="D744" t="b">
        <v>0</v>
      </c>
      <c r="E744" t="s">
        <v>80</v>
      </c>
      <c r="F744" t="s">
        <v>1475</v>
      </c>
      <c r="G744" t="s">
        <v>81</v>
      </c>
      <c r="H744">
        <v>13.6</v>
      </c>
      <c r="I744">
        <v>17</v>
      </c>
      <c r="J744">
        <v>242</v>
      </c>
      <c r="K744">
        <v>6778.98</v>
      </c>
      <c r="L744">
        <v>184.33</v>
      </c>
      <c r="M744">
        <v>11.3</v>
      </c>
      <c r="N744">
        <v>6583.35</v>
      </c>
      <c r="O744">
        <v>1914.42</v>
      </c>
      <c r="P744">
        <v>4668.93</v>
      </c>
      <c r="Q744">
        <v>48.02</v>
      </c>
      <c r="R744">
        <v>213.44</v>
      </c>
      <c r="S744">
        <v>400</v>
      </c>
      <c r="T744">
        <v>162</v>
      </c>
      <c r="U744">
        <v>13</v>
      </c>
      <c r="V744">
        <v>80</v>
      </c>
      <c r="W744">
        <v>27</v>
      </c>
      <c r="X744">
        <v>27.2</v>
      </c>
      <c r="Y744">
        <v>1.65</v>
      </c>
      <c r="Z744">
        <v>70.92</v>
      </c>
      <c r="AA744">
        <v>2322.58</v>
      </c>
      <c r="AB744">
        <v>1246.58</v>
      </c>
      <c r="AC744">
        <v>203.8</v>
      </c>
      <c r="AD744">
        <v>110</v>
      </c>
      <c r="AE744">
        <v>208.76</v>
      </c>
      <c r="AF744">
        <v>4091.72</v>
      </c>
      <c r="AG744">
        <v>315.75</v>
      </c>
      <c r="AH744">
        <v>4.8</v>
      </c>
    </row>
    <row r="745" spans="1:34">
      <c r="A745" t="s">
        <v>1168</v>
      </c>
      <c r="B745" t="s">
        <v>258</v>
      </c>
      <c r="C745" t="b">
        <v>0</v>
      </c>
      <c r="D745" t="b">
        <v>0</v>
      </c>
      <c r="E745" t="s">
        <v>80</v>
      </c>
      <c r="F745" t="s">
        <v>1475</v>
      </c>
      <c r="G745" t="s">
        <v>1507</v>
      </c>
      <c r="H745">
        <v>14.3</v>
      </c>
      <c r="I745">
        <v>18</v>
      </c>
      <c r="J745">
        <v>266</v>
      </c>
      <c r="K745">
        <v>7561.58</v>
      </c>
      <c r="L745">
        <v>1173.06</v>
      </c>
      <c r="M745">
        <v>28.08</v>
      </c>
      <c r="N745">
        <v>6360.44</v>
      </c>
      <c r="O745">
        <v>2159.08</v>
      </c>
      <c r="P745">
        <v>4201.36</v>
      </c>
      <c r="Q745">
        <v>54.76</v>
      </c>
      <c r="R745">
        <v>161.13</v>
      </c>
      <c r="S745">
        <v>452</v>
      </c>
      <c r="T745">
        <v>182</v>
      </c>
      <c r="U745">
        <v>16</v>
      </c>
      <c r="V745">
        <v>84</v>
      </c>
      <c r="W745">
        <v>26</v>
      </c>
      <c r="X745">
        <v>23.91</v>
      </c>
      <c r="Y745">
        <v>1.7</v>
      </c>
      <c r="Z745">
        <v>66.05</v>
      </c>
      <c r="AA745">
        <v>2322.58</v>
      </c>
      <c r="AB745">
        <v>1246.58</v>
      </c>
      <c r="AC745">
        <v>195.01</v>
      </c>
      <c r="AD745">
        <v>410</v>
      </c>
      <c r="AE745">
        <v>188.38</v>
      </c>
      <c r="AF745">
        <v>4362.55</v>
      </c>
      <c r="AG745">
        <v>-377.08</v>
      </c>
      <c r="AH745">
        <v>-5.93</v>
      </c>
    </row>
    <row r="746" spans="1:34">
      <c r="A746" t="s">
        <v>1169</v>
      </c>
      <c r="B746" t="s">
        <v>259</v>
      </c>
      <c r="C746" t="b">
        <v>0</v>
      </c>
      <c r="D746" t="b">
        <v>0</v>
      </c>
      <c r="E746" t="s">
        <v>80</v>
      </c>
      <c r="F746" t="s">
        <v>1475</v>
      </c>
      <c r="G746" t="s">
        <v>81</v>
      </c>
      <c r="H746">
        <v>14.3</v>
      </c>
      <c r="I746">
        <v>19</v>
      </c>
      <c r="J746">
        <v>254</v>
      </c>
      <c r="K746">
        <v>7530.25</v>
      </c>
      <c r="L746">
        <v>178.25</v>
      </c>
      <c r="M746">
        <v>0</v>
      </c>
      <c r="N746">
        <v>7352</v>
      </c>
      <c r="O746">
        <v>2157.86</v>
      </c>
      <c r="P746">
        <v>5194.14</v>
      </c>
      <c r="Q746">
        <v>59.58</v>
      </c>
      <c r="R746">
        <v>213.93</v>
      </c>
      <c r="S746">
        <v>445</v>
      </c>
      <c r="T746">
        <v>184</v>
      </c>
      <c r="U746">
        <v>10</v>
      </c>
      <c r="V746">
        <v>70</v>
      </c>
      <c r="W746">
        <v>26</v>
      </c>
      <c r="X746">
        <v>28.94</v>
      </c>
      <c r="Y746">
        <v>1.75</v>
      </c>
      <c r="Z746">
        <v>70.65000000000001</v>
      </c>
      <c r="AA746">
        <v>2322.58</v>
      </c>
      <c r="AB746">
        <v>1246.58</v>
      </c>
      <c r="AC746">
        <v>178.33</v>
      </c>
      <c r="AD746">
        <v>110</v>
      </c>
      <c r="AE746">
        <v>161.92</v>
      </c>
      <c r="AF746">
        <v>4019.41</v>
      </c>
      <c r="AG746">
        <v>901.22</v>
      </c>
      <c r="AH746">
        <v>12.26</v>
      </c>
    </row>
    <row r="747" spans="1:34">
      <c r="A747" t="s">
        <v>1170</v>
      </c>
      <c r="B747" t="s">
        <v>260</v>
      </c>
      <c r="C747" t="b">
        <v>0</v>
      </c>
      <c r="D747" t="b">
        <v>0</v>
      </c>
      <c r="E747" t="s">
        <v>80</v>
      </c>
      <c r="F747" t="s">
        <v>1475</v>
      </c>
      <c r="G747" t="s">
        <v>81</v>
      </c>
      <c r="H747">
        <v>16.2</v>
      </c>
      <c r="I747">
        <v>20</v>
      </c>
      <c r="J747">
        <v>211</v>
      </c>
      <c r="K747">
        <v>6596.38</v>
      </c>
      <c r="L747">
        <v>279.11</v>
      </c>
      <c r="M747">
        <v>0</v>
      </c>
      <c r="N747">
        <v>6317.27</v>
      </c>
      <c r="O747">
        <v>1818.81</v>
      </c>
      <c r="P747">
        <v>4498.46</v>
      </c>
      <c r="Q747">
        <v>52.77</v>
      </c>
      <c r="R747">
        <v>208.55</v>
      </c>
      <c r="S747">
        <v>394</v>
      </c>
      <c r="T747">
        <v>147</v>
      </c>
      <c r="U747">
        <v>7</v>
      </c>
      <c r="V747">
        <v>64</v>
      </c>
      <c r="W747">
        <v>29</v>
      </c>
      <c r="X747">
        <v>29.94</v>
      </c>
      <c r="Y747">
        <v>1.87</v>
      </c>
      <c r="Z747">
        <v>71.20999999999999</v>
      </c>
      <c r="AA747">
        <v>2322.58</v>
      </c>
      <c r="AB747">
        <v>1246.58</v>
      </c>
      <c r="AC747">
        <v>207.98</v>
      </c>
      <c r="AD747">
        <v>110</v>
      </c>
      <c r="AE747">
        <v>192.39</v>
      </c>
      <c r="AF747">
        <v>4079.53</v>
      </c>
      <c r="AG747">
        <v>157.61</v>
      </c>
      <c r="AH747">
        <v>2.49</v>
      </c>
    </row>
    <row r="748" spans="1:34">
      <c r="A748" t="s">
        <v>1171</v>
      </c>
      <c r="B748" t="s">
        <v>261</v>
      </c>
      <c r="C748" t="b">
        <v>0</v>
      </c>
      <c r="D748" t="b">
        <v>0</v>
      </c>
      <c r="E748" t="s">
        <v>80</v>
      </c>
      <c r="F748" t="s">
        <v>1475</v>
      </c>
      <c r="G748" t="s">
        <v>81</v>
      </c>
      <c r="H748">
        <v>15.8</v>
      </c>
      <c r="I748">
        <v>21</v>
      </c>
      <c r="J748">
        <v>327</v>
      </c>
      <c r="K748">
        <v>10745.2</v>
      </c>
      <c r="L748">
        <v>229.57</v>
      </c>
      <c r="M748">
        <v>8.699999999999999</v>
      </c>
      <c r="N748">
        <v>10506.93</v>
      </c>
      <c r="O748">
        <v>3127.53</v>
      </c>
      <c r="P748">
        <v>7379.4</v>
      </c>
      <c r="Q748">
        <v>90.45</v>
      </c>
      <c r="R748">
        <v>219.69</v>
      </c>
      <c r="S748">
        <v>622</v>
      </c>
      <c r="T748">
        <v>234</v>
      </c>
      <c r="U748">
        <v>15</v>
      </c>
      <c r="V748">
        <v>93</v>
      </c>
      <c r="W748">
        <v>25</v>
      </c>
      <c r="X748">
        <v>32.13</v>
      </c>
      <c r="Y748">
        <v>1.9</v>
      </c>
      <c r="Z748">
        <v>70.23</v>
      </c>
      <c r="AA748">
        <v>2322.58</v>
      </c>
      <c r="AB748">
        <v>1246.58</v>
      </c>
      <c r="AC748">
        <v>217.59</v>
      </c>
      <c r="AD748">
        <v>110</v>
      </c>
      <c r="AE748">
        <v>196.65</v>
      </c>
      <c r="AF748">
        <v>4093.4</v>
      </c>
      <c r="AG748">
        <v>2975.86</v>
      </c>
      <c r="AH748">
        <v>28.32</v>
      </c>
    </row>
    <row r="749" spans="1:34">
      <c r="A749" t="s">
        <v>1172</v>
      </c>
      <c r="B749" t="s">
        <v>262</v>
      </c>
      <c r="C749" t="b">
        <v>1</v>
      </c>
      <c r="D749" t="b">
        <v>0</v>
      </c>
      <c r="E749" t="s">
        <v>80</v>
      </c>
      <c r="F749" t="s">
        <v>1475</v>
      </c>
      <c r="G749" t="s">
        <v>81</v>
      </c>
      <c r="H749">
        <v>15.9</v>
      </c>
      <c r="I749">
        <v>22</v>
      </c>
      <c r="J749">
        <v>211</v>
      </c>
      <c r="K749">
        <v>8543.360000000001</v>
      </c>
      <c r="L749">
        <v>93.03</v>
      </c>
      <c r="M749">
        <v>50.43</v>
      </c>
      <c r="N749">
        <v>8399.9</v>
      </c>
      <c r="O749">
        <v>2506.07</v>
      </c>
      <c r="P749">
        <v>5893.83</v>
      </c>
      <c r="Q749">
        <v>69.09</v>
      </c>
      <c r="R749">
        <v>309.96</v>
      </c>
      <c r="S749">
        <v>491</v>
      </c>
      <c r="T749">
        <v>146</v>
      </c>
      <c r="U749">
        <v>13</v>
      </c>
      <c r="V749">
        <v>65</v>
      </c>
      <c r="W749">
        <v>37</v>
      </c>
      <c r="X749">
        <v>39.81</v>
      </c>
      <c r="Y749">
        <v>2.33</v>
      </c>
      <c r="Z749">
        <v>70.17</v>
      </c>
      <c r="AA749">
        <v>2322.58</v>
      </c>
      <c r="AB749">
        <v>1246.58</v>
      </c>
      <c r="AC749">
        <v>221.97</v>
      </c>
      <c r="AD749">
        <v>110</v>
      </c>
      <c r="AE749">
        <v>158.31</v>
      </c>
      <c r="AF749">
        <v>4059.44</v>
      </c>
      <c r="AG749">
        <v>1455.34</v>
      </c>
      <c r="AH749">
        <v>17.33</v>
      </c>
    </row>
    <row r="750" spans="1:34">
      <c r="A750" t="s">
        <v>1173</v>
      </c>
      <c r="B750" t="s">
        <v>263</v>
      </c>
      <c r="C750" t="b">
        <v>1</v>
      </c>
      <c r="D750" t="b">
        <v>0</v>
      </c>
      <c r="E750" t="s">
        <v>80</v>
      </c>
      <c r="F750" t="s">
        <v>1475</v>
      </c>
      <c r="G750" t="s">
        <v>81</v>
      </c>
      <c r="H750">
        <v>15.2</v>
      </c>
      <c r="I750">
        <v>23</v>
      </c>
      <c r="J750">
        <v>207</v>
      </c>
      <c r="K750">
        <v>7657.36</v>
      </c>
      <c r="L750">
        <v>285.2</v>
      </c>
      <c r="M750">
        <v>20</v>
      </c>
      <c r="N750">
        <v>7352.16</v>
      </c>
      <c r="O750">
        <v>2257.78</v>
      </c>
      <c r="P750">
        <v>5094.38</v>
      </c>
      <c r="Q750">
        <v>57.46</v>
      </c>
      <c r="R750">
        <v>287.84</v>
      </c>
      <c r="S750">
        <v>447</v>
      </c>
      <c r="T750">
        <v>160</v>
      </c>
      <c r="U750">
        <v>12</v>
      </c>
      <c r="V750">
        <v>47</v>
      </c>
      <c r="W750">
        <v>31</v>
      </c>
      <c r="X750">
        <v>35.52</v>
      </c>
      <c r="Y750">
        <v>2.16</v>
      </c>
      <c r="Z750">
        <v>69.29000000000001</v>
      </c>
      <c r="AA750">
        <v>2322.58</v>
      </c>
      <c r="AB750">
        <v>1246.58</v>
      </c>
      <c r="AC750">
        <v>189.57</v>
      </c>
      <c r="AD750">
        <v>110</v>
      </c>
      <c r="AE750">
        <v>207.84</v>
      </c>
      <c r="AF750">
        <v>4076.57</v>
      </c>
      <c r="AG750">
        <v>672.51</v>
      </c>
      <c r="AH750">
        <v>9.15</v>
      </c>
    </row>
    <row r="751" spans="1:34">
      <c r="A751" t="s">
        <v>472</v>
      </c>
      <c r="B751" t="s">
        <v>75</v>
      </c>
      <c r="C751" t="b">
        <v>0</v>
      </c>
      <c r="D751" t="b">
        <v>0</v>
      </c>
      <c r="E751" t="s">
        <v>80</v>
      </c>
      <c r="F751" t="s">
        <v>82</v>
      </c>
      <c r="G751" t="s">
        <v>81</v>
      </c>
      <c r="H751">
        <v>18.2</v>
      </c>
      <c r="I751">
        <v>24</v>
      </c>
      <c r="J751">
        <v>228</v>
      </c>
      <c r="K751">
        <v>6665.96</v>
      </c>
      <c r="L751">
        <v>247.82</v>
      </c>
      <c r="M751">
        <v>0</v>
      </c>
      <c r="N751">
        <v>6418.14</v>
      </c>
      <c r="O751">
        <v>1968.68</v>
      </c>
      <c r="P751">
        <v>4449.46</v>
      </c>
      <c r="Q751">
        <v>53.4</v>
      </c>
      <c r="R751">
        <v>118.28</v>
      </c>
      <c r="S751">
        <v>392</v>
      </c>
      <c r="T751">
        <v>158</v>
      </c>
      <c r="U751">
        <v>8</v>
      </c>
      <c r="V751">
        <v>70</v>
      </c>
      <c r="W751">
        <v>17</v>
      </c>
      <c r="X751">
        <v>28.15</v>
      </c>
      <c r="Y751">
        <v>1.72</v>
      </c>
      <c r="Z751">
        <v>69.33</v>
      </c>
      <c r="AA751">
        <v>2322.58</v>
      </c>
      <c r="AB751">
        <v>1246.58</v>
      </c>
      <c r="AC751">
        <v>193.33</v>
      </c>
      <c r="AD751">
        <v>110</v>
      </c>
      <c r="AE751">
        <v>188.82</v>
      </c>
      <c r="AF751">
        <v>4061.31</v>
      </c>
      <c r="AG751">
        <v>216.47</v>
      </c>
      <c r="AH751">
        <v>3.37</v>
      </c>
    </row>
    <row r="752" spans="1:34">
      <c r="A752" t="s">
        <v>1174</v>
      </c>
      <c r="B752" t="s">
        <v>258</v>
      </c>
      <c r="C752" t="b">
        <v>0</v>
      </c>
      <c r="D752" t="b">
        <v>0</v>
      </c>
      <c r="E752" t="s">
        <v>80</v>
      </c>
      <c r="F752" t="s">
        <v>82</v>
      </c>
      <c r="G752" t="s">
        <v>1507</v>
      </c>
      <c r="H752">
        <v>18.7</v>
      </c>
      <c r="I752">
        <v>25</v>
      </c>
      <c r="J752">
        <v>270</v>
      </c>
      <c r="K752">
        <v>9290.360000000001</v>
      </c>
      <c r="L752">
        <v>1389.78</v>
      </c>
      <c r="M752">
        <v>17</v>
      </c>
      <c r="N752">
        <v>7883.58</v>
      </c>
      <c r="O752">
        <v>2770.54</v>
      </c>
      <c r="P752">
        <v>5113.04</v>
      </c>
      <c r="Q752">
        <v>51.79</v>
      </c>
      <c r="R752">
        <v>248.23</v>
      </c>
      <c r="S752">
        <v>534</v>
      </c>
      <c r="T752">
        <v>219</v>
      </c>
      <c r="U752">
        <v>13</v>
      </c>
      <c r="V752">
        <v>51</v>
      </c>
      <c r="W752">
        <v>37</v>
      </c>
      <c r="X752">
        <v>29.2</v>
      </c>
      <c r="Y752">
        <v>1.98</v>
      </c>
      <c r="Z752">
        <v>64.86</v>
      </c>
      <c r="AA752">
        <v>2322.58</v>
      </c>
      <c r="AB752">
        <v>1246.58</v>
      </c>
      <c r="AC752">
        <v>200.4</v>
      </c>
      <c r="AD752">
        <v>410</v>
      </c>
      <c r="AE752">
        <v>169.85</v>
      </c>
      <c r="AF752">
        <v>4349.41</v>
      </c>
      <c r="AG752">
        <v>463.61</v>
      </c>
      <c r="AH752">
        <v>5.88</v>
      </c>
    </row>
    <row r="753" spans="1:34">
      <c r="A753" t="s">
        <v>1175</v>
      </c>
      <c r="B753" t="s">
        <v>259</v>
      </c>
      <c r="C753" t="b">
        <v>0</v>
      </c>
      <c r="D753" t="b">
        <v>0</v>
      </c>
      <c r="E753" t="s">
        <v>80</v>
      </c>
      <c r="F753" t="s">
        <v>82</v>
      </c>
      <c r="G753" t="s">
        <v>81</v>
      </c>
      <c r="H753">
        <v>16.9</v>
      </c>
      <c r="I753">
        <v>26</v>
      </c>
      <c r="J753">
        <v>268</v>
      </c>
      <c r="K753">
        <v>7693.72</v>
      </c>
      <c r="L753">
        <v>294.76</v>
      </c>
      <c r="M753">
        <v>20</v>
      </c>
      <c r="N753">
        <v>7378.96</v>
      </c>
      <c r="O753">
        <v>2288</v>
      </c>
      <c r="P753">
        <v>5090.96</v>
      </c>
      <c r="Q753">
        <v>55.22</v>
      </c>
      <c r="R753">
        <v>267.86</v>
      </c>
      <c r="S753">
        <v>449</v>
      </c>
      <c r="T753">
        <v>201</v>
      </c>
      <c r="U753">
        <v>8</v>
      </c>
      <c r="V753">
        <v>67</v>
      </c>
      <c r="W753">
        <v>32</v>
      </c>
      <c r="X753">
        <v>27.53</v>
      </c>
      <c r="Y753">
        <v>1.68</v>
      </c>
      <c r="Z753">
        <v>68.98999999999999</v>
      </c>
      <c r="AA753">
        <v>2322.58</v>
      </c>
      <c r="AB753">
        <v>1246.58</v>
      </c>
      <c r="AC753">
        <v>210.86</v>
      </c>
      <c r="AD753">
        <v>110</v>
      </c>
      <c r="AE753">
        <v>180.21</v>
      </c>
      <c r="AF753">
        <v>4070.23</v>
      </c>
      <c r="AG753">
        <v>697.65</v>
      </c>
      <c r="AH753">
        <v>9.449999999999999</v>
      </c>
    </row>
    <row r="754" spans="1:34">
      <c r="A754" t="s">
        <v>1176</v>
      </c>
      <c r="B754" t="s">
        <v>260</v>
      </c>
      <c r="C754" t="b">
        <v>0</v>
      </c>
      <c r="D754" t="b">
        <v>0</v>
      </c>
      <c r="E754" t="s">
        <v>80</v>
      </c>
      <c r="F754" t="s">
        <v>82</v>
      </c>
      <c r="G754" t="s">
        <v>81</v>
      </c>
      <c r="H754">
        <v>14.7</v>
      </c>
      <c r="I754">
        <v>27</v>
      </c>
      <c r="J754">
        <v>223</v>
      </c>
      <c r="K754">
        <v>6565.06</v>
      </c>
      <c r="L754">
        <v>267.81</v>
      </c>
      <c r="M754">
        <v>19.13</v>
      </c>
      <c r="N754">
        <v>6278.12</v>
      </c>
      <c r="O754">
        <v>1919.69</v>
      </c>
      <c r="P754">
        <v>4358.43</v>
      </c>
      <c r="Q754">
        <v>48.17</v>
      </c>
      <c r="R754">
        <v>233.27</v>
      </c>
      <c r="S754">
        <v>375</v>
      </c>
      <c r="T754">
        <v>171</v>
      </c>
      <c r="U754">
        <v>4</v>
      </c>
      <c r="V754">
        <v>52</v>
      </c>
      <c r="W754">
        <v>32</v>
      </c>
      <c r="X754">
        <v>28.15</v>
      </c>
      <c r="Y754">
        <v>1.68</v>
      </c>
      <c r="Z754">
        <v>69.42</v>
      </c>
      <c r="AA754">
        <v>2322.58</v>
      </c>
      <c r="AB754">
        <v>1246.58</v>
      </c>
      <c r="AC754">
        <v>218.94</v>
      </c>
      <c r="AD754">
        <v>110</v>
      </c>
      <c r="AE754">
        <v>179.6</v>
      </c>
      <c r="AF754">
        <v>4077.7</v>
      </c>
      <c r="AG754">
        <v>-0.71</v>
      </c>
      <c r="AH754">
        <v>-0.01</v>
      </c>
    </row>
    <row r="755" spans="1:34">
      <c r="A755" t="s">
        <v>1177</v>
      </c>
      <c r="B755" t="s">
        <v>261</v>
      </c>
      <c r="C755" t="b">
        <v>0</v>
      </c>
      <c r="D755" t="b">
        <v>0</v>
      </c>
      <c r="E755" t="s">
        <v>80</v>
      </c>
      <c r="F755" t="s">
        <v>82</v>
      </c>
      <c r="G755" t="s">
        <v>81</v>
      </c>
      <c r="H755">
        <v>15.5</v>
      </c>
      <c r="I755">
        <v>28</v>
      </c>
      <c r="J755">
        <v>329</v>
      </c>
      <c r="K755">
        <v>11469.5</v>
      </c>
      <c r="L755">
        <v>391.3</v>
      </c>
      <c r="M755">
        <v>0</v>
      </c>
      <c r="N755">
        <v>11078.2</v>
      </c>
      <c r="O755">
        <v>3347.1</v>
      </c>
      <c r="P755">
        <v>7731.1</v>
      </c>
      <c r="Q755">
        <v>87.45999999999999</v>
      </c>
      <c r="R755">
        <v>365.62</v>
      </c>
      <c r="S755">
        <v>660</v>
      </c>
      <c r="T755">
        <v>242</v>
      </c>
      <c r="U755">
        <v>12</v>
      </c>
      <c r="V755">
        <v>87</v>
      </c>
      <c r="W755">
        <v>45</v>
      </c>
      <c r="X755">
        <v>33.67</v>
      </c>
      <c r="Y755">
        <v>2.01</v>
      </c>
      <c r="Z755">
        <v>69.79000000000001</v>
      </c>
      <c r="AA755">
        <v>2322.58</v>
      </c>
      <c r="AB755">
        <v>1246.58</v>
      </c>
      <c r="AC755">
        <v>192.04</v>
      </c>
      <c r="AD755">
        <v>110</v>
      </c>
      <c r="AE755">
        <v>151.02</v>
      </c>
      <c r="AF755">
        <v>4022.22</v>
      </c>
      <c r="AG755">
        <v>3255.8</v>
      </c>
      <c r="AH755">
        <v>29.39</v>
      </c>
    </row>
    <row r="756" spans="1:34">
      <c r="A756" t="s">
        <v>1178</v>
      </c>
      <c r="B756" t="s">
        <v>262</v>
      </c>
      <c r="C756" t="b">
        <v>1</v>
      </c>
      <c r="D756" t="b">
        <v>0</v>
      </c>
      <c r="E756" t="s">
        <v>80</v>
      </c>
      <c r="F756" t="s">
        <v>82</v>
      </c>
      <c r="G756" t="s">
        <v>81</v>
      </c>
      <c r="H756">
        <v>14.9</v>
      </c>
      <c r="I756">
        <v>29</v>
      </c>
      <c r="J756">
        <v>220</v>
      </c>
      <c r="K756">
        <v>8110.34</v>
      </c>
      <c r="L756">
        <v>287.83</v>
      </c>
      <c r="M756">
        <v>32.17</v>
      </c>
      <c r="N756">
        <v>7790.34</v>
      </c>
      <c r="O756">
        <v>2363.64</v>
      </c>
      <c r="P756">
        <v>5426.7</v>
      </c>
      <c r="Q756">
        <v>63.42</v>
      </c>
      <c r="R756">
        <v>307.86</v>
      </c>
      <c r="S756">
        <v>477</v>
      </c>
      <c r="T756">
        <v>157</v>
      </c>
      <c r="U756">
        <v>9</v>
      </c>
      <c r="V756">
        <v>63</v>
      </c>
      <c r="W756">
        <v>36</v>
      </c>
      <c r="X756">
        <v>35.41</v>
      </c>
      <c r="Y756">
        <v>2.17</v>
      </c>
      <c r="Z756">
        <v>69.66</v>
      </c>
      <c r="AA756">
        <v>2322.58</v>
      </c>
      <c r="AB756">
        <v>1246.58</v>
      </c>
      <c r="AC756">
        <v>212.3</v>
      </c>
      <c r="AD756">
        <v>110</v>
      </c>
      <c r="AE756">
        <v>176.82</v>
      </c>
      <c r="AF756">
        <v>4068.28</v>
      </c>
      <c r="AG756">
        <v>987.14</v>
      </c>
      <c r="AH756">
        <v>12.67</v>
      </c>
    </row>
    <row r="757" spans="1:34">
      <c r="A757" t="s">
        <v>1179</v>
      </c>
      <c r="B757" t="s">
        <v>263</v>
      </c>
      <c r="C757" t="b">
        <v>1</v>
      </c>
      <c r="D757" t="b">
        <v>0</v>
      </c>
      <c r="E757" t="s">
        <v>80</v>
      </c>
      <c r="F757" t="s">
        <v>82</v>
      </c>
      <c r="G757" t="s">
        <v>81</v>
      </c>
      <c r="H757">
        <v>14.6</v>
      </c>
      <c r="I757">
        <v>30</v>
      </c>
      <c r="J757">
        <v>278</v>
      </c>
      <c r="K757">
        <v>9965.110000000001</v>
      </c>
      <c r="L757">
        <v>344.34</v>
      </c>
      <c r="M757">
        <v>2.61</v>
      </c>
      <c r="N757">
        <v>9618.16</v>
      </c>
      <c r="O757">
        <v>3008.61</v>
      </c>
      <c r="P757">
        <v>6609.55</v>
      </c>
      <c r="Q757">
        <v>73.13</v>
      </c>
      <c r="R757">
        <v>365.09</v>
      </c>
      <c r="S757">
        <v>570</v>
      </c>
      <c r="T757">
        <v>192</v>
      </c>
      <c r="U757">
        <v>6</v>
      </c>
      <c r="V757">
        <v>86</v>
      </c>
      <c r="W757">
        <v>43</v>
      </c>
      <c r="X757">
        <v>34.6</v>
      </c>
      <c r="Y757">
        <v>2.05</v>
      </c>
      <c r="Z757">
        <v>68.72</v>
      </c>
      <c r="AA757">
        <v>2322.58</v>
      </c>
      <c r="AB757">
        <v>1246.58</v>
      </c>
      <c r="AC757">
        <v>218.88</v>
      </c>
      <c r="AD757">
        <v>110</v>
      </c>
      <c r="AE757">
        <v>218.03</v>
      </c>
      <c r="AF757">
        <v>4116.07</v>
      </c>
      <c r="AG757">
        <v>2055.26</v>
      </c>
      <c r="AH757">
        <v>21.37</v>
      </c>
    </row>
    <row r="758" spans="1:34">
      <c r="A758" t="s">
        <v>473</v>
      </c>
      <c r="B758" t="s">
        <v>75</v>
      </c>
      <c r="C758" t="b">
        <v>0</v>
      </c>
      <c r="D758" t="b">
        <v>0</v>
      </c>
      <c r="E758" t="s">
        <v>80</v>
      </c>
      <c r="F758" t="s">
        <v>82</v>
      </c>
      <c r="G758" t="s">
        <v>81</v>
      </c>
      <c r="H758">
        <v>16</v>
      </c>
      <c r="I758">
        <v>31</v>
      </c>
      <c r="J758">
        <v>218</v>
      </c>
      <c r="K758">
        <v>6742.51</v>
      </c>
      <c r="L758">
        <v>246.09</v>
      </c>
      <c r="M758">
        <v>0</v>
      </c>
      <c r="N758">
        <v>6496.42</v>
      </c>
      <c r="O758">
        <v>2018.63</v>
      </c>
      <c r="P758">
        <v>4477.79</v>
      </c>
      <c r="Q758">
        <v>47.5</v>
      </c>
      <c r="R758">
        <v>193.6</v>
      </c>
      <c r="S758">
        <v>384</v>
      </c>
      <c r="T758">
        <v>161</v>
      </c>
      <c r="U758">
        <v>9</v>
      </c>
      <c r="V758">
        <v>57</v>
      </c>
      <c r="W758">
        <v>24</v>
      </c>
      <c r="X758">
        <v>29.8</v>
      </c>
      <c r="Y758">
        <v>1.76</v>
      </c>
      <c r="Z758">
        <v>68.93000000000001</v>
      </c>
      <c r="AA758">
        <v>2322.58</v>
      </c>
      <c r="AB758">
        <v>1246.58</v>
      </c>
      <c r="AC758">
        <v>201.85</v>
      </c>
      <c r="AD758">
        <v>110</v>
      </c>
      <c r="AE758">
        <v>151.88</v>
      </c>
      <c r="AF758">
        <v>4032.89</v>
      </c>
      <c r="AG758">
        <v>203.8</v>
      </c>
      <c r="AH758">
        <v>3.14</v>
      </c>
    </row>
    <row r="759" spans="1:34">
      <c r="A759" t="s">
        <v>1180</v>
      </c>
      <c r="B759" t="s">
        <v>258</v>
      </c>
      <c r="C759" t="b">
        <v>0</v>
      </c>
      <c r="D759" t="b">
        <v>0</v>
      </c>
      <c r="E759" t="s">
        <v>80</v>
      </c>
      <c r="F759" t="s">
        <v>82</v>
      </c>
      <c r="G759" t="s">
        <v>1508</v>
      </c>
      <c r="H759">
        <v>15</v>
      </c>
      <c r="I759">
        <v>0</v>
      </c>
      <c r="J759">
        <v>279</v>
      </c>
      <c r="K759">
        <v>8532.790000000001</v>
      </c>
      <c r="L759">
        <v>1267.17</v>
      </c>
      <c r="M759">
        <v>46.95</v>
      </c>
      <c r="N759">
        <v>7218.67</v>
      </c>
      <c r="O759">
        <v>2438.6</v>
      </c>
      <c r="P759">
        <v>4780.07</v>
      </c>
      <c r="Q759">
        <v>58.91</v>
      </c>
      <c r="R759">
        <v>225.91</v>
      </c>
      <c r="S759">
        <v>505</v>
      </c>
      <c r="T759">
        <v>197</v>
      </c>
      <c r="U759">
        <v>8</v>
      </c>
      <c r="V759">
        <v>82</v>
      </c>
      <c r="W759">
        <v>36</v>
      </c>
      <c r="X759">
        <v>25.87</v>
      </c>
      <c r="Y759">
        <v>1.81</v>
      </c>
      <c r="Z759">
        <v>66.22</v>
      </c>
      <c r="AA759">
        <v>2322.58</v>
      </c>
      <c r="AB759">
        <v>1246.58</v>
      </c>
      <c r="AC759">
        <v>220.71</v>
      </c>
      <c r="AD759">
        <v>410</v>
      </c>
      <c r="AE759">
        <v>172.2</v>
      </c>
      <c r="AF759">
        <v>4372.07</v>
      </c>
      <c r="AG759">
        <v>123.18</v>
      </c>
      <c r="AH759">
        <v>1.71</v>
      </c>
    </row>
    <row r="760" spans="1:34">
      <c r="A760" t="s">
        <v>1181</v>
      </c>
      <c r="B760" t="s">
        <v>259</v>
      </c>
      <c r="C760" t="b">
        <v>0</v>
      </c>
      <c r="D760" t="b">
        <v>0</v>
      </c>
      <c r="E760" t="s">
        <v>80</v>
      </c>
      <c r="F760" t="s">
        <v>82</v>
      </c>
      <c r="G760" t="s">
        <v>1477</v>
      </c>
      <c r="H760">
        <v>13.8</v>
      </c>
      <c r="I760">
        <v>1</v>
      </c>
      <c r="J760">
        <v>247</v>
      </c>
      <c r="K760">
        <v>7994.65</v>
      </c>
      <c r="L760">
        <v>301.72</v>
      </c>
      <c r="M760">
        <v>0</v>
      </c>
      <c r="N760">
        <v>7692.93</v>
      </c>
      <c r="O760">
        <v>2432.1</v>
      </c>
      <c r="P760">
        <v>5260.83</v>
      </c>
      <c r="Q760">
        <v>57.81</v>
      </c>
      <c r="R760">
        <v>293.97</v>
      </c>
      <c r="S760">
        <v>473</v>
      </c>
      <c r="T760">
        <v>180</v>
      </c>
      <c r="U760">
        <v>18</v>
      </c>
      <c r="V760">
        <v>67</v>
      </c>
      <c r="W760">
        <v>30</v>
      </c>
      <c r="X760">
        <v>31.15</v>
      </c>
      <c r="Y760">
        <v>1.91</v>
      </c>
      <c r="Z760">
        <v>68.39</v>
      </c>
      <c r="AA760">
        <v>2322.58</v>
      </c>
      <c r="AB760">
        <v>1246.58</v>
      </c>
      <c r="AC760">
        <v>191.78</v>
      </c>
      <c r="AD760">
        <v>110</v>
      </c>
      <c r="AE760">
        <v>227.18</v>
      </c>
      <c r="AF760">
        <v>4098.12</v>
      </c>
      <c r="AG760">
        <v>810.9299999999999</v>
      </c>
      <c r="AH760">
        <v>10.54</v>
      </c>
    </row>
    <row r="761" spans="1:34">
      <c r="A761" t="s">
        <v>1182</v>
      </c>
      <c r="B761" t="s">
        <v>260</v>
      </c>
      <c r="C761" t="b">
        <v>0</v>
      </c>
      <c r="D761" t="b">
        <v>0</v>
      </c>
      <c r="E761" t="s">
        <v>80</v>
      </c>
      <c r="F761" t="s">
        <v>82</v>
      </c>
      <c r="G761" t="s">
        <v>1477</v>
      </c>
      <c r="H761">
        <v>14.7</v>
      </c>
      <c r="I761">
        <v>2</v>
      </c>
      <c r="J761">
        <v>277</v>
      </c>
      <c r="K761">
        <v>8064.14</v>
      </c>
      <c r="L761">
        <v>259.99</v>
      </c>
      <c r="M761">
        <v>49.56</v>
      </c>
      <c r="N761">
        <v>7754.59</v>
      </c>
      <c r="O761">
        <v>2258.73</v>
      </c>
      <c r="P761">
        <v>5495.86</v>
      </c>
      <c r="Q761">
        <v>61.23</v>
      </c>
      <c r="R761">
        <v>262.85</v>
      </c>
      <c r="S761">
        <v>476</v>
      </c>
      <c r="T761">
        <v>205</v>
      </c>
      <c r="U761">
        <v>11</v>
      </c>
      <c r="V761">
        <v>72</v>
      </c>
      <c r="W761">
        <v>30</v>
      </c>
      <c r="X761">
        <v>27.99</v>
      </c>
      <c r="Y761">
        <v>1.72</v>
      </c>
      <c r="Z761">
        <v>70.87</v>
      </c>
      <c r="AA761">
        <v>2322.58</v>
      </c>
      <c r="AB761">
        <v>1246.58</v>
      </c>
      <c r="AC761">
        <v>221.36</v>
      </c>
      <c r="AD761">
        <v>110</v>
      </c>
      <c r="AE761">
        <v>200</v>
      </c>
      <c r="AF761">
        <v>4100.52</v>
      </c>
      <c r="AG761">
        <v>1071.26</v>
      </c>
      <c r="AH761">
        <v>13.81</v>
      </c>
    </row>
    <row r="762" spans="1:34">
      <c r="A762" t="s">
        <v>1183</v>
      </c>
      <c r="B762" t="s">
        <v>261</v>
      </c>
      <c r="C762" t="b">
        <v>0</v>
      </c>
      <c r="D762" t="b">
        <v>0</v>
      </c>
      <c r="E762" t="s">
        <v>80</v>
      </c>
      <c r="F762" t="s">
        <v>82</v>
      </c>
      <c r="G762" t="s">
        <v>1477</v>
      </c>
      <c r="H762">
        <v>15.9</v>
      </c>
      <c r="I762">
        <v>3</v>
      </c>
      <c r="J762">
        <v>295</v>
      </c>
      <c r="K762">
        <v>9531.18</v>
      </c>
      <c r="L762">
        <v>218.25</v>
      </c>
      <c r="M762">
        <v>19.13</v>
      </c>
      <c r="N762">
        <v>9293.799999999999</v>
      </c>
      <c r="O762">
        <v>2725.58</v>
      </c>
      <c r="P762">
        <v>6568.22</v>
      </c>
      <c r="Q762">
        <v>73.64</v>
      </c>
      <c r="R762">
        <v>218.63</v>
      </c>
      <c r="S762">
        <v>558</v>
      </c>
      <c r="T762">
        <v>203</v>
      </c>
      <c r="U762">
        <v>12</v>
      </c>
      <c r="V762">
        <v>92</v>
      </c>
      <c r="W762">
        <v>31</v>
      </c>
      <c r="X762">
        <v>31.5</v>
      </c>
      <c r="Y762">
        <v>1.89</v>
      </c>
      <c r="Z762">
        <v>70.67</v>
      </c>
      <c r="AA762">
        <v>2322.58</v>
      </c>
      <c r="AB762">
        <v>1246.58</v>
      </c>
      <c r="AC762">
        <v>197.48</v>
      </c>
      <c r="AD762">
        <v>110</v>
      </c>
      <c r="AE762">
        <v>165.99</v>
      </c>
      <c r="AF762">
        <v>4042.63</v>
      </c>
      <c r="AG762">
        <v>2233.32</v>
      </c>
      <c r="AH762">
        <v>24.03</v>
      </c>
    </row>
    <row r="763" spans="1:34">
      <c r="A763" t="s">
        <v>1184</v>
      </c>
      <c r="B763" t="s">
        <v>262</v>
      </c>
      <c r="C763" t="b">
        <v>1</v>
      </c>
      <c r="D763" t="b">
        <v>0</v>
      </c>
      <c r="E763" t="s">
        <v>80</v>
      </c>
      <c r="F763" t="s">
        <v>82</v>
      </c>
      <c r="G763" t="s">
        <v>1477</v>
      </c>
      <c r="H763">
        <v>18</v>
      </c>
      <c r="I763">
        <v>4</v>
      </c>
      <c r="J763">
        <v>240</v>
      </c>
      <c r="K763">
        <v>10001.62</v>
      </c>
      <c r="L763">
        <v>400.86</v>
      </c>
      <c r="M763">
        <v>44.34</v>
      </c>
      <c r="N763">
        <v>9556.42</v>
      </c>
      <c r="O763">
        <v>3008.73</v>
      </c>
      <c r="P763">
        <v>6547.69</v>
      </c>
      <c r="Q763">
        <v>74.77</v>
      </c>
      <c r="R763">
        <v>392.87</v>
      </c>
      <c r="S763">
        <v>579</v>
      </c>
      <c r="T763">
        <v>179</v>
      </c>
      <c r="U763">
        <v>13</v>
      </c>
      <c r="V763">
        <v>61</v>
      </c>
      <c r="W763">
        <v>35</v>
      </c>
      <c r="X763">
        <v>39.82</v>
      </c>
      <c r="Y763">
        <v>2.41</v>
      </c>
      <c r="Z763">
        <v>68.52</v>
      </c>
      <c r="AA763">
        <v>2322.58</v>
      </c>
      <c r="AB763">
        <v>1246.58</v>
      </c>
      <c r="AC763">
        <v>191.69</v>
      </c>
      <c r="AD763">
        <v>110</v>
      </c>
      <c r="AE763">
        <v>149.72</v>
      </c>
      <c r="AF763">
        <v>4020.57</v>
      </c>
      <c r="AG763">
        <v>2059.48</v>
      </c>
      <c r="AH763">
        <v>21.55</v>
      </c>
    </row>
    <row r="764" spans="1:34">
      <c r="A764" t="s">
        <v>1185</v>
      </c>
      <c r="B764" t="s">
        <v>263</v>
      </c>
      <c r="C764" t="b">
        <v>1</v>
      </c>
      <c r="D764" t="b">
        <v>0</v>
      </c>
      <c r="E764" t="s">
        <v>80</v>
      </c>
      <c r="F764" t="s">
        <v>82</v>
      </c>
      <c r="G764" t="s">
        <v>81</v>
      </c>
      <c r="H764">
        <v>15.3</v>
      </c>
      <c r="I764">
        <v>5</v>
      </c>
      <c r="J764">
        <v>232</v>
      </c>
      <c r="K764">
        <v>8665.24</v>
      </c>
      <c r="L764">
        <v>265.22</v>
      </c>
      <c r="M764">
        <v>32.18</v>
      </c>
      <c r="N764">
        <v>8367.84</v>
      </c>
      <c r="O764">
        <v>2545.47</v>
      </c>
      <c r="P764">
        <v>5822.37</v>
      </c>
      <c r="Q764">
        <v>68.98999999999999</v>
      </c>
      <c r="R764">
        <v>244.05</v>
      </c>
      <c r="S764">
        <v>500</v>
      </c>
      <c r="T764">
        <v>158</v>
      </c>
      <c r="U764">
        <v>11</v>
      </c>
      <c r="V764">
        <v>74</v>
      </c>
      <c r="W764">
        <v>29</v>
      </c>
      <c r="X764">
        <v>36.07</v>
      </c>
      <c r="Y764">
        <v>2.16</v>
      </c>
      <c r="Z764">
        <v>69.58</v>
      </c>
      <c r="AA764">
        <v>2571.43</v>
      </c>
      <c r="AB764">
        <v>1246.58</v>
      </c>
      <c r="AC764">
        <v>205.12</v>
      </c>
      <c r="AD764">
        <v>110</v>
      </c>
      <c r="AE764">
        <v>150.08</v>
      </c>
      <c r="AF764">
        <v>4283.21</v>
      </c>
      <c r="AG764">
        <v>1226.12</v>
      </c>
      <c r="AH764">
        <v>14.65</v>
      </c>
    </row>
    <row r="765" spans="1:34">
      <c r="A765" t="s">
        <v>474</v>
      </c>
      <c r="B765" t="s">
        <v>75</v>
      </c>
      <c r="C765" t="b">
        <v>0</v>
      </c>
      <c r="D765" t="b">
        <v>0</v>
      </c>
      <c r="E765" t="s">
        <v>80</v>
      </c>
      <c r="F765" t="s">
        <v>82</v>
      </c>
      <c r="G765" t="s">
        <v>81</v>
      </c>
      <c r="H765">
        <v>14.4</v>
      </c>
      <c r="I765">
        <v>6</v>
      </c>
      <c r="J765">
        <v>251</v>
      </c>
      <c r="K765">
        <v>7088.53</v>
      </c>
      <c r="L765">
        <v>269.57</v>
      </c>
      <c r="M765">
        <v>13.91</v>
      </c>
      <c r="N765">
        <v>6805.05</v>
      </c>
      <c r="O765">
        <v>2050.85</v>
      </c>
      <c r="P765">
        <v>4754.2</v>
      </c>
      <c r="Q765">
        <v>52.42</v>
      </c>
      <c r="R765">
        <v>222.27</v>
      </c>
      <c r="S765">
        <v>418</v>
      </c>
      <c r="T765">
        <v>184</v>
      </c>
      <c r="U765">
        <v>13</v>
      </c>
      <c r="V765">
        <v>67</v>
      </c>
      <c r="W765">
        <v>31</v>
      </c>
      <c r="X765">
        <v>27.11</v>
      </c>
      <c r="Y765">
        <v>1.67</v>
      </c>
      <c r="Z765">
        <v>69.86</v>
      </c>
      <c r="AA765">
        <v>2571.43</v>
      </c>
      <c r="AB765">
        <v>1246.58</v>
      </c>
      <c r="AC765">
        <v>214.02</v>
      </c>
      <c r="AD765">
        <v>110</v>
      </c>
      <c r="AE765">
        <v>192.12</v>
      </c>
      <c r="AF765">
        <v>4334.15</v>
      </c>
      <c r="AG765">
        <v>145.36</v>
      </c>
      <c r="AH765">
        <v>2.14</v>
      </c>
    </row>
    <row r="766" spans="1:34">
      <c r="A766" t="s">
        <v>1186</v>
      </c>
      <c r="B766" t="s">
        <v>258</v>
      </c>
      <c r="C766" t="b">
        <v>0</v>
      </c>
      <c r="D766" t="b">
        <v>0</v>
      </c>
      <c r="E766" t="s">
        <v>80</v>
      </c>
      <c r="F766" t="s">
        <v>82</v>
      </c>
      <c r="G766" t="s">
        <v>1507</v>
      </c>
      <c r="H766">
        <v>16.7</v>
      </c>
      <c r="I766">
        <v>7</v>
      </c>
      <c r="J766">
        <v>293</v>
      </c>
      <c r="K766">
        <v>8627.719999999999</v>
      </c>
      <c r="L766">
        <v>1301.47</v>
      </c>
      <c r="M766">
        <v>17</v>
      </c>
      <c r="N766">
        <v>7309.25</v>
      </c>
      <c r="O766">
        <v>2579.07</v>
      </c>
      <c r="P766">
        <v>4730.18</v>
      </c>
      <c r="Q766">
        <v>67.27</v>
      </c>
      <c r="R766">
        <v>197.02</v>
      </c>
      <c r="S766">
        <v>493</v>
      </c>
      <c r="T766">
        <v>202</v>
      </c>
      <c r="U766">
        <v>11</v>
      </c>
      <c r="V766">
        <v>91</v>
      </c>
      <c r="W766">
        <v>30</v>
      </c>
      <c r="X766">
        <v>24.95</v>
      </c>
      <c r="Y766">
        <v>1.68</v>
      </c>
      <c r="Z766">
        <v>64.70999999999999</v>
      </c>
      <c r="AA766">
        <v>2571.43</v>
      </c>
      <c r="AB766">
        <v>1246.58</v>
      </c>
      <c r="AC766">
        <v>223.45</v>
      </c>
      <c r="AD766">
        <v>410</v>
      </c>
      <c r="AE766">
        <v>193.68</v>
      </c>
      <c r="AF766">
        <v>4645.14</v>
      </c>
      <c r="AG766">
        <v>-179.25</v>
      </c>
      <c r="AH766">
        <v>-2.45</v>
      </c>
    </row>
    <row r="767" spans="1:34">
      <c r="A767" t="s">
        <v>1187</v>
      </c>
      <c r="B767" t="s">
        <v>259</v>
      </c>
      <c r="C767" t="b">
        <v>0</v>
      </c>
      <c r="D767" t="b">
        <v>0</v>
      </c>
      <c r="E767" t="s">
        <v>80</v>
      </c>
      <c r="F767" t="s">
        <v>82</v>
      </c>
      <c r="G767" t="s">
        <v>81</v>
      </c>
      <c r="H767">
        <v>17.2</v>
      </c>
      <c r="I767">
        <v>8</v>
      </c>
      <c r="J767">
        <v>227</v>
      </c>
      <c r="K767">
        <v>7060.69</v>
      </c>
      <c r="L767">
        <v>216.51</v>
      </c>
      <c r="M767">
        <v>33.91</v>
      </c>
      <c r="N767">
        <v>6810.27</v>
      </c>
      <c r="O767">
        <v>2103.46</v>
      </c>
      <c r="P767">
        <v>4706.81</v>
      </c>
      <c r="Q767">
        <v>52.02</v>
      </c>
      <c r="R767">
        <v>282.29</v>
      </c>
      <c r="S767">
        <v>414</v>
      </c>
      <c r="T767">
        <v>162</v>
      </c>
      <c r="U767">
        <v>6</v>
      </c>
      <c r="V767">
        <v>65</v>
      </c>
      <c r="W767">
        <v>28</v>
      </c>
      <c r="X767">
        <v>30</v>
      </c>
      <c r="Y767">
        <v>1.82</v>
      </c>
      <c r="Z767">
        <v>69.11</v>
      </c>
      <c r="AA767">
        <v>2571.43</v>
      </c>
      <c r="AB767">
        <v>1246.58</v>
      </c>
      <c r="AC767">
        <v>220.29</v>
      </c>
      <c r="AD767">
        <v>110</v>
      </c>
      <c r="AE767">
        <v>186.81</v>
      </c>
      <c r="AF767">
        <v>4335.11</v>
      </c>
      <c r="AG767">
        <v>37.39</v>
      </c>
      <c r="AH767">
        <v>0.55</v>
      </c>
    </row>
    <row r="768" spans="1:34">
      <c r="A768" t="s">
        <v>1188</v>
      </c>
      <c r="B768" t="s">
        <v>260</v>
      </c>
      <c r="C768" t="b">
        <v>0</v>
      </c>
      <c r="D768" t="b">
        <v>0</v>
      </c>
      <c r="E768" t="s">
        <v>80</v>
      </c>
      <c r="F768" t="s">
        <v>82</v>
      </c>
      <c r="G768" t="s">
        <v>81</v>
      </c>
      <c r="H768">
        <v>17.5</v>
      </c>
      <c r="I768">
        <v>9</v>
      </c>
      <c r="J768">
        <v>282</v>
      </c>
      <c r="K768">
        <v>8886.07</v>
      </c>
      <c r="L768">
        <v>191.3</v>
      </c>
      <c r="M768">
        <v>0</v>
      </c>
      <c r="N768">
        <v>8694.77</v>
      </c>
      <c r="O768">
        <v>2628.06</v>
      </c>
      <c r="P768">
        <v>6066.71</v>
      </c>
      <c r="Q768">
        <v>67.39</v>
      </c>
      <c r="R768">
        <v>336.73</v>
      </c>
      <c r="S768">
        <v>517</v>
      </c>
      <c r="T768">
        <v>195</v>
      </c>
      <c r="U768">
        <v>20</v>
      </c>
      <c r="V768">
        <v>87</v>
      </c>
      <c r="W768">
        <v>36</v>
      </c>
      <c r="X768">
        <v>30.83</v>
      </c>
      <c r="Y768">
        <v>1.83</v>
      </c>
      <c r="Z768">
        <v>69.77</v>
      </c>
      <c r="AA768">
        <v>2571.43</v>
      </c>
      <c r="AB768">
        <v>1246.58</v>
      </c>
      <c r="AC768">
        <v>231.95</v>
      </c>
      <c r="AD768">
        <v>110</v>
      </c>
      <c r="AE768">
        <v>211.92</v>
      </c>
      <c r="AF768">
        <v>4371.88</v>
      </c>
      <c r="AG768">
        <v>1290.71</v>
      </c>
      <c r="AH768">
        <v>14.84</v>
      </c>
    </row>
    <row r="769" spans="1:34">
      <c r="A769" t="s">
        <v>1189</v>
      </c>
      <c r="B769" t="s">
        <v>261</v>
      </c>
      <c r="C769" t="b">
        <v>0</v>
      </c>
      <c r="D769" t="b">
        <v>0</v>
      </c>
      <c r="E769" t="s">
        <v>80</v>
      </c>
      <c r="F769" t="s">
        <v>82</v>
      </c>
      <c r="G769" t="s">
        <v>81</v>
      </c>
      <c r="H769">
        <v>16.8</v>
      </c>
      <c r="I769">
        <v>10</v>
      </c>
      <c r="J769">
        <v>356</v>
      </c>
      <c r="K769">
        <v>11576.46</v>
      </c>
      <c r="L769">
        <v>319.98</v>
      </c>
      <c r="M769">
        <v>0</v>
      </c>
      <c r="N769">
        <v>11256.48</v>
      </c>
      <c r="O769">
        <v>3338.8</v>
      </c>
      <c r="P769">
        <v>7917.68</v>
      </c>
      <c r="Q769">
        <v>95.73</v>
      </c>
      <c r="R769">
        <v>213.11</v>
      </c>
      <c r="S769">
        <v>664</v>
      </c>
      <c r="T769">
        <v>229</v>
      </c>
      <c r="U769">
        <v>7</v>
      </c>
      <c r="V769">
        <v>127</v>
      </c>
      <c r="W769">
        <v>28</v>
      </c>
      <c r="X769">
        <v>31.62</v>
      </c>
      <c r="Y769">
        <v>1.87</v>
      </c>
      <c r="Z769">
        <v>70.34</v>
      </c>
      <c r="AA769">
        <v>2571.43</v>
      </c>
      <c r="AB769">
        <v>1246.58</v>
      </c>
      <c r="AC769">
        <v>228.43</v>
      </c>
      <c r="AD769">
        <v>110</v>
      </c>
      <c r="AE769">
        <v>201.05</v>
      </c>
      <c r="AF769">
        <v>4357.49</v>
      </c>
      <c r="AG769">
        <v>3251.35</v>
      </c>
      <c r="AH769">
        <v>28.88</v>
      </c>
    </row>
    <row r="770" spans="1:34">
      <c r="A770" t="s">
        <v>1190</v>
      </c>
      <c r="B770" t="s">
        <v>262</v>
      </c>
      <c r="C770" t="b">
        <v>1</v>
      </c>
      <c r="D770" t="b">
        <v>0</v>
      </c>
      <c r="E770" t="s">
        <v>80</v>
      </c>
      <c r="F770" t="s">
        <v>82</v>
      </c>
      <c r="G770" t="s">
        <v>81</v>
      </c>
      <c r="H770">
        <v>17.7</v>
      </c>
      <c r="I770">
        <v>11</v>
      </c>
      <c r="J770">
        <v>272</v>
      </c>
      <c r="K770">
        <v>10889.48</v>
      </c>
      <c r="L770">
        <v>256.51</v>
      </c>
      <c r="M770">
        <v>0</v>
      </c>
      <c r="N770">
        <v>10632.97</v>
      </c>
      <c r="O770">
        <v>3238.54</v>
      </c>
      <c r="P770">
        <v>7394.43</v>
      </c>
      <c r="Q770">
        <v>81.56999999999999</v>
      </c>
      <c r="R770">
        <v>295.17</v>
      </c>
      <c r="S770">
        <v>632</v>
      </c>
      <c r="T770">
        <v>192</v>
      </c>
      <c r="U770">
        <v>13</v>
      </c>
      <c r="V770">
        <v>80</v>
      </c>
      <c r="W770">
        <v>34</v>
      </c>
      <c r="X770">
        <v>39.09</v>
      </c>
      <c r="Y770">
        <v>2.32</v>
      </c>
      <c r="Z770">
        <v>69.54000000000001</v>
      </c>
      <c r="AA770">
        <v>2571.43</v>
      </c>
      <c r="AB770">
        <v>1246.58</v>
      </c>
      <c r="AC770">
        <v>195.66</v>
      </c>
      <c r="AD770">
        <v>110</v>
      </c>
      <c r="AE770">
        <v>173.18</v>
      </c>
      <c r="AF770">
        <v>4296.85</v>
      </c>
      <c r="AG770">
        <v>2720.84</v>
      </c>
      <c r="AH770">
        <v>25.59</v>
      </c>
    </row>
    <row r="771" spans="1:34">
      <c r="A771" t="s">
        <v>1191</v>
      </c>
      <c r="B771" t="s">
        <v>263</v>
      </c>
      <c r="C771" t="b">
        <v>1</v>
      </c>
      <c r="D771" t="b">
        <v>0</v>
      </c>
      <c r="E771" t="s">
        <v>80</v>
      </c>
      <c r="F771" t="s">
        <v>82</v>
      </c>
      <c r="G771" t="s">
        <v>81</v>
      </c>
      <c r="H771">
        <v>18.1</v>
      </c>
      <c r="I771">
        <v>12</v>
      </c>
      <c r="J771">
        <v>213</v>
      </c>
      <c r="K771">
        <v>8299.040000000001</v>
      </c>
      <c r="L771">
        <v>345.2</v>
      </c>
      <c r="M771">
        <v>0</v>
      </c>
      <c r="N771">
        <v>7953.84</v>
      </c>
      <c r="O771">
        <v>2474.72</v>
      </c>
      <c r="P771">
        <v>5479.12</v>
      </c>
      <c r="Q771">
        <v>63.56</v>
      </c>
      <c r="R771">
        <v>289.61</v>
      </c>
      <c r="S771">
        <v>478</v>
      </c>
      <c r="T771">
        <v>153</v>
      </c>
      <c r="U771">
        <v>7</v>
      </c>
      <c r="V771">
        <v>60</v>
      </c>
      <c r="W771">
        <v>34</v>
      </c>
      <c r="X771">
        <v>37.34</v>
      </c>
      <c r="Y771">
        <v>2.24</v>
      </c>
      <c r="Z771">
        <v>68.89</v>
      </c>
      <c r="AA771">
        <v>2571.43</v>
      </c>
      <c r="AB771">
        <v>1246.58</v>
      </c>
      <c r="AC771">
        <v>193.35</v>
      </c>
      <c r="AD771">
        <v>110</v>
      </c>
      <c r="AE771">
        <v>181.57</v>
      </c>
      <c r="AF771">
        <v>4302.93</v>
      </c>
      <c r="AG771">
        <v>823.02</v>
      </c>
      <c r="AH771">
        <v>10.35</v>
      </c>
    </row>
    <row r="772" spans="1:34">
      <c r="A772" t="s">
        <v>475</v>
      </c>
      <c r="B772" t="s">
        <v>75</v>
      </c>
      <c r="C772" t="b">
        <v>0</v>
      </c>
      <c r="D772" t="b">
        <v>0</v>
      </c>
      <c r="E772" t="s">
        <v>80</v>
      </c>
      <c r="F772" t="s">
        <v>1474</v>
      </c>
      <c r="G772" t="s">
        <v>81</v>
      </c>
      <c r="H772">
        <v>16.9</v>
      </c>
      <c r="I772">
        <v>13</v>
      </c>
      <c r="J772">
        <v>279</v>
      </c>
      <c r="K772">
        <v>8523.370000000001</v>
      </c>
      <c r="L772">
        <v>251.3</v>
      </c>
      <c r="M772">
        <v>0</v>
      </c>
      <c r="N772">
        <v>8272.07</v>
      </c>
      <c r="O772">
        <v>2509.29</v>
      </c>
      <c r="P772">
        <v>5762.78</v>
      </c>
      <c r="Q772">
        <v>68.42</v>
      </c>
      <c r="R772">
        <v>226.6</v>
      </c>
      <c r="S772">
        <v>496</v>
      </c>
      <c r="T772">
        <v>188</v>
      </c>
      <c r="U772">
        <v>13</v>
      </c>
      <c r="V772">
        <v>91</v>
      </c>
      <c r="W772">
        <v>28</v>
      </c>
      <c r="X772">
        <v>29.65</v>
      </c>
      <c r="Y772">
        <v>1.78</v>
      </c>
      <c r="Z772">
        <v>69.67</v>
      </c>
      <c r="AA772">
        <v>2571.43</v>
      </c>
      <c r="AB772">
        <v>1246.58</v>
      </c>
      <c r="AC772">
        <v>219.51</v>
      </c>
      <c r="AD772">
        <v>110</v>
      </c>
      <c r="AE772">
        <v>157.25</v>
      </c>
      <c r="AF772">
        <v>4304.77</v>
      </c>
      <c r="AG772">
        <v>1162.99</v>
      </c>
      <c r="AH772">
        <v>14.06</v>
      </c>
    </row>
    <row r="773" spans="1:34">
      <c r="A773" t="s">
        <v>1192</v>
      </c>
      <c r="B773" t="s">
        <v>258</v>
      </c>
      <c r="C773" t="b">
        <v>0</v>
      </c>
      <c r="D773" t="b">
        <v>0</v>
      </c>
      <c r="E773" t="s">
        <v>80</v>
      </c>
      <c r="F773" t="s">
        <v>1474</v>
      </c>
      <c r="G773" t="s">
        <v>1507</v>
      </c>
      <c r="H773">
        <v>19.3</v>
      </c>
      <c r="I773">
        <v>14</v>
      </c>
      <c r="J773">
        <v>277</v>
      </c>
      <c r="K773">
        <v>7830.33</v>
      </c>
      <c r="L773">
        <v>1180.53</v>
      </c>
      <c r="M773">
        <v>43.82</v>
      </c>
      <c r="N773">
        <v>6605.98</v>
      </c>
      <c r="O773">
        <v>2276.48</v>
      </c>
      <c r="P773">
        <v>4329.5</v>
      </c>
      <c r="Q773">
        <v>50.97</v>
      </c>
      <c r="R773">
        <v>188.75</v>
      </c>
      <c r="S773">
        <v>457</v>
      </c>
      <c r="T773">
        <v>201</v>
      </c>
      <c r="U773">
        <v>9</v>
      </c>
      <c r="V773">
        <v>76</v>
      </c>
      <c r="W773">
        <v>29</v>
      </c>
      <c r="X773">
        <v>23.85</v>
      </c>
      <c r="Y773">
        <v>1.65</v>
      </c>
      <c r="Z773">
        <v>65.54000000000001</v>
      </c>
      <c r="AA773">
        <v>2571.43</v>
      </c>
      <c r="AB773">
        <v>1246.58</v>
      </c>
      <c r="AC773">
        <v>177.24</v>
      </c>
      <c r="AD773">
        <v>410</v>
      </c>
      <c r="AE773">
        <v>204.64</v>
      </c>
      <c r="AF773">
        <v>4609.89</v>
      </c>
      <c r="AG773">
        <v>-520.11</v>
      </c>
      <c r="AH773">
        <v>-7.87</v>
      </c>
    </row>
    <row r="774" spans="1:34">
      <c r="A774" t="s">
        <v>1193</v>
      </c>
      <c r="B774" t="s">
        <v>259</v>
      </c>
      <c r="C774" t="b">
        <v>0</v>
      </c>
      <c r="D774" t="b">
        <v>0</v>
      </c>
      <c r="E774" t="s">
        <v>80</v>
      </c>
      <c r="F774" t="s">
        <v>1474</v>
      </c>
      <c r="G774" t="s">
        <v>81</v>
      </c>
      <c r="H774">
        <v>19.7</v>
      </c>
      <c r="I774">
        <v>15</v>
      </c>
      <c r="J774">
        <v>268</v>
      </c>
      <c r="K774">
        <v>8221.67</v>
      </c>
      <c r="L774">
        <v>359.98</v>
      </c>
      <c r="M774">
        <v>20</v>
      </c>
      <c r="N774">
        <v>7841.69</v>
      </c>
      <c r="O774">
        <v>2468.46</v>
      </c>
      <c r="P774">
        <v>5373.23</v>
      </c>
      <c r="Q774">
        <v>65.04000000000001</v>
      </c>
      <c r="R774">
        <v>316.21</v>
      </c>
      <c r="S774">
        <v>475</v>
      </c>
      <c r="T774">
        <v>201</v>
      </c>
      <c r="U774">
        <v>11</v>
      </c>
      <c r="V774">
        <v>67</v>
      </c>
      <c r="W774">
        <v>34</v>
      </c>
      <c r="X774">
        <v>29.26</v>
      </c>
      <c r="Y774">
        <v>1.77</v>
      </c>
      <c r="Z774">
        <v>68.52</v>
      </c>
      <c r="AA774">
        <v>2571.43</v>
      </c>
      <c r="AB774">
        <v>1246.58</v>
      </c>
      <c r="AC774">
        <v>210.37</v>
      </c>
      <c r="AD774">
        <v>110</v>
      </c>
      <c r="AE774">
        <v>177.18</v>
      </c>
      <c r="AF774">
        <v>4315.56</v>
      </c>
      <c r="AG774">
        <v>676.42</v>
      </c>
      <c r="AH774">
        <v>8.630000000000001</v>
      </c>
    </row>
    <row r="775" spans="1:34">
      <c r="A775" t="s">
        <v>1194</v>
      </c>
      <c r="B775" t="s">
        <v>260</v>
      </c>
      <c r="C775" t="b">
        <v>0</v>
      </c>
      <c r="D775" t="b">
        <v>0</v>
      </c>
      <c r="E775" t="s">
        <v>80</v>
      </c>
      <c r="F775" t="s">
        <v>1474</v>
      </c>
      <c r="G775" t="s">
        <v>81</v>
      </c>
      <c r="H775">
        <v>18.5</v>
      </c>
      <c r="I775">
        <v>16</v>
      </c>
      <c r="J775">
        <v>270</v>
      </c>
      <c r="K775">
        <v>9245.969999999999</v>
      </c>
      <c r="L775">
        <v>368.25</v>
      </c>
      <c r="M775">
        <v>0</v>
      </c>
      <c r="N775">
        <v>8877.719999999999</v>
      </c>
      <c r="O775">
        <v>2688.18</v>
      </c>
      <c r="P775">
        <v>6189.54</v>
      </c>
      <c r="Q775">
        <v>59.62</v>
      </c>
      <c r="R775">
        <v>239.33</v>
      </c>
      <c r="S775">
        <v>534</v>
      </c>
      <c r="T775">
        <v>194</v>
      </c>
      <c r="U775">
        <v>12</v>
      </c>
      <c r="V775">
        <v>76</v>
      </c>
      <c r="W775">
        <v>28</v>
      </c>
      <c r="X775">
        <v>32.88</v>
      </c>
      <c r="Y775">
        <v>1.98</v>
      </c>
      <c r="Z775">
        <v>69.72</v>
      </c>
      <c r="AA775">
        <v>2571.43</v>
      </c>
      <c r="AB775">
        <v>1246.58</v>
      </c>
      <c r="AC775">
        <v>203.66</v>
      </c>
      <c r="AD775">
        <v>110</v>
      </c>
      <c r="AE775">
        <v>199.05</v>
      </c>
      <c r="AF775">
        <v>4330.72</v>
      </c>
      <c r="AG775">
        <v>1559.87</v>
      </c>
      <c r="AH775">
        <v>17.57</v>
      </c>
    </row>
    <row r="776" spans="1:34">
      <c r="A776" t="s">
        <v>1195</v>
      </c>
      <c r="B776" t="s">
        <v>261</v>
      </c>
      <c r="C776" t="b">
        <v>0</v>
      </c>
      <c r="D776" t="b">
        <v>0</v>
      </c>
      <c r="E776" t="s">
        <v>80</v>
      </c>
      <c r="F776" t="s">
        <v>1474</v>
      </c>
      <c r="G776" t="s">
        <v>81</v>
      </c>
      <c r="H776">
        <v>18.6</v>
      </c>
      <c r="I776">
        <v>17</v>
      </c>
      <c r="J776">
        <v>338</v>
      </c>
      <c r="K776">
        <v>11743.27</v>
      </c>
      <c r="L776">
        <v>429.56</v>
      </c>
      <c r="M776">
        <v>11.3</v>
      </c>
      <c r="N776">
        <v>11302.41</v>
      </c>
      <c r="O776">
        <v>3353.3</v>
      </c>
      <c r="P776">
        <v>7949.11</v>
      </c>
      <c r="Q776">
        <v>94.81</v>
      </c>
      <c r="R776">
        <v>382.1</v>
      </c>
      <c r="S776">
        <v>687</v>
      </c>
      <c r="T776">
        <v>232</v>
      </c>
      <c r="U776">
        <v>13</v>
      </c>
      <c r="V776">
        <v>106</v>
      </c>
      <c r="W776">
        <v>38</v>
      </c>
      <c r="X776">
        <v>33.44</v>
      </c>
      <c r="Y776">
        <v>2.03</v>
      </c>
      <c r="Z776">
        <v>70.33</v>
      </c>
      <c r="AA776">
        <v>2571.43</v>
      </c>
      <c r="AB776">
        <v>1246.58</v>
      </c>
      <c r="AC776">
        <v>206.21</v>
      </c>
      <c r="AD776">
        <v>110</v>
      </c>
      <c r="AE776">
        <v>180.93</v>
      </c>
      <c r="AF776">
        <v>4315.15</v>
      </c>
      <c r="AG776">
        <v>3157.05</v>
      </c>
      <c r="AH776">
        <v>27.93</v>
      </c>
    </row>
    <row r="777" spans="1:34">
      <c r="A777" t="s">
        <v>1196</v>
      </c>
      <c r="B777" t="s">
        <v>262</v>
      </c>
      <c r="C777" t="b">
        <v>1</v>
      </c>
      <c r="D777" t="b">
        <v>0</v>
      </c>
      <c r="E777" t="s">
        <v>80</v>
      </c>
      <c r="F777" t="s">
        <v>1474</v>
      </c>
      <c r="G777" t="s">
        <v>81</v>
      </c>
      <c r="H777">
        <v>18</v>
      </c>
      <c r="I777">
        <v>18</v>
      </c>
      <c r="J777">
        <v>253</v>
      </c>
      <c r="K777">
        <v>10085.22</v>
      </c>
      <c r="L777">
        <v>297.37</v>
      </c>
      <c r="M777">
        <v>0</v>
      </c>
      <c r="N777">
        <v>9787.85</v>
      </c>
      <c r="O777">
        <v>2972.52</v>
      </c>
      <c r="P777">
        <v>6815.33</v>
      </c>
      <c r="Q777">
        <v>67.52</v>
      </c>
      <c r="R777">
        <v>420.7</v>
      </c>
      <c r="S777">
        <v>588</v>
      </c>
      <c r="T777">
        <v>182</v>
      </c>
      <c r="U777">
        <v>15</v>
      </c>
      <c r="V777">
        <v>71</v>
      </c>
      <c r="W777">
        <v>48</v>
      </c>
      <c r="X777">
        <v>38.69</v>
      </c>
      <c r="Y777">
        <v>2.32</v>
      </c>
      <c r="Z777">
        <v>69.63</v>
      </c>
      <c r="AA777">
        <v>2571.43</v>
      </c>
      <c r="AB777">
        <v>1246.58</v>
      </c>
      <c r="AC777">
        <v>213.23</v>
      </c>
      <c r="AD777">
        <v>110</v>
      </c>
      <c r="AE777">
        <v>196.19</v>
      </c>
      <c r="AF777">
        <v>4337.43</v>
      </c>
      <c r="AG777">
        <v>1989.68</v>
      </c>
      <c r="AH777">
        <v>20.33</v>
      </c>
    </row>
    <row r="778" spans="1:34">
      <c r="A778" t="s">
        <v>1197</v>
      </c>
      <c r="B778" t="s">
        <v>263</v>
      </c>
      <c r="C778" t="b">
        <v>1</v>
      </c>
      <c r="D778" t="b">
        <v>0</v>
      </c>
      <c r="E778" t="s">
        <v>80</v>
      </c>
      <c r="F778" t="s">
        <v>1474</v>
      </c>
      <c r="G778" t="s">
        <v>81</v>
      </c>
      <c r="H778">
        <v>16.9</v>
      </c>
      <c r="I778">
        <v>19</v>
      </c>
      <c r="J778">
        <v>267</v>
      </c>
      <c r="K778">
        <v>9802.540000000001</v>
      </c>
      <c r="L778">
        <v>235.65</v>
      </c>
      <c r="M778">
        <v>0</v>
      </c>
      <c r="N778">
        <v>9566.889999999999</v>
      </c>
      <c r="O778">
        <v>2943.72</v>
      </c>
      <c r="P778">
        <v>6623.17</v>
      </c>
      <c r="Q778">
        <v>65.68000000000001</v>
      </c>
      <c r="R778">
        <v>516.22</v>
      </c>
      <c r="S778">
        <v>570</v>
      </c>
      <c r="T778">
        <v>186</v>
      </c>
      <c r="U778">
        <v>6</v>
      </c>
      <c r="V778">
        <v>81</v>
      </c>
      <c r="W778">
        <v>54</v>
      </c>
      <c r="X778">
        <v>35.83</v>
      </c>
      <c r="Y778">
        <v>2.13</v>
      </c>
      <c r="Z778">
        <v>69.23</v>
      </c>
      <c r="AA778">
        <v>2571.43</v>
      </c>
      <c r="AB778">
        <v>1246.58</v>
      </c>
      <c r="AC778">
        <v>193.2</v>
      </c>
      <c r="AD778">
        <v>110</v>
      </c>
      <c r="AE778">
        <v>175.18</v>
      </c>
      <c r="AF778">
        <v>4296.39</v>
      </c>
      <c r="AG778">
        <v>1744.88</v>
      </c>
      <c r="AH778">
        <v>18.24</v>
      </c>
    </row>
    <row r="779" spans="1:34">
      <c r="A779" t="s">
        <v>476</v>
      </c>
      <c r="B779" t="s">
        <v>75</v>
      </c>
      <c r="C779" t="b">
        <v>0</v>
      </c>
      <c r="D779" t="b">
        <v>0</v>
      </c>
      <c r="E779" t="s">
        <v>80</v>
      </c>
      <c r="F779" t="s">
        <v>1474</v>
      </c>
      <c r="G779" t="s">
        <v>81</v>
      </c>
      <c r="H779">
        <v>17.1</v>
      </c>
      <c r="I779">
        <v>20</v>
      </c>
      <c r="J779">
        <v>251</v>
      </c>
      <c r="K779">
        <v>8623.42</v>
      </c>
      <c r="L779">
        <v>483.72</v>
      </c>
      <c r="M779">
        <v>0</v>
      </c>
      <c r="N779">
        <v>8139.7</v>
      </c>
      <c r="O779">
        <v>2564.59</v>
      </c>
      <c r="P779">
        <v>5575.11</v>
      </c>
      <c r="Q779">
        <v>56.56</v>
      </c>
      <c r="R779">
        <v>248.53</v>
      </c>
      <c r="S779">
        <v>491</v>
      </c>
      <c r="T779">
        <v>193</v>
      </c>
      <c r="U779">
        <v>9</v>
      </c>
      <c r="V779">
        <v>58</v>
      </c>
      <c r="W779">
        <v>31</v>
      </c>
      <c r="X779">
        <v>32.43</v>
      </c>
      <c r="Y779">
        <v>1.96</v>
      </c>
      <c r="Z779">
        <v>68.48999999999999</v>
      </c>
      <c r="AA779">
        <v>2571.43</v>
      </c>
      <c r="AB779">
        <v>1246.58</v>
      </c>
      <c r="AC779">
        <v>210.4</v>
      </c>
      <c r="AD779">
        <v>110</v>
      </c>
      <c r="AE779">
        <v>183.13</v>
      </c>
      <c r="AF779">
        <v>4321.54</v>
      </c>
      <c r="AG779">
        <v>948.48</v>
      </c>
      <c r="AH779">
        <v>11.65</v>
      </c>
    </row>
    <row r="780" spans="1:34">
      <c r="A780" t="s">
        <v>1198</v>
      </c>
      <c r="B780" t="s">
        <v>258</v>
      </c>
      <c r="C780" t="b">
        <v>0</v>
      </c>
      <c r="D780" t="b">
        <v>0</v>
      </c>
      <c r="E780" t="s">
        <v>80</v>
      </c>
      <c r="F780" t="s">
        <v>1474</v>
      </c>
      <c r="G780" t="s">
        <v>1507</v>
      </c>
      <c r="H780">
        <v>16.4</v>
      </c>
      <c r="I780">
        <v>21</v>
      </c>
      <c r="J780">
        <v>277</v>
      </c>
      <c r="K780">
        <v>8388.440000000001</v>
      </c>
      <c r="L780">
        <v>1241.47</v>
      </c>
      <c r="M780">
        <v>16.26</v>
      </c>
      <c r="N780">
        <v>7130.71</v>
      </c>
      <c r="O780">
        <v>2404.1</v>
      </c>
      <c r="P780">
        <v>4726.61</v>
      </c>
      <c r="Q780">
        <v>54.34</v>
      </c>
      <c r="R780">
        <v>197.8</v>
      </c>
      <c r="S780">
        <v>499</v>
      </c>
      <c r="T780">
        <v>206</v>
      </c>
      <c r="U780">
        <v>12</v>
      </c>
      <c r="V780">
        <v>71</v>
      </c>
      <c r="W780">
        <v>29</v>
      </c>
      <c r="X780">
        <v>25.74</v>
      </c>
      <c r="Y780">
        <v>1.8</v>
      </c>
      <c r="Z780">
        <v>66.29000000000001</v>
      </c>
      <c r="AA780">
        <v>2571.43</v>
      </c>
      <c r="AB780">
        <v>1246.58</v>
      </c>
      <c r="AC780">
        <v>211.46</v>
      </c>
      <c r="AD780">
        <v>410</v>
      </c>
      <c r="AE780">
        <v>203.32</v>
      </c>
      <c r="AF780">
        <v>4642.79</v>
      </c>
      <c r="AG780">
        <v>-168.32</v>
      </c>
      <c r="AH780">
        <v>-2.36</v>
      </c>
    </row>
    <row r="781" spans="1:34">
      <c r="A781" t="s">
        <v>1199</v>
      </c>
      <c r="B781" t="s">
        <v>259</v>
      </c>
      <c r="C781" t="b">
        <v>0</v>
      </c>
      <c r="D781" t="b">
        <v>0</v>
      </c>
      <c r="E781" t="s">
        <v>80</v>
      </c>
      <c r="F781" t="s">
        <v>1474</v>
      </c>
      <c r="G781" t="s">
        <v>81</v>
      </c>
      <c r="H781">
        <v>16.5</v>
      </c>
      <c r="I781">
        <v>22</v>
      </c>
      <c r="J781">
        <v>226</v>
      </c>
      <c r="K781">
        <v>6736.38</v>
      </c>
      <c r="L781">
        <v>295.63</v>
      </c>
      <c r="M781">
        <v>37.39</v>
      </c>
      <c r="N781">
        <v>6403.36</v>
      </c>
      <c r="O781">
        <v>1967.84</v>
      </c>
      <c r="P781">
        <v>4435.52</v>
      </c>
      <c r="Q781">
        <v>48.41</v>
      </c>
      <c r="R781">
        <v>195.52</v>
      </c>
      <c r="S781">
        <v>385</v>
      </c>
      <c r="T781">
        <v>171</v>
      </c>
      <c r="U781">
        <v>11</v>
      </c>
      <c r="V781">
        <v>55</v>
      </c>
      <c r="W781">
        <v>26</v>
      </c>
      <c r="X781">
        <v>28.33</v>
      </c>
      <c r="Y781">
        <v>1.7</v>
      </c>
      <c r="Z781">
        <v>69.27</v>
      </c>
      <c r="AA781">
        <v>2571.43</v>
      </c>
      <c r="AB781">
        <v>1246.58</v>
      </c>
      <c r="AC781">
        <v>213.98</v>
      </c>
      <c r="AD781">
        <v>110</v>
      </c>
      <c r="AE781">
        <v>174.09</v>
      </c>
      <c r="AF781">
        <v>4316.08</v>
      </c>
      <c r="AG781">
        <v>-124.49</v>
      </c>
      <c r="AH781">
        <v>-1.94</v>
      </c>
    </row>
    <row r="782" spans="1:34">
      <c r="A782" t="s">
        <v>1200</v>
      </c>
      <c r="B782" t="s">
        <v>260</v>
      </c>
      <c r="C782" t="b">
        <v>0</v>
      </c>
      <c r="D782" t="b">
        <v>0</v>
      </c>
      <c r="E782" t="s">
        <v>80</v>
      </c>
      <c r="F782" t="s">
        <v>1474</v>
      </c>
      <c r="G782" t="s">
        <v>81</v>
      </c>
      <c r="H782">
        <v>17.3</v>
      </c>
      <c r="I782">
        <v>23</v>
      </c>
      <c r="J782">
        <v>286</v>
      </c>
      <c r="K782">
        <v>8648.719999999999</v>
      </c>
      <c r="L782">
        <v>243.47</v>
      </c>
      <c r="M782">
        <v>0</v>
      </c>
      <c r="N782">
        <v>8405.25</v>
      </c>
      <c r="O782">
        <v>2543.76</v>
      </c>
      <c r="P782">
        <v>5861.49</v>
      </c>
      <c r="Q782">
        <v>70.63</v>
      </c>
      <c r="R782">
        <v>200.71</v>
      </c>
      <c r="S782">
        <v>507</v>
      </c>
      <c r="T782">
        <v>197</v>
      </c>
      <c r="U782">
        <v>17</v>
      </c>
      <c r="V782">
        <v>89</v>
      </c>
      <c r="W782">
        <v>28</v>
      </c>
      <c r="X782">
        <v>29.39</v>
      </c>
      <c r="Y782">
        <v>1.77</v>
      </c>
      <c r="Z782">
        <v>69.73999999999999</v>
      </c>
      <c r="AA782">
        <v>2571.43</v>
      </c>
      <c r="AB782">
        <v>1246.58</v>
      </c>
      <c r="AC782">
        <v>224.14</v>
      </c>
      <c r="AD782">
        <v>110</v>
      </c>
      <c r="AE782">
        <v>201.95</v>
      </c>
      <c r="AF782">
        <v>4354.1</v>
      </c>
      <c r="AG782">
        <v>1236.05</v>
      </c>
      <c r="AH782">
        <v>14.71</v>
      </c>
    </row>
    <row r="783" spans="1:34">
      <c r="A783" t="s">
        <v>1201</v>
      </c>
      <c r="B783" t="s">
        <v>261</v>
      </c>
      <c r="C783" t="b">
        <v>0</v>
      </c>
      <c r="D783" t="b">
        <v>0</v>
      </c>
      <c r="E783" t="s">
        <v>80</v>
      </c>
      <c r="F783" t="s">
        <v>1474</v>
      </c>
      <c r="G783" t="s">
        <v>81</v>
      </c>
      <c r="H783">
        <v>16.7</v>
      </c>
      <c r="I783">
        <v>24</v>
      </c>
      <c r="J783">
        <v>360</v>
      </c>
      <c r="K783">
        <v>12815.56</v>
      </c>
      <c r="L783">
        <v>494.5</v>
      </c>
      <c r="M783">
        <v>36.52</v>
      </c>
      <c r="N783">
        <v>12284.54</v>
      </c>
      <c r="O783">
        <v>3707.5</v>
      </c>
      <c r="P783">
        <v>8577.040000000001</v>
      </c>
      <c r="Q783">
        <v>94.04000000000001</v>
      </c>
      <c r="R783">
        <v>258.63</v>
      </c>
      <c r="S783">
        <v>752</v>
      </c>
      <c r="T783">
        <v>269</v>
      </c>
      <c r="U783">
        <v>13</v>
      </c>
      <c r="V783">
        <v>91</v>
      </c>
      <c r="W783">
        <v>32</v>
      </c>
      <c r="X783">
        <v>34.12</v>
      </c>
      <c r="Y783">
        <v>2.09</v>
      </c>
      <c r="Z783">
        <v>69.81999999999999</v>
      </c>
      <c r="AA783">
        <v>2571.43</v>
      </c>
      <c r="AB783">
        <v>1246.58</v>
      </c>
      <c r="AC783">
        <v>215</v>
      </c>
      <c r="AD783">
        <v>110</v>
      </c>
      <c r="AE783">
        <v>168.33</v>
      </c>
      <c r="AF783">
        <v>4311.34</v>
      </c>
      <c r="AG783">
        <v>3913.03</v>
      </c>
      <c r="AH783">
        <v>31.85</v>
      </c>
    </row>
    <row r="784" spans="1:34">
      <c r="A784" t="s">
        <v>1202</v>
      </c>
      <c r="B784" t="s">
        <v>262</v>
      </c>
      <c r="C784" t="b">
        <v>1</v>
      </c>
      <c r="D784" t="b">
        <v>0</v>
      </c>
      <c r="E784" t="s">
        <v>80</v>
      </c>
      <c r="F784" t="s">
        <v>1475</v>
      </c>
      <c r="G784" t="s">
        <v>309</v>
      </c>
      <c r="H784">
        <v>17.1</v>
      </c>
      <c r="I784">
        <v>25</v>
      </c>
      <c r="J784">
        <v>266</v>
      </c>
      <c r="K784">
        <v>11550.33</v>
      </c>
      <c r="L784">
        <v>1776.88</v>
      </c>
      <c r="M784">
        <v>0</v>
      </c>
      <c r="N784">
        <v>9773.450000000001</v>
      </c>
      <c r="O784">
        <v>3360.31</v>
      </c>
      <c r="P784">
        <v>6413.14</v>
      </c>
      <c r="Q784">
        <v>79.09999999999999</v>
      </c>
      <c r="R784">
        <v>363.02</v>
      </c>
      <c r="S784">
        <v>661</v>
      </c>
      <c r="T784">
        <v>193</v>
      </c>
      <c r="U784">
        <v>18</v>
      </c>
      <c r="V784">
        <v>73</v>
      </c>
      <c r="W784">
        <v>46</v>
      </c>
      <c r="X784">
        <v>36.74</v>
      </c>
      <c r="Y784">
        <v>2.48</v>
      </c>
      <c r="Z784">
        <v>65.62</v>
      </c>
      <c r="AA784">
        <v>2571.43</v>
      </c>
      <c r="AB784">
        <v>1246.58</v>
      </c>
      <c r="AC784">
        <v>175.21</v>
      </c>
      <c r="AD784">
        <v>610</v>
      </c>
      <c r="AE784">
        <v>169.38</v>
      </c>
      <c r="AF784">
        <v>4772.6</v>
      </c>
      <c r="AG784">
        <v>1198.42</v>
      </c>
      <c r="AH784">
        <v>12.26</v>
      </c>
    </row>
    <row r="785" spans="1:34">
      <c r="A785" t="s">
        <v>1203</v>
      </c>
      <c r="B785" t="s">
        <v>263</v>
      </c>
      <c r="C785" t="b">
        <v>1</v>
      </c>
      <c r="D785" t="b">
        <v>1</v>
      </c>
      <c r="E785" t="s">
        <v>80</v>
      </c>
      <c r="F785" t="s">
        <v>1475</v>
      </c>
      <c r="G785" t="s">
        <v>1478</v>
      </c>
      <c r="H785">
        <v>17.2</v>
      </c>
      <c r="I785">
        <v>26</v>
      </c>
      <c r="J785">
        <v>286</v>
      </c>
      <c r="K785">
        <v>11072.1</v>
      </c>
      <c r="L785">
        <v>1701.8</v>
      </c>
      <c r="M785">
        <v>0</v>
      </c>
      <c r="N785">
        <v>9370.299999999999</v>
      </c>
      <c r="O785">
        <v>3299.26</v>
      </c>
      <c r="P785">
        <v>6071.04</v>
      </c>
      <c r="Q785">
        <v>73.93000000000001</v>
      </c>
      <c r="R785">
        <v>340.69</v>
      </c>
      <c r="S785">
        <v>637</v>
      </c>
      <c r="T785">
        <v>206</v>
      </c>
      <c r="U785">
        <v>17</v>
      </c>
      <c r="V785">
        <v>80</v>
      </c>
      <c r="W785">
        <v>40</v>
      </c>
      <c r="X785">
        <v>32.76</v>
      </c>
      <c r="Y785">
        <v>2.23</v>
      </c>
      <c r="Z785">
        <v>64.79000000000001</v>
      </c>
      <c r="AA785">
        <v>2571.43</v>
      </c>
      <c r="AB785">
        <v>1246.58</v>
      </c>
      <c r="AC785">
        <v>199.12</v>
      </c>
      <c r="AD785">
        <v>610</v>
      </c>
      <c r="AE785">
        <v>163.65</v>
      </c>
      <c r="AF785">
        <v>4790.78</v>
      </c>
      <c r="AG785">
        <v>865.64</v>
      </c>
      <c r="AH785">
        <v>9.24</v>
      </c>
    </row>
    <row r="786" spans="1:34">
      <c r="A786" t="s">
        <v>477</v>
      </c>
      <c r="B786" t="s">
        <v>75</v>
      </c>
      <c r="C786" t="b">
        <v>0</v>
      </c>
      <c r="D786" t="b">
        <v>1</v>
      </c>
      <c r="E786" t="s">
        <v>80</v>
      </c>
      <c r="F786" t="s">
        <v>1475</v>
      </c>
      <c r="G786" t="s">
        <v>1479</v>
      </c>
      <c r="H786">
        <v>16.7</v>
      </c>
      <c r="I786">
        <v>27</v>
      </c>
      <c r="J786">
        <v>257</v>
      </c>
      <c r="K786">
        <v>9694.67</v>
      </c>
      <c r="L786">
        <v>1444.63</v>
      </c>
      <c r="M786">
        <v>48.04</v>
      </c>
      <c r="N786">
        <v>8202</v>
      </c>
      <c r="O786">
        <v>2832.39</v>
      </c>
      <c r="P786">
        <v>5369.61</v>
      </c>
      <c r="Q786">
        <v>69.36</v>
      </c>
      <c r="R786">
        <v>242.38</v>
      </c>
      <c r="S786">
        <v>555</v>
      </c>
      <c r="T786">
        <v>177</v>
      </c>
      <c r="U786">
        <v>11</v>
      </c>
      <c r="V786">
        <v>80</v>
      </c>
      <c r="W786">
        <v>28</v>
      </c>
      <c r="X786">
        <v>31.91</v>
      </c>
      <c r="Y786">
        <v>2.16</v>
      </c>
      <c r="Z786">
        <v>65.47</v>
      </c>
      <c r="AA786">
        <v>2571.43</v>
      </c>
      <c r="AB786">
        <v>1246.58</v>
      </c>
      <c r="AC786">
        <v>203.41</v>
      </c>
      <c r="AD786">
        <v>610</v>
      </c>
      <c r="AE786">
        <v>197.42</v>
      </c>
      <c r="AF786">
        <v>4828.84</v>
      </c>
      <c r="AG786">
        <v>229.03</v>
      </c>
      <c r="AH786">
        <v>2.79</v>
      </c>
    </row>
    <row r="787" spans="1:34">
      <c r="A787" t="s">
        <v>1204</v>
      </c>
      <c r="B787" t="s">
        <v>258</v>
      </c>
      <c r="C787" t="b">
        <v>0</v>
      </c>
      <c r="D787" t="b">
        <v>0</v>
      </c>
      <c r="E787" t="s">
        <v>80</v>
      </c>
      <c r="F787" t="s">
        <v>1475</v>
      </c>
      <c r="G787" t="s">
        <v>1507</v>
      </c>
      <c r="H787">
        <v>16.6</v>
      </c>
      <c r="I787">
        <v>28</v>
      </c>
      <c r="J787">
        <v>292</v>
      </c>
      <c r="K787">
        <v>9878.889999999999</v>
      </c>
      <c r="L787">
        <v>1471.32</v>
      </c>
      <c r="M787">
        <v>0</v>
      </c>
      <c r="N787">
        <v>8407.57</v>
      </c>
      <c r="O787">
        <v>2840.97</v>
      </c>
      <c r="P787">
        <v>5566.6</v>
      </c>
      <c r="Q787">
        <v>51.97</v>
      </c>
      <c r="R787">
        <v>229.21</v>
      </c>
      <c r="S787">
        <v>566</v>
      </c>
      <c r="T787">
        <v>219</v>
      </c>
      <c r="U787">
        <v>16</v>
      </c>
      <c r="V787">
        <v>73</v>
      </c>
      <c r="W787">
        <v>33</v>
      </c>
      <c r="X787">
        <v>28.79</v>
      </c>
      <c r="Y787">
        <v>1.94</v>
      </c>
      <c r="Z787">
        <v>66.20999999999999</v>
      </c>
      <c r="AA787">
        <v>2571.43</v>
      </c>
      <c r="AB787">
        <v>1246.58</v>
      </c>
      <c r="AC787">
        <v>205.69</v>
      </c>
      <c r="AD787">
        <v>410</v>
      </c>
      <c r="AE787">
        <v>210.44</v>
      </c>
      <c r="AF787">
        <v>4644.14</v>
      </c>
      <c r="AG787">
        <v>641.28</v>
      </c>
      <c r="AH787">
        <v>7.63</v>
      </c>
    </row>
    <row r="788" spans="1:34">
      <c r="A788" t="s">
        <v>1205</v>
      </c>
      <c r="B788" t="s">
        <v>259</v>
      </c>
      <c r="C788" t="b">
        <v>0</v>
      </c>
      <c r="D788" t="b">
        <v>0</v>
      </c>
      <c r="E788" t="s">
        <v>80</v>
      </c>
      <c r="F788" t="s">
        <v>1475</v>
      </c>
      <c r="G788" t="s">
        <v>81</v>
      </c>
      <c r="H788">
        <v>16.4</v>
      </c>
      <c r="I788">
        <v>29</v>
      </c>
      <c r="J788">
        <v>229</v>
      </c>
      <c r="K788">
        <v>6691.18</v>
      </c>
      <c r="L788">
        <v>274.76</v>
      </c>
      <c r="M788">
        <v>0</v>
      </c>
      <c r="N788">
        <v>6416.42</v>
      </c>
      <c r="O788">
        <v>1913.58</v>
      </c>
      <c r="P788">
        <v>4502.84</v>
      </c>
      <c r="Q788">
        <v>49.52</v>
      </c>
      <c r="R788">
        <v>219.5</v>
      </c>
      <c r="S788">
        <v>395</v>
      </c>
      <c r="T788">
        <v>166</v>
      </c>
      <c r="U788">
        <v>9</v>
      </c>
      <c r="V788">
        <v>63</v>
      </c>
      <c r="W788">
        <v>26</v>
      </c>
      <c r="X788">
        <v>28.02</v>
      </c>
      <c r="Y788">
        <v>1.72</v>
      </c>
      <c r="Z788">
        <v>70.18000000000001</v>
      </c>
      <c r="AA788">
        <v>2571.43</v>
      </c>
      <c r="AB788">
        <v>1246.58</v>
      </c>
      <c r="AC788">
        <v>185.92</v>
      </c>
      <c r="AD788">
        <v>110</v>
      </c>
      <c r="AE788">
        <v>196.91</v>
      </c>
      <c r="AF788">
        <v>4310.84</v>
      </c>
      <c r="AG788">
        <v>-77.02</v>
      </c>
      <c r="AH788">
        <v>-1.2</v>
      </c>
    </row>
    <row r="789" spans="1:34">
      <c r="A789" t="s">
        <v>1206</v>
      </c>
      <c r="B789" t="s">
        <v>260</v>
      </c>
      <c r="C789" t="b">
        <v>0</v>
      </c>
      <c r="D789" t="b">
        <v>0</v>
      </c>
      <c r="E789" t="s">
        <v>80</v>
      </c>
      <c r="F789" t="s">
        <v>1475</v>
      </c>
      <c r="G789" t="s">
        <v>81</v>
      </c>
      <c r="H789">
        <v>18.5</v>
      </c>
      <c r="I789">
        <v>30</v>
      </c>
      <c r="J789">
        <v>256</v>
      </c>
      <c r="K789">
        <v>7985.99</v>
      </c>
      <c r="L789">
        <v>473.9</v>
      </c>
      <c r="M789">
        <v>0</v>
      </c>
      <c r="N789">
        <v>7512.09</v>
      </c>
      <c r="O789">
        <v>2319.26</v>
      </c>
      <c r="P789">
        <v>5192.83</v>
      </c>
      <c r="Q789">
        <v>61.11</v>
      </c>
      <c r="R789">
        <v>283.47</v>
      </c>
      <c r="S789">
        <v>463</v>
      </c>
      <c r="T789">
        <v>184</v>
      </c>
      <c r="U789">
        <v>9</v>
      </c>
      <c r="V789">
        <v>72</v>
      </c>
      <c r="W789">
        <v>35</v>
      </c>
      <c r="X789">
        <v>29.34</v>
      </c>
      <c r="Y789">
        <v>1.81</v>
      </c>
      <c r="Z789">
        <v>69.13</v>
      </c>
      <c r="AA789">
        <v>2571.43</v>
      </c>
      <c r="AB789">
        <v>1246.58</v>
      </c>
      <c r="AC789">
        <v>180.47</v>
      </c>
      <c r="AD789">
        <v>110</v>
      </c>
      <c r="AE789">
        <v>196.63</v>
      </c>
      <c r="AF789">
        <v>4305.11</v>
      </c>
      <c r="AG789">
        <v>543.14</v>
      </c>
      <c r="AH789">
        <v>7.23</v>
      </c>
    </row>
    <row r="790" spans="1:34">
      <c r="A790" t="s">
        <v>1207</v>
      </c>
      <c r="B790" t="s">
        <v>261</v>
      </c>
      <c r="C790" t="b">
        <v>0</v>
      </c>
      <c r="D790" t="b">
        <v>0</v>
      </c>
      <c r="E790" t="s">
        <v>80</v>
      </c>
      <c r="F790" t="s">
        <v>1475</v>
      </c>
      <c r="G790" t="s">
        <v>1477</v>
      </c>
      <c r="H790">
        <v>19.2</v>
      </c>
      <c r="I790">
        <v>0</v>
      </c>
      <c r="J790">
        <v>398</v>
      </c>
      <c r="K790">
        <v>14430.29</v>
      </c>
      <c r="L790">
        <v>399.11</v>
      </c>
      <c r="M790">
        <v>0</v>
      </c>
      <c r="N790">
        <v>14031.18</v>
      </c>
      <c r="O790">
        <v>4256.13</v>
      </c>
      <c r="P790">
        <v>9775.049999999999</v>
      </c>
      <c r="Q790">
        <v>112.36</v>
      </c>
      <c r="R790">
        <v>527.3200000000001</v>
      </c>
      <c r="S790">
        <v>825</v>
      </c>
      <c r="T790">
        <v>286</v>
      </c>
      <c r="U790">
        <v>13</v>
      </c>
      <c r="V790">
        <v>112</v>
      </c>
      <c r="W790">
        <v>55</v>
      </c>
      <c r="X790">
        <v>35.25</v>
      </c>
      <c r="Y790">
        <v>2.07</v>
      </c>
      <c r="Z790">
        <v>69.67</v>
      </c>
      <c r="AA790">
        <v>2571.43</v>
      </c>
      <c r="AB790">
        <v>1246.58</v>
      </c>
      <c r="AC790">
        <v>210.49</v>
      </c>
      <c r="AD790">
        <v>110</v>
      </c>
      <c r="AE790">
        <v>180.11</v>
      </c>
      <c r="AF790">
        <v>4318.61</v>
      </c>
      <c r="AG790">
        <v>4816.76</v>
      </c>
      <c r="AH790">
        <v>34.33</v>
      </c>
    </row>
    <row r="791" spans="1:34">
      <c r="A791" t="s">
        <v>1208</v>
      </c>
      <c r="B791" t="s">
        <v>262</v>
      </c>
      <c r="C791" t="b">
        <v>1</v>
      </c>
      <c r="D791" t="b">
        <v>0</v>
      </c>
      <c r="E791" t="s">
        <v>80</v>
      </c>
      <c r="F791" t="s">
        <v>1475</v>
      </c>
      <c r="G791" t="s">
        <v>1509</v>
      </c>
      <c r="H791">
        <v>20.6</v>
      </c>
      <c r="I791">
        <v>1</v>
      </c>
      <c r="J791">
        <v>299</v>
      </c>
      <c r="K791">
        <v>12864.28</v>
      </c>
      <c r="L791">
        <v>319.98</v>
      </c>
      <c r="M791">
        <v>2.61</v>
      </c>
      <c r="N791">
        <v>12541.69</v>
      </c>
      <c r="O791">
        <v>3854.61</v>
      </c>
      <c r="P791">
        <v>8687.08</v>
      </c>
      <c r="Q791">
        <v>106.62</v>
      </c>
      <c r="R791">
        <v>360.02</v>
      </c>
      <c r="S791">
        <v>725</v>
      </c>
      <c r="T791">
        <v>212</v>
      </c>
      <c r="U791">
        <v>16</v>
      </c>
      <c r="V791">
        <v>87</v>
      </c>
      <c r="W791">
        <v>39</v>
      </c>
      <c r="X791">
        <v>41.95</v>
      </c>
      <c r="Y791">
        <v>2.42</v>
      </c>
      <c r="Z791">
        <v>69.27</v>
      </c>
      <c r="AA791">
        <v>2571.43</v>
      </c>
      <c r="AB791">
        <v>1246.58</v>
      </c>
      <c r="AC791">
        <v>231.41</v>
      </c>
      <c r="AD791">
        <v>110</v>
      </c>
      <c r="AE791">
        <v>193.08</v>
      </c>
      <c r="AF791">
        <v>4352.5</v>
      </c>
      <c r="AG791">
        <v>3867.94</v>
      </c>
      <c r="AH791">
        <v>30.84</v>
      </c>
    </row>
    <row r="792" spans="1:34">
      <c r="A792" t="s">
        <v>1209</v>
      </c>
      <c r="B792" t="s">
        <v>263</v>
      </c>
      <c r="C792" t="b">
        <v>1</v>
      </c>
      <c r="D792" t="b">
        <v>0</v>
      </c>
      <c r="E792" t="s">
        <v>1471</v>
      </c>
      <c r="F792" t="s">
        <v>1475</v>
      </c>
      <c r="G792" t="s">
        <v>1482</v>
      </c>
      <c r="H792">
        <v>20.5</v>
      </c>
      <c r="I792">
        <v>2</v>
      </c>
      <c r="J792">
        <v>240</v>
      </c>
      <c r="K792">
        <v>10967.73</v>
      </c>
      <c r="L792">
        <v>297.98</v>
      </c>
      <c r="M792">
        <v>0</v>
      </c>
      <c r="N792">
        <v>10669.75</v>
      </c>
      <c r="O792">
        <v>3202.08</v>
      </c>
      <c r="P792">
        <v>7467.67</v>
      </c>
      <c r="Q792">
        <v>85.78</v>
      </c>
      <c r="R792">
        <v>376.3</v>
      </c>
      <c r="S792">
        <v>570</v>
      </c>
      <c r="T792">
        <v>171</v>
      </c>
      <c r="U792">
        <v>13</v>
      </c>
      <c r="V792">
        <v>69</v>
      </c>
      <c r="W792">
        <v>43</v>
      </c>
      <c r="X792">
        <v>44.46</v>
      </c>
      <c r="Y792">
        <v>2.38</v>
      </c>
      <c r="Z792">
        <v>69.98999999999999</v>
      </c>
      <c r="AA792">
        <v>2601.29</v>
      </c>
      <c r="AB792">
        <v>1246.58</v>
      </c>
      <c r="AC792">
        <v>215.12</v>
      </c>
      <c r="AD792">
        <v>360</v>
      </c>
      <c r="AE792">
        <v>175.04</v>
      </c>
      <c r="AF792">
        <v>4598.03</v>
      </c>
      <c r="AG792">
        <v>2407.56</v>
      </c>
      <c r="AH792">
        <v>22.56</v>
      </c>
    </row>
    <row r="793" spans="1:34">
      <c r="A793" t="s">
        <v>478</v>
      </c>
      <c r="B793" t="s">
        <v>75</v>
      </c>
      <c r="C793" t="b">
        <v>0</v>
      </c>
      <c r="D793" t="b">
        <v>0</v>
      </c>
      <c r="E793" t="s">
        <v>1471</v>
      </c>
      <c r="F793" t="s">
        <v>82</v>
      </c>
      <c r="G793" t="s">
        <v>1482</v>
      </c>
      <c r="H793">
        <v>20.9</v>
      </c>
      <c r="I793">
        <v>3</v>
      </c>
      <c r="J793">
        <v>250</v>
      </c>
      <c r="K793">
        <v>10293.92</v>
      </c>
      <c r="L793">
        <v>317.69</v>
      </c>
      <c r="M793">
        <v>45.22</v>
      </c>
      <c r="N793">
        <v>9931.01</v>
      </c>
      <c r="O793">
        <v>3004.73</v>
      </c>
      <c r="P793">
        <v>6926.28</v>
      </c>
      <c r="Q793">
        <v>66.55</v>
      </c>
      <c r="R793">
        <v>573.35</v>
      </c>
      <c r="S793">
        <v>536</v>
      </c>
      <c r="T793">
        <v>184</v>
      </c>
      <c r="U793">
        <v>10</v>
      </c>
      <c r="V793">
        <v>66</v>
      </c>
      <c r="W793">
        <v>56</v>
      </c>
      <c r="X793">
        <v>39.72</v>
      </c>
      <c r="Y793">
        <v>2.14</v>
      </c>
      <c r="Z793">
        <v>69.73999999999999</v>
      </c>
      <c r="AA793">
        <v>2601.29</v>
      </c>
      <c r="AB793">
        <v>1246.58</v>
      </c>
      <c r="AC793">
        <v>217.4</v>
      </c>
      <c r="AD793">
        <v>360</v>
      </c>
      <c r="AE793">
        <v>199.31</v>
      </c>
      <c r="AF793">
        <v>4624.58</v>
      </c>
      <c r="AG793">
        <v>1661.8</v>
      </c>
      <c r="AH793">
        <v>16.73</v>
      </c>
    </row>
    <row r="794" spans="1:34">
      <c r="A794" t="s">
        <v>1210</v>
      </c>
      <c r="B794" t="s">
        <v>258</v>
      </c>
      <c r="C794" t="b">
        <v>0</v>
      </c>
      <c r="D794" t="b">
        <v>0</v>
      </c>
      <c r="E794" t="s">
        <v>1471</v>
      </c>
      <c r="F794" t="s">
        <v>82</v>
      </c>
      <c r="G794" t="s">
        <v>1482</v>
      </c>
      <c r="H794">
        <v>19</v>
      </c>
      <c r="I794">
        <v>4</v>
      </c>
      <c r="J794">
        <v>224</v>
      </c>
      <c r="K794">
        <v>9304.379999999999</v>
      </c>
      <c r="L794">
        <v>328.21</v>
      </c>
      <c r="M794">
        <v>27.83</v>
      </c>
      <c r="N794">
        <v>8948.34</v>
      </c>
      <c r="O794">
        <v>2724.18</v>
      </c>
      <c r="P794">
        <v>6224.16</v>
      </c>
      <c r="Q794">
        <v>63.47</v>
      </c>
      <c r="R794">
        <v>475.57</v>
      </c>
      <c r="S794">
        <v>478</v>
      </c>
      <c r="T794">
        <v>169</v>
      </c>
      <c r="U794">
        <v>7</v>
      </c>
      <c r="V794">
        <v>55</v>
      </c>
      <c r="W794">
        <v>45</v>
      </c>
      <c r="X794">
        <v>39.95</v>
      </c>
      <c r="Y794">
        <v>2.13</v>
      </c>
      <c r="Z794">
        <v>69.56</v>
      </c>
      <c r="AA794">
        <v>2601.29</v>
      </c>
      <c r="AB794">
        <v>1246.58</v>
      </c>
      <c r="AC794">
        <v>216.3</v>
      </c>
      <c r="AD794">
        <v>360</v>
      </c>
      <c r="AE794">
        <v>181.53</v>
      </c>
      <c r="AF794">
        <v>4605.7</v>
      </c>
      <c r="AG794">
        <v>1079.42</v>
      </c>
      <c r="AH794">
        <v>12.06</v>
      </c>
    </row>
    <row r="795" spans="1:34">
      <c r="A795" t="s">
        <v>1211</v>
      </c>
      <c r="B795" t="s">
        <v>259</v>
      </c>
      <c r="C795" t="b">
        <v>0</v>
      </c>
      <c r="D795" t="b">
        <v>0</v>
      </c>
      <c r="E795" t="s">
        <v>1471</v>
      </c>
      <c r="F795" t="s">
        <v>82</v>
      </c>
      <c r="G795" t="s">
        <v>1481</v>
      </c>
      <c r="H795">
        <v>18.1</v>
      </c>
      <c r="I795">
        <v>5</v>
      </c>
      <c r="J795">
        <v>250</v>
      </c>
      <c r="K795">
        <v>9597.34</v>
      </c>
      <c r="L795">
        <v>325.34</v>
      </c>
      <c r="M795">
        <v>19.13</v>
      </c>
      <c r="N795">
        <v>9252.870000000001</v>
      </c>
      <c r="O795">
        <v>2823.41</v>
      </c>
      <c r="P795">
        <v>6429.46</v>
      </c>
      <c r="Q795">
        <v>66.55</v>
      </c>
      <c r="R795">
        <v>499.7</v>
      </c>
      <c r="S795">
        <v>501</v>
      </c>
      <c r="T795">
        <v>173</v>
      </c>
      <c r="U795">
        <v>12</v>
      </c>
      <c r="V795">
        <v>77</v>
      </c>
      <c r="W795">
        <v>48</v>
      </c>
      <c r="X795">
        <v>37.01</v>
      </c>
      <c r="Y795">
        <v>2</v>
      </c>
      <c r="Z795">
        <v>69.48999999999999</v>
      </c>
      <c r="AA795">
        <v>2601.29</v>
      </c>
      <c r="AB795">
        <v>1246.58</v>
      </c>
      <c r="AC795">
        <v>208.77</v>
      </c>
      <c r="AD795">
        <v>360</v>
      </c>
      <c r="AE795">
        <v>179.61</v>
      </c>
      <c r="AF795">
        <v>4596.25</v>
      </c>
      <c r="AG795">
        <v>1266.96</v>
      </c>
      <c r="AH795">
        <v>13.69</v>
      </c>
    </row>
    <row r="796" spans="1:34">
      <c r="A796" t="s">
        <v>1212</v>
      </c>
      <c r="B796" t="s">
        <v>260</v>
      </c>
      <c r="C796" t="b">
        <v>0</v>
      </c>
      <c r="D796" t="b">
        <v>0</v>
      </c>
      <c r="E796" t="s">
        <v>1471</v>
      </c>
      <c r="F796" t="s">
        <v>82</v>
      </c>
      <c r="G796" t="s">
        <v>1481</v>
      </c>
      <c r="H796">
        <v>19.6</v>
      </c>
      <c r="I796">
        <v>6</v>
      </c>
      <c r="J796">
        <v>239</v>
      </c>
      <c r="K796">
        <v>9124.299999999999</v>
      </c>
      <c r="L796">
        <v>266.3</v>
      </c>
      <c r="M796">
        <v>21.13</v>
      </c>
      <c r="N796">
        <v>8836.870000000001</v>
      </c>
      <c r="O796">
        <v>2678.46</v>
      </c>
      <c r="P796">
        <v>6158.41</v>
      </c>
      <c r="Q796">
        <v>68.86</v>
      </c>
      <c r="R796">
        <v>425.17</v>
      </c>
      <c r="S796">
        <v>481</v>
      </c>
      <c r="T796">
        <v>188</v>
      </c>
      <c r="U796">
        <v>4</v>
      </c>
      <c r="V796">
        <v>51</v>
      </c>
      <c r="W796">
        <v>46</v>
      </c>
      <c r="X796">
        <v>36.97</v>
      </c>
      <c r="Y796">
        <v>2.01</v>
      </c>
      <c r="Z796">
        <v>69.69</v>
      </c>
      <c r="AA796">
        <v>2601.29</v>
      </c>
      <c r="AB796">
        <v>1246.58</v>
      </c>
      <c r="AC796">
        <v>208.23</v>
      </c>
      <c r="AD796">
        <v>360</v>
      </c>
      <c r="AE796">
        <v>195.88</v>
      </c>
      <c r="AF796">
        <v>4611.98</v>
      </c>
      <c r="AG796">
        <v>1052.4</v>
      </c>
      <c r="AH796">
        <v>11.91</v>
      </c>
    </row>
    <row r="797" spans="1:34">
      <c r="A797" t="s">
        <v>1213</v>
      </c>
      <c r="B797" t="s">
        <v>261</v>
      </c>
      <c r="C797" t="b">
        <v>0</v>
      </c>
      <c r="D797" t="b">
        <v>0</v>
      </c>
      <c r="E797" t="s">
        <v>1471</v>
      </c>
      <c r="F797" t="s">
        <v>82</v>
      </c>
      <c r="G797" t="s">
        <v>1481</v>
      </c>
      <c r="H797">
        <v>18.9</v>
      </c>
      <c r="I797">
        <v>7</v>
      </c>
      <c r="J797">
        <v>320</v>
      </c>
      <c r="K797">
        <v>13426.94</v>
      </c>
      <c r="L797">
        <v>446.78</v>
      </c>
      <c r="M797">
        <v>20</v>
      </c>
      <c r="N797">
        <v>12960.16</v>
      </c>
      <c r="O797">
        <v>3943.95</v>
      </c>
      <c r="P797">
        <v>9016.209999999999</v>
      </c>
      <c r="Q797">
        <v>93.75</v>
      </c>
      <c r="R797">
        <v>590.71</v>
      </c>
      <c r="S797">
        <v>680</v>
      </c>
      <c r="T797">
        <v>227</v>
      </c>
      <c r="U797">
        <v>16</v>
      </c>
      <c r="V797">
        <v>93</v>
      </c>
      <c r="W797">
        <v>57</v>
      </c>
      <c r="X797">
        <v>40.5</v>
      </c>
      <c r="Y797">
        <v>2.12</v>
      </c>
      <c r="Z797">
        <v>69.56999999999999</v>
      </c>
      <c r="AA797">
        <v>2601.29</v>
      </c>
      <c r="AB797">
        <v>1246.58</v>
      </c>
      <c r="AC797">
        <v>210.49</v>
      </c>
      <c r="AD797">
        <v>360</v>
      </c>
      <c r="AE797">
        <v>173.14</v>
      </c>
      <c r="AF797">
        <v>4591.5</v>
      </c>
      <c r="AG797">
        <v>3740.25</v>
      </c>
      <c r="AH797">
        <v>28.86</v>
      </c>
    </row>
    <row r="798" spans="1:34">
      <c r="A798" t="s">
        <v>1214</v>
      </c>
      <c r="B798" t="s">
        <v>262</v>
      </c>
      <c r="C798" t="b">
        <v>1</v>
      </c>
      <c r="D798" t="b">
        <v>0</v>
      </c>
      <c r="E798" t="s">
        <v>1471</v>
      </c>
      <c r="F798" t="s">
        <v>82</v>
      </c>
      <c r="G798" t="s">
        <v>1481</v>
      </c>
      <c r="H798">
        <v>19.4</v>
      </c>
      <c r="I798">
        <v>8</v>
      </c>
      <c r="J798">
        <v>259</v>
      </c>
      <c r="K798">
        <v>11318.37</v>
      </c>
      <c r="L798">
        <v>306.16</v>
      </c>
      <c r="M798">
        <v>15.65</v>
      </c>
      <c r="N798">
        <v>10996.56</v>
      </c>
      <c r="O798">
        <v>3301.98</v>
      </c>
      <c r="P798">
        <v>7694.58</v>
      </c>
      <c r="Q798">
        <v>86.55</v>
      </c>
      <c r="R798">
        <v>532.83</v>
      </c>
      <c r="S798">
        <v>591</v>
      </c>
      <c r="T798">
        <v>194</v>
      </c>
      <c r="U798">
        <v>13</v>
      </c>
      <c r="V798">
        <v>65</v>
      </c>
      <c r="W798">
        <v>54</v>
      </c>
      <c r="X798">
        <v>42.46</v>
      </c>
      <c r="Y798">
        <v>2.28</v>
      </c>
      <c r="Z798">
        <v>69.97</v>
      </c>
      <c r="AA798">
        <v>2601.29</v>
      </c>
      <c r="AB798">
        <v>1246.58</v>
      </c>
      <c r="AC798">
        <v>214.04</v>
      </c>
      <c r="AD798">
        <v>360</v>
      </c>
      <c r="AE798">
        <v>201.72</v>
      </c>
      <c r="AF798">
        <v>4623.63</v>
      </c>
      <c r="AG798">
        <v>2451.57</v>
      </c>
      <c r="AH798">
        <v>22.29</v>
      </c>
    </row>
    <row r="799" spans="1:34">
      <c r="A799" t="s">
        <v>1215</v>
      </c>
      <c r="B799" t="s">
        <v>263</v>
      </c>
      <c r="C799" t="b">
        <v>1</v>
      </c>
      <c r="D799" t="b">
        <v>0</v>
      </c>
      <c r="E799" t="s">
        <v>1471</v>
      </c>
      <c r="F799" t="s">
        <v>82</v>
      </c>
      <c r="G799" t="s">
        <v>1481</v>
      </c>
      <c r="H799">
        <v>21</v>
      </c>
      <c r="I799">
        <v>9</v>
      </c>
      <c r="J799">
        <v>305</v>
      </c>
      <c r="K799">
        <v>13691.3</v>
      </c>
      <c r="L799">
        <v>556.64</v>
      </c>
      <c r="M799">
        <v>20</v>
      </c>
      <c r="N799">
        <v>13114.66</v>
      </c>
      <c r="O799">
        <v>4025.47</v>
      </c>
      <c r="P799">
        <v>9089.190000000001</v>
      </c>
      <c r="Q799">
        <v>96.39</v>
      </c>
      <c r="R799">
        <v>559.3099999999999</v>
      </c>
      <c r="S799">
        <v>705</v>
      </c>
      <c r="T799">
        <v>228</v>
      </c>
      <c r="U799">
        <v>15</v>
      </c>
      <c r="V799">
        <v>77</v>
      </c>
      <c r="W799">
        <v>59</v>
      </c>
      <c r="X799">
        <v>43</v>
      </c>
      <c r="Y799">
        <v>2.31</v>
      </c>
      <c r="Z799">
        <v>69.31</v>
      </c>
      <c r="AA799">
        <v>2601.29</v>
      </c>
      <c r="AB799">
        <v>1246.58</v>
      </c>
      <c r="AC799">
        <v>211.85</v>
      </c>
      <c r="AD799">
        <v>360</v>
      </c>
      <c r="AE799">
        <v>204.89</v>
      </c>
      <c r="AF799">
        <v>4624.61</v>
      </c>
      <c r="AG799">
        <v>3808.88</v>
      </c>
      <c r="AH799">
        <v>29.04</v>
      </c>
    </row>
    <row r="800" spans="1:34">
      <c r="A800" t="s">
        <v>479</v>
      </c>
      <c r="B800" t="s">
        <v>75</v>
      </c>
      <c r="C800" t="b">
        <v>0</v>
      </c>
      <c r="D800" t="b">
        <v>0</v>
      </c>
      <c r="E800" t="s">
        <v>1471</v>
      </c>
      <c r="F800" t="s">
        <v>82</v>
      </c>
      <c r="G800" t="s">
        <v>1481</v>
      </c>
      <c r="H800">
        <v>20.9</v>
      </c>
      <c r="I800">
        <v>10</v>
      </c>
      <c r="J800">
        <v>277</v>
      </c>
      <c r="K800">
        <v>11256.5</v>
      </c>
      <c r="L800">
        <v>378.57</v>
      </c>
      <c r="M800">
        <v>112.17</v>
      </c>
      <c r="N800">
        <v>10765.76</v>
      </c>
      <c r="O800">
        <v>3297</v>
      </c>
      <c r="P800">
        <v>7468.76</v>
      </c>
      <c r="Q800">
        <v>80.79000000000001</v>
      </c>
      <c r="R800">
        <v>506.2</v>
      </c>
      <c r="S800">
        <v>589</v>
      </c>
      <c r="T800">
        <v>199</v>
      </c>
      <c r="U800">
        <v>10</v>
      </c>
      <c r="V800">
        <v>78</v>
      </c>
      <c r="W800">
        <v>52</v>
      </c>
      <c r="X800">
        <v>38.87</v>
      </c>
      <c r="Y800">
        <v>2.13</v>
      </c>
      <c r="Z800">
        <v>69.38</v>
      </c>
      <c r="AA800">
        <v>2601.29</v>
      </c>
      <c r="AB800">
        <v>1246.58</v>
      </c>
      <c r="AC800">
        <v>232.43</v>
      </c>
      <c r="AD800">
        <v>360</v>
      </c>
      <c r="AE800">
        <v>208.85</v>
      </c>
      <c r="AF800">
        <v>4649.15</v>
      </c>
      <c r="AG800">
        <v>2232.62</v>
      </c>
      <c r="AH800">
        <v>20.74</v>
      </c>
    </row>
    <row r="801" spans="1:34">
      <c r="A801" t="s">
        <v>1216</v>
      </c>
      <c r="B801" t="s">
        <v>258</v>
      </c>
      <c r="C801" t="b">
        <v>0</v>
      </c>
      <c r="D801" t="b">
        <v>0</v>
      </c>
      <c r="E801" t="s">
        <v>1471</v>
      </c>
      <c r="F801" t="s">
        <v>82</v>
      </c>
      <c r="G801" t="s">
        <v>1481</v>
      </c>
      <c r="H801">
        <v>20.4</v>
      </c>
      <c r="I801">
        <v>11</v>
      </c>
      <c r="J801">
        <v>220</v>
      </c>
      <c r="K801">
        <v>8991.23</v>
      </c>
      <c r="L801">
        <v>341.32</v>
      </c>
      <c r="M801">
        <v>13.91</v>
      </c>
      <c r="N801">
        <v>8636</v>
      </c>
      <c r="O801">
        <v>2654.62</v>
      </c>
      <c r="P801">
        <v>5981.38</v>
      </c>
      <c r="Q801">
        <v>69.44</v>
      </c>
      <c r="R801">
        <v>383.96</v>
      </c>
      <c r="S801">
        <v>465</v>
      </c>
      <c r="T801">
        <v>158</v>
      </c>
      <c r="U801">
        <v>10</v>
      </c>
      <c r="V801">
        <v>62</v>
      </c>
      <c r="W801">
        <v>33</v>
      </c>
      <c r="X801">
        <v>39.25</v>
      </c>
      <c r="Y801">
        <v>2.11</v>
      </c>
      <c r="Z801">
        <v>69.26000000000001</v>
      </c>
      <c r="AA801">
        <v>2601.29</v>
      </c>
      <c r="AB801">
        <v>1246.58</v>
      </c>
      <c r="AC801">
        <v>204.58</v>
      </c>
      <c r="AD801">
        <v>360</v>
      </c>
      <c r="AE801">
        <v>192.03</v>
      </c>
      <c r="AF801">
        <v>4604.48</v>
      </c>
      <c r="AG801">
        <v>923.5</v>
      </c>
      <c r="AH801">
        <v>10.69</v>
      </c>
    </row>
    <row r="802" spans="1:34">
      <c r="A802" t="s">
        <v>1217</v>
      </c>
      <c r="B802" t="s">
        <v>259</v>
      </c>
      <c r="C802" t="b">
        <v>0</v>
      </c>
      <c r="D802" t="b">
        <v>0</v>
      </c>
      <c r="E802" t="s">
        <v>1471</v>
      </c>
      <c r="F802" t="s">
        <v>82</v>
      </c>
      <c r="G802" t="s">
        <v>1481</v>
      </c>
      <c r="H802">
        <v>20.6</v>
      </c>
      <c r="I802">
        <v>12</v>
      </c>
      <c r="J802">
        <v>214</v>
      </c>
      <c r="K802">
        <v>8027.02</v>
      </c>
      <c r="L802">
        <v>262.49</v>
      </c>
      <c r="M802">
        <v>33.04</v>
      </c>
      <c r="N802">
        <v>7731.49</v>
      </c>
      <c r="O802">
        <v>2291.42</v>
      </c>
      <c r="P802">
        <v>5440.07</v>
      </c>
      <c r="Q802">
        <v>54.39</v>
      </c>
      <c r="R802">
        <v>368.94</v>
      </c>
      <c r="S802">
        <v>432</v>
      </c>
      <c r="T802">
        <v>147</v>
      </c>
      <c r="U802">
        <v>14</v>
      </c>
      <c r="V802">
        <v>67</v>
      </c>
      <c r="W802">
        <v>36</v>
      </c>
      <c r="X802">
        <v>36.13</v>
      </c>
      <c r="Y802">
        <v>2.02</v>
      </c>
      <c r="Z802">
        <v>70.36</v>
      </c>
      <c r="AA802">
        <v>2601.29</v>
      </c>
      <c r="AB802">
        <v>1246.58</v>
      </c>
      <c r="AC802">
        <v>210.39</v>
      </c>
      <c r="AD802">
        <v>360</v>
      </c>
      <c r="AE802">
        <v>163.06</v>
      </c>
      <c r="AF802">
        <v>4581.32</v>
      </c>
      <c r="AG802">
        <v>435.42</v>
      </c>
      <c r="AH802">
        <v>5.63</v>
      </c>
    </row>
    <row r="803" spans="1:34">
      <c r="A803" t="s">
        <v>1218</v>
      </c>
      <c r="B803" t="s">
        <v>260</v>
      </c>
      <c r="C803" t="b">
        <v>0</v>
      </c>
      <c r="D803" t="b">
        <v>0</v>
      </c>
      <c r="E803" t="s">
        <v>1471</v>
      </c>
      <c r="F803" t="s">
        <v>82</v>
      </c>
      <c r="G803" t="s">
        <v>1481</v>
      </c>
      <c r="H803">
        <v>20.4</v>
      </c>
      <c r="I803">
        <v>13</v>
      </c>
      <c r="J803">
        <v>244</v>
      </c>
      <c r="K803">
        <v>9841.73</v>
      </c>
      <c r="L803">
        <v>337.3</v>
      </c>
      <c r="M803">
        <v>0</v>
      </c>
      <c r="N803">
        <v>9504.43</v>
      </c>
      <c r="O803">
        <v>2904.32</v>
      </c>
      <c r="P803">
        <v>6600.11</v>
      </c>
      <c r="Q803">
        <v>61.78</v>
      </c>
      <c r="R803">
        <v>540.9400000000001</v>
      </c>
      <c r="S803">
        <v>520</v>
      </c>
      <c r="T803">
        <v>179</v>
      </c>
      <c r="U803">
        <v>8</v>
      </c>
      <c r="V803">
        <v>65</v>
      </c>
      <c r="W803">
        <v>57</v>
      </c>
      <c r="X803">
        <v>38.95</v>
      </c>
      <c r="Y803">
        <v>2.13</v>
      </c>
      <c r="Z803">
        <v>69.44</v>
      </c>
      <c r="AA803">
        <v>2601.29</v>
      </c>
      <c r="AB803">
        <v>1246.58</v>
      </c>
      <c r="AC803">
        <v>194.29</v>
      </c>
      <c r="AD803">
        <v>360</v>
      </c>
      <c r="AE803">
        <v>212.76</v>
      </c>
      <c r="AF803">
        <v>4614.92</v>
      </c>
      <c r="AG803">
        <v>1382.47</v>
      </c>
      <c r="AH803">
        <v>14.55</v>
      </c>
    </row>
    <row r="804" spans="1:34">
      <c r="A804" t="s">
        <v>1219</v>
      </c>
      <c r="B804" t="s">
        <v>261</v>
      </c>
      <c r="C804" t="b">
        <v>0</v>
      </c>
      <c r="D804" t="b">
        <v>0</v>
      </c>
      <c r="E804" t="s">
        <v>1471</v>
      </c>
      <c r="F804" t="s">
        <v>82</v>
      </c>
      <c r="G804" t="s">
        <v>1481</v>
      </c>
      <c r="H804">
        <v>21.3</v>
      </c>
      <c r="I804">
        <v>14</v>
      </c>
      <c r="J804">
        <v>277</v>
      </c>
      <c r="K804">
        <v>10309.56</v>
      </c>
      <c r="L804">
        <v>451.72</v>
      </c>
      <c r="M804">
        <v>68.7</v>
      </c>
      <c r="N804">
        <v>9789.139999999999</v>
      </c>
      <c r="O804">
        <v>2959.38</v>
      </c>
      <c r="P804">
        <v>6829.76</v>
      </c>
      <c r="Q804">
        <v>77.59999999999999</v>
      </c>
      <c r="R804">
        <v>312.28</v>
      </c>
      <c r="S804">
        <v>562</v>
      </c>
      <c r="T804">
        <v>204</v>
      </c>
      <c r="U804">
        <v>17</v>
      </c>
      <c r="V804">
        <v>73</v>
      </c>
      <c r="W804">
        <v>40</v>
      </c>
      <c r="X804">
        <v>35.34</v>
      </c>
      <c r="Y804">
        <v>2.03</v>
      </c>
      <c r="Z804">
        <v>69.77</v>
      </c>
      <c r="AA804">
        <v>2601.29</v>
      </c>
      <c r="AB804">
        <v>1246.58</v>
      </c>
      <c r="AC804">
        <v>199.44</v>
      </c>
      <c r="AD804">
        <v>360</v>
      </c>
      <c r="AE804">
        <v>170.78</v>
      </c>
      <c r="AF804">
        <v>4578.09</v>
      </c>
      <c r="AG804">
        <v>1861.79</v>
      </c>
      <c r="AH804">
        <v>19.02</v>
      </c>
    </row>
    <row r="805" spans="1:34">
      <c r="A805" t="s">
        <v>1220</v>
      </c>
      <c r="B805" t="s">
        <v>262</v>
      </c>
      <c r="C805" t="b">
        <v>1</v>
      </c>
      <c r="D805" t="b">
        <v>0</v>
      </c>
      <c r="E805" t="s">
        <v>1471</v>
      </c>
      <c r="F805" t="s">
        <v>82</v>
      </c>
      <c r="G805" t="s">
        <v>1481</v>
      </c>
      <c r="H805">
        <v>23.5</v>
      </c>
      <c r="I805">
        <v>15</v>
      </c>
      <c r="J805">
        <v>273</v>
      </c>
      <c r="K805">
        <v>11542.64</v>
      </c>
      <c r="L805">
        <v>432.97</v>
      </c>
      <c r="M805">
        <v>22.18</v>
      </c>
      <c r="N805">
        <v>11087.49</v>
      </c>
      <c r="O805">
        <v>3433.68</v>
      </c>
      <c r="P805">
        <v>7653.81</v>
      </c>
      <c r="Q805">
        <v>76.38</v>
      </c>
      <c r="R805">
        <v>682.2</v>
      </c>
      <c r="S805">
        <v>599</v>
      </c>
      <c r="T805">
        <v>197</v>
      </c>
      <c r="U805">
        <v>15</v>
      </c>
      <c r="V805">
        <v>76</v>
      </c>
      <c r="W805">
        <v>65</v>
      </c>
      <c r="X805">
        <v>40.61</v>
      </c>
      <c r="Y805">
        <v>2.19</v>
      </c>
      <c r="Z805">
        <v>69.03</v>
      </c>
      <c r="AA805">
        <v>2601.29</v>
      </c>
      <c r="AB805">
        <v>1246.58</v>
      </c>
      <c r="AC805">
        <v>235.61</v>
      </c>
      <c r="AD805">
        <v>360</v>
      </c>
      <c r="AE805">
        <v>190.48</v>
      </c>
      <c r="AF805">
        <v>4633.96</v>
      </c>
      <c r="AG805">
        <v>2261.27</v>
      </c>
      <c r="AH805">
        <v>20.39</v>
      </c>
    </row>
    <row r="806" spans="1:34">
      <c r="A806" t="s">
        <v>1221</v>
      </c>
      <c r="B806" t="s">
        <v>263</v>
      </c>
      <c r="C806" t="b">
        <v>1</v>
      </c>
      <c r="D806" t="b">
        <v>0</v>
      </c>
      <c r="E806" t="s">
        <v>1471</v>
      </c>
      <c r="F806" t="s">
        <v>82</v>
      </c>
      <c r="G806" t="s">
        <v>1481</v>
      </c>
      <c r="H806">
        <v>23.3</v>
      </c>
      <c r="I806">
        <v>16</v>
      </c>
      <c r="J806">
        <v>294</v>
      </c>
      <c r="K806">
        <v>12048.7</v>
      </c>
      <c r="L806">
        <v>505.17</v>
      </c>
      <c r="M806">
        <v>13.91</v>
      </c>
      <c r="N806">
        <v>11529.62</v>
      </c>
      <c r="O806">
        <v>3452.58</v>
      </c>
      <c r="P806">
        <v>8077.04</v>
      </c>
      <c r="Q806">
        <v>91.05</v>
      </c>
      <c r="R806">
        <v>439.56</v>
      </c>
      <c r="S806">
        <v>648</v>
      </c>
      <c r="T806">
        <v>211</v>
      </c>
      <c r="U806">
        <v>13</v>
      </c>
      <c r="V806">
        <v>83</v>
      </c>
      <c r="W806">
        <v>51</v>
      </c>
      <c r="X806">
        <v>39.22</v>
      </c>
      <c r="Y806">
        <v>2.2</v>
      </c>
      <c r="Z806">
        <v>70.05</v>
      </c>
      <c r="AA806">
        <v>2601.29</v>
      </c>
      <c r="AB806">
        <v>1246.58</v>
      </c>
      <c r="AC806">
        <v>233.62</v>
      </c>
      <c r="AD806">
        <v>360</v>
      </c>
      <c r="AE806">
        <v>205.88</v>
      </c>
      <c r="AF806">
        <v>4647.37</v>
      </c>
      <c r="AG806">
        <v>2899.06</v>
      </c>
      <c r="AH806">
        <v>25.14</v>
      </c>
    </row>
    <row r="807" spans="1:34">
      <c r="A807" t="s">
        <v>480</v>
      </c>
      <c r="B807" t="s">
        <v>75</v>
      </c>
      <c r="C807" t="b">
        <v>0</v>
      </c>
      <c r="D807" t="b">
        <v>0</v>
      </c>
      <c r="E807" t="s">
        <v>1471</v>
      </c>
      <c r="F807" t="s">
        <v>82</v>
      </c>
      <c r="G807" t="s">
        <v>1481</v>
      </c>
      <c r="H807">
        <v>24.7</v>
      </c>
      <c r="I807">
        <v>17</v>
      </c>
      <c r="J807">
        <v>244</v>
      </c>
      <c r="K807">
        <v>10027.84</v>
      </c>
      <c r="L807">
        <v>385.1</v>
      </c>
      <c r="M807">
        <v>44.35</v>
      </c>
      <c r="N807">
        <v>9598.389999999999</v>
      </c>
      <c r="O807">
        <v>2936.63</v>
      </c>
      <c r="P807">
        <v>6661.76</v>
      </c>
      <c r="Q807">
        <v>62.76</v>
      </c>
      <c r="R807">
        <v>581.51</v>
      </c>
      <c r="S807">
        <v>519</v>
      </c>
      <c r="T807">
        <v>173</v>
      </c>
      <c r="U807">
        <v>8</v>
      </c>
      <c r="V807">
        <v>71</v>
      </c>
      <c r="W807">
        <v>63</v>
      </c>
      <c r="X807">
        <v>39.34</v>
      </c>
      <c r="Y807">
        <v>2.13</v>
      </c>
      <c r="Z807">
        <v>69.40000000000001</v>
      </c>
      <c r="AA807">
        <v>2601.29</v>
      </c>
      <c r="AB807">
        <v>1246.58</v>
      </c>
      <c r="AC807">
        <v>222.97</v>
      </c>
      <c r="AD807">
        <v>360</v>
      </c>
      <c r="AE807">
        <v>202.41</v>
      </c>
      <c r="AF807">
        <v>4633.25</v>
      </c>
      <c r="AG807">
        <v>1384.24</v>
      </c>
      <c r="AH807">
        <v>14.42</v>
      </c>
    </row>
    <row r="808" spans="1:34">
      <c r="A808" t="s">
        <v>1222</v>
      </c>
      <c r="B808" t="s">
        <v>258</v>
      </c>
      <c r="C808" t="b">
        <v>0</v>
      </c>
      <c r="D808" t="b">
        <v>0</v>
      </c>
      <c r="E808" t="s">
        <v>1471</v>
      </c>
      <c r="F808" t="s">
        <v>82</v>
      </c>
      <c r="G808" t="s">
        <v>1481</v>
      </c>
      <c r="H808">
        <v>21.4</v>
      </c>
      <c r="I808">
        <v>18</v>
      </c>
      <c r="J808">
        <v>234</v>
      </c>
      <c r="K808">
        <v>9753.08</v>
      </c>
      <c r="L808">
        <v>329.58</v>
      </c>
      <c r="M808">
        <v>20</v>
      </c>
      <c r="N808">
        <v>9403.5</v>
      </c>
      <c r="O808">
        <v>2883.34</v>
      </c>
      <c r="P808">
        <v>6520.16</v>
      </c>
      <c r="Q808">
        <v>57.71</v>
      </c>
      <c r="R808">
        <v>548.74</v>
      </c>
      <c r="S808">
        <v>511</v>
      </c>
      <c r="T808">
        <v>181</v>
      </c>
      <c r="U808">
        <v>20</v>
      </c>
      <c r="V808">
        <v>53</v>
      </c>
      <c r="W808">
        <v>54</v>
      </c>
      <c r="X808">
        <v>40.19</v>
      </c>
      <c r="Y808">
        <v>2.18</v>
      </c>
      <c r="Z808">
        <v>69.34</v>
      </c>
      <c r="AA808">
        <v>2601.29</v>
      </c>
      <c r="AB808">
        <v>1246.58</v>
      </c>
      <c r="AC808">
        <v>213.55</v>
      </c>
      <c r="AD808">
        <v>360</v>
      </c>
      <c r="AE808">
        <v>201.12</v>
      </c>
      <c r="AF808">
        <v>4622.54</v>
      </c>
      <c r="AG808">
        <v>1291.17</v>
      </c>
      <c r="AH808">
        <v>13.73</v>
      </c>
    </row>
    <row r="809" spans="1:34">
      <c r="A809" t="s">
        <v>1223</v>
      </c>
      <c r="B809" t="s">
        <v>259</v>
      </c>
      <c r="C809" t="b">
        <v>0</v>
      </c>
      <c r="D809" t="b">
        <v>0</v>
      </c>
      <c r="E809" t="s">
        <v>1471</v>
      </c>
      <c r="F809" t="s">
        <v>82</v>
      </c>
      <c r="G809" t="s">
        <v>1481</v>
      </c>
      <c r="H809">
        <v>22.1</v>
      </c>
      <c r="I809">
        <v>19</v>
      </c>
      <c r="J809">
        <v>270</v>
      </c>
      <c r="K809">
        <v>10526.01</v>
      </c>
      <c r="L809">
        <v>362.27</v>
      </c>
      <c r="M809">
        <v>46.09</v>
      </c>
      <c r="N809">
        <v>10117.65</v>
      </c>
      <c r="O809">
        <v>2989.46</v>
      </c>
      <c r="P809">
        <v>7128.19</v>
      </c>
      <c r="Q809">
        <v>72.05</v>
      </c>
      <c r="R809">
        <v>504.37</v>
      </c>
      <c r="S809">
        <v>566</v>
      </c>
      <c r="T809">
        <v>187</v>
      </c>
      <c r="U809">
        <v>13</v>
      </c>
      <c r="V809">
        <v>83</v>
      </c>
      <c r="W809">
        <v>54</v>
      </c>
      <c r="X809">
        <v>37.47</v>
      </c>
      <c r="Y809">
        <v>2.1</v>
      </c>
      <c r="Z809">
        <v>70.45</v>
      </c>
      <c r="AA809">
        <v>2601.29</v>
      </c>
      <c r="AB809">
        <v>1246.58</v>
      </c>
      <c r="AC809">
        <v>205.99</v>
      </c>
      <c r="AD809">
        <v>360</v>
      </c>
      <c r="AE809">
        <v>188.08</v>
      </c>
      <c r="AF809">
        <v>4601.94</v>
      </c>
      <c r="AG809">
        <v>1949.83</v>
      </c>
      <c r="AH809">
        <v>19.27</v>
      </c>
    </row>
    <row r="810" spans="1:34">
      <c r="A810" t="s">
        <v>1224</v>
      </c>
      <c r="B810" t="s">
        <v>260</v>
      </c>
      <c r="C810" t="b">
        <v>0</v>
      </c>
      <c r="D810" t="b">
        <v>0</v>
      </c>
      <c r="E810" t="s">
        <v>1471</v>
      </c>
      <c r="F810" t="s">
        <v>82</v>
      </c>
      <c r="G810" t="s">
        <v>1481</v>
      </c>
      <c r="H810">
        <v>22.9</v>
      </c>
      <c r="I810">
        <v>20</v>
      </c>
      <c r="J810">
        <v>233</v>
      </c>
      <c r="K810">
        <v>8646.049999999999</v>
      </c>
      <c r="L810">
        <v>219.14</v>
      </c>
      <c r="M810">
        <v>7.83</v>
      </c>
      <c r="N810">
        <v>8419.08</v>
      </c>
      <c r="O810">
        <v>2437.74</v>
      </c>
      <c r="P810">
        <v>5981.34</v>
      </c>
      <c r="Q810">
        <v>58.27</v>
      </c>
      <c r="R810">
        <v>334.99</v>
      </c>
      <c r="S810">
        <v>472</v>
      </c>
      <c r="T810">
        <v>165</v>
      </c>
      <c r="U810">
        <v>9</v>
      </c>
      <c r="V810">
        <v>68</v>
      </c>
      <c r="W810">
        <v>39</v>
      </c>
      <c r="X810">
        <v>36.13</v>
      </c>
      <c r="Y810">
        <v>2.03</v>
      </c>
      <c r="Z810">
        <v>71.05</v>
      </c>
      <c r="AA810">
        <v>2601.29</v>
      </c>
      <c r="AB810">
        <v>1246.58</v>
      </c>
      <c r="AC810">
        <v>235.64</v>
      </c>
      <c r="AD810">
        <v>360</v>
      </c>
      <c r="AE810">
        <v>163.48</v>
      </c>
      <c r="AF810">
        <v>4606.99</v>
      </c>
      <c r="AG810">
        <v>981.09</v>
      </c>
      <c r="AH810">
        <v>11.65</v>
      </c>
    </row>
    <row r="811" spans="1:34">
      <c r="A811" t="s">
        <v>1225</v>
      </c>
      <c r="B811" t="s">
        <v>261</v>
      </c>
      <c r="C811" t="b">
        <v>0</v>
      </c>
      <c r="D811" t="b">
        <v>0</v>
      </c>
      <c r="E811" t="s">
        <v>1471</v>
      </c>
      <c r="F811" t="s">
        <v>1475</v>
      </c>
      <c r="G811" t="s">
        <v>1483</v>
      </c>
      <c r="H811">
        <v>22.4</v>
      </c>
      <c r="I811">
        <v>21</v>
      </c>
      <c r="J811">
        <v>308</v>
      </c>
      <c r="K811">
        <v>12774.82</v>
      </c>
      <c r="L811">
        <v>491.72</v>
      </c>
      <c r="M811">
        <v>0</v>
      </c>
      <c r="N811">
        <v>12283.1</v>
      </c>
      <c r="O811">
        <v>3708.56</v>
      </c>
      <c r="P811">
        <v>8574.540000000001</v>
      </c>
      <c r="Q811">
        <v>92.65000000000001</v>
      </c>
      <c r="R811">
        <v>584.34</v>
      </c>
      <c r="S811">
        <v>674</v>
      </c>
      <c r="T811">
        <v>206</v>
      </c>
      <c r="U811">
        <v>18</v>
      </c>
      <c r="V811">
        <v>102</v>
      </c>
      <c r="W811">
        <v>61</v>
      </c>
      <c r="X811">
        <v>39.88</v>
      </c>
      <c r="Y811">
        <v>2.19</v>
      </c>
      <c r="Z811">
        <v>69.81</v>
      </c>
      <c r="AA811">
        <v>2601.29</v>
      </c>
      <c r="AB811">
        <v>1246.58</v>
      </c>
      <c r="AC811">
        <v>189.43</v>
      </c>
      <c r="AD811">
        <v>360</v>
      </c>
      <c r="AE811">
        <v>176.08</v>
      </c>
      <c r="AF811">
        <v>4573.38</v>
      </c>
      <c r="AG811">
        <v>3324.17</v>
      </c>
      <c r="AH811">
        <v>27.06</v>
      </c>
    </row>
    <row r="812" spans="1:34">
      <c r="A812" t="s">
        <v>1226</v>
      </c>
      <c r="B812" t="s">
        <v>262</v>
      </c>
      <c r="C812" t="b">
        <v>1</v>
      </c>
      <c r="D812" t="b">
        <v>0</v>
      </c>
      <c r="E812" t="s">
        <v>1471</v>
      </c>
      <c r="F812" t="s">
        <v>1475</v>
      </c>
      <c r="G812" t="s">
        <v>1483</v>
      </c>
      <c r="H812">
        <v>23.2</v>
      </c>
      <c r="I812">
        <v>22</v>
      </c>
      <c r="J812">
        <v>267</v>
      </c>
      <c r="K812">
        <v>12105.25</v>
      </c>
      <c r="L812">
        <v>380.09</v>
      </c>
      <c r="M812">
        <v>0</v>
      </c>
      <c r="N812">
        <v>11725.16</v>
      </c>
      <c r="O812">
        <v>3514.89</v>
      </c>
      <c r="P812">
        <v>8210.27</v>
      </c>
      <c r="Q812">
        <v>93.83</v>
      </c>
      <c r="R812">
        <v>477.48</v>
      </c>
      <c r="S812">
        <v>640</v>
      </c>
      <c r="T812">
        <v>178</v>
      </c>
      <c r="U812">
        <v>11</v>
      </c>
      <c r="V812">
        <v>89</v>
      </c>
      <c r="W812">
        <v>47</v>
      </c>
      <c r="X812">
        <v>43.91</v>
      </c>
      <c r="Y812">
        <v>2.4</v>
      </c>
      <c r="Z812">
        <v>70.02</v>
      </c>
      <c r="AA812">
        <v>2601.29</v>
      </c>
      <c r="AB812">
        <v>1246.58</v>
      </c>
      <c r="AC812">
        <v>208.12</v>
      </c>
      <c r="AD812">
        <v>360</v>
      </c>
      <c r="AE812">
        <v>176.02</v>
      </c>
      <c r="AF812">
        <v>4592.01</v>
      </c>
      <c r="AG812">
        <v>3046.95</v>
      </c>
      <c r="AH812">
        <v>25.99</v>
      </c>
    </row>
    <row r="813" spans="1:34">
      <c r="A813" t="s">
        <v>1227</v>
      </c>
      <c r="B813" t="s">
        <v>263</v>
      </c>
      <c r="C813" t="b">
        <v>1</v>
      </c>
      <c r="D813" t="b">
        <v>0</v>
      </c>
      <c r="E813" t="s">
        <v>1471</v>
      </c>
      <c r="F813" t="s">
        <v>1475</v>
      </c>
      <c r="G813" t="s">
        <v>1483</v>
      </c>
      <c r="H813">
        <v>23.5</v>
      </c>
      <c r="I813">
        <v>23</v>
      </c>
      <c r="J813">
        <v>251</v>
      </c>
      <c r="K813">
        <v>10642.66</v>
      </c>
      <c r="L813">
        <v>361.23</v>
      </c>
      <c r="M813">
        <v>18.26</v>
      </c>
      <c r="N813">
        <v>10263.17</v>
      </c>
      <c r="O813">
        <v>3107.42</v>
      </c>
      <c r="P813">
        <v>7155.75</v>
      </c>
      <c r="Q813">
        <v>73.79000000000001</v>
      </c>
      <c r="R813">
        <v>495.05</v>
      </c>
      <c r="S813">
        <v>559</v>
      </c>
      <c r="T813">
        <v>185</v>
      </c>
      <c r="U813">
        <v>11</v>
      </c>
      <c r="V813">
        <v>66</v>
      </c>
      <c r="W813">
        <v>55</v>
      </c>
      <c r="X813">
        <v>40.89</v>
      </c>
      <c r="Y813">
        <v>2.23</v>
      </c>
      <c r="Z813">
        <v>69.72</v>
      </c>
      <c r="AA813">
        <v>2601.29</v>
      </c>
      <c r="AB813">
        <v>1246.58</v>
      </c>
      <c r="AC813">
        <v>221.32</v>
      </c>
      <c r="AD813">
        <v>360</v>
      </c>
      <c r="AE813">
        <v>207.79</v>
      </c>
      <c r="AF813">
        <v>4636.98</v>
      </c>
      <c r="AG813">
        <v>1949.93</v>
      </c>
      <c r="AH813">
        <v>19</v>
      </c>
    </row>
    <row r="814" spans="1:34">
      <c r="A814" t="s">
        <v>481</v>
      </c>
      <c r="B814" t="s">
        <v>75</v>
      </c>
      <c r="C814" t="b">
        <v>0</v>
      </c>
      <c r="D814" t="b">
        <v>0</v>
      </c>
      <c r="E814" t="s">
        <v>1471</v>
      </c>
      <c r="F814" t="s">
        <v>1475</v>
      </c>
      <c r="G814" t="s">
        <v>1483</v>
      </c>
      <c r="H814">
        <v>23.5</v>
      </c>
      <c r="I814">
        <v>24</v>
      </c>
      <c r="J814">
        <v>252</v>
      </c>
      <c r="K814">
        <v>10891.29</v>
      </c>
      <c r="L814">
        <v>565.59</v>
      </c>
      <c r="M814">
        <v>78.26000000000001</v>
      </c>
      <c r="N814">
        <v>10247.44</v>
      </c>
      <c r="O814">
        <v>3281.99</v>
      </c>
      <c r="P814">
        <v>6965.45</v>
      </c>
      <c r="Q814">
        <v>75.42</v>
      </c>
      <c r="R814">
        <v>529.37</v>
      </c>
      <c r="S814">
        <v>547</v>
      </c>
      <c r="T814">
        <v>190</v>
      </c>
      <c r="U814">
        <v>11</v>
      </c>
      <c r="V814">
        <v>62</v>
      </c>
      <c r="W814">
        <v>53</v>
      </c>
      <c r="X814">
        <v>40.66</v>
      </c>
      <c r="Y814">
        <v>2.17</v>
      </c>
      <c r="Z814">
        <v>67.97</v>
      </c>
      <c r="AA814">
        <v>2601.29</v>
      </c>
      <c r="AB814">
        <v>1246.58</v>
      </c>
      <c r="AC814">
        <v>214.62</v>
      </c>
      <c r="AD814">
        <v>360</v>
      </c>
      <c r="AE814">
        <v>194.56</v>
      </c>
      <c r="AF814">
        <v>4617.05</v>
      </c>
      <c r="AG814">
        <v>1743.61</v>
      </c>
      <c r="AH814">
        <v>17.02</v>
      </c>
    </row>
    <row r="815" spans="1:34">
      <c r="A815" t="s">
        <v>1228</v>
      </c>
      <c r="B815" t="s">
        <v>258</v>
      </c>
      <c r="C815" t="b">
        <v>0</v>
      </c>
      <c r="D815" t="b">
        <v>0</v>
      </c>
      <c r="E815" t="s">
        <v>1471</v>
      </c>
      <c r="F815" t="s">
        <v>1475</v>
      </c>
      <c r="G815" t="s">
        <v>1483</v>
      </c>
      <c r="H815">
        <v>23.9</v>
      </c>
      <c r="I815">
        <v>25</v>
      </c>
      <c r="J815">
        <v>186</v>
      </c>
      <c r="K815">
        <v>7511.26</v>
      </c>
      <c r="L815">
        <v>356.74</v>
      </c>
      <c r="M815">
        <v>13.91</v>
      </c>
      <c r="N815">
        <v>7140.61</v>
      </c>
      <c r="O815">
        <v>2246.06</v>
      </c>
      <c r="P815">
        <v>4894.55</v>
      </c>
      <c r="Q815">
        <v>52.86</v>
      </c>
      <c r="R815">
        <v>397.3</v>
      </c>
      <c r="S815">
        <v>383</v>
      </c>
      <c r="T815">
        <v>139</v>
      </c>
      <c r="U815">
        <v>8</v>
      </c>
      <c r="V815">
        <v>47</v>
      </c>
      <c r="W815">
        <v>32</v>
      </c>
      <c r="X815">
        <v>38.39</v>
      </c>
      <c r="Y815">
        <v>2.06</v>
      </c>
      <c r="Z815">
        <v>68.55</v>
      </c>
      <c r="AA815">
        <v>2601.29</v>
      </c>
      <c r="AB815">
        <v>1246.58</v>
      </c>
      <c r="AC815">
        <v>221.52</v>
      </c>
      <c r="AD815">
        <v>360</v>
      </c>
      <c r="AE815">
        <v>233.91</v>
      </c>
      <c r="AF815">
        <v>4663.3</v>
      </c>
      <c r="AG815">
        <v>-218.91</v>
      </c>
      <c r="AH815">
        <v>-3.07</v>
      </c>
    </row>
    <row r="816" spans="1:34">
      <c r="A816" t="s">
        <v>1229</v>
      </c>
      <c r="B816" t="s">
        <v>259</v>
      </c>
      <c r="C816" t="b">
        <v>0</v>
      </c>
      <c r="D816" t="b">
        <v>0</v>
      </c>
      <c r="E816" t="s">
        <v>1471</v>
      </c>
      <c r="F816" t="s">
        <v>1475</v>
      </c>
      <c r="G816" t="s">
        <v>1483</v>
      </c>
      <c r="H816">
        <v>23.8</v>
      </c>
      <c r="I816">
        <v>26</v>
      </c>
      <c r="J816">
        <v>232</v>
      </c>
      <c r="K816">
        <v>9851.379999999999</v>
      </c>
      <c r="L816">
        <v>375.14</v>
      </c>
      <c r="M816">
        <v>0</v>
      </c>
      <c r="N816">
        <v>9476.24</v>
      </c>
      <c r="O816">
        <v>3034.77</v>
      </c>
      <c r="P816">
        <v>6441.47</v>
      </c>
      <c r="Q816">
        <v>63.94</v>
      </c>
      <c r="R816">
        <v>524.08</v>
      </c>
      <c r="S816">
        <v>499</v>
      </c>
      <c r="T816">
        <v>183</v>
      </c>
      <c r="U816">
        <v>7</v>
      </c>
      <c r="V816">
        <v>49</v>
      </c>
      <c r="W816">
        <v>54</v>
      </c>
      <c r="X816">
        <v>40.85</v>
      </c>
      <c r="Y816">
        <v>2.15</v>
      </c>
      <c r="Z816">
        <v>67.97</v>
      </c>
      <c r="AA816">
        <v>2601.29</v>
      </c>
      <c r="AB816">
        <v>1246.58</v>
      </c>
      <c r="AC816">
        <v>233.04</v>
      </c>
      <c r="AD816">
        <v>360</v>
      </c>
      <c r="AE816">
        <v>167.34</v>
      </c>
      <c r="AF816">
        <v>4608.25</v>
      </c>
      <c r="AG816">
        <v>1245.2</v>
      </c>
      <c r="AH816">
        <v>13.14</v>
      </c>
    </row>
    <row r="817" spans="1:34">
      <c r="A817" t="s">
        <v>1230</v>
      </c>
      <c r="B817" t="s">
        <v>260</v>
      </c>
      <c r="C817" t="b">
        <v>0</v>
      </c>
      <c r="D817" t="b">
        <v>0</v>
      </c>
      <c r="E817" t="s">
        <v>1471</v>
      </c>
      <c r="F817" t="s">
        <v>1475</v>
      </c>
      <c r="G817" t="s">
        <v>1483</v>
      </c>
      <c r="H817">
        <v>22.7</v>
      </c>
      <c r="I817">
        <v>27</v>
      </c>
      <c r="J817">
        <v>208</v>
      </c>
      <c r="K817">
        <v>7874.8</v>
      </c>
      <c r="L817">
        <v>260.13</v>
      </c>
      <c r="M817">
        <v>0</v>
      </c>
      <c r="N817">
        <v>7614.67</v>
      </c>
      <c r="O817">
        <v>2202.64</v>
      </c>
      <c r="P817">
        <v>5412.03</v>
      </c>
      <c r="Q817">
        <v>55.99</v>
      </c>
      <c r="R817">
        <v>387.02</v>
      </c>
      <c r="S817">
        <v>435</v>
      </c>
      <c r="T817">
        <v>152</v>
      </c>
      <c r="U817">
        <v>13</v>
      </c>
      <c r="V817">
        <v>56</v>
      </c>
      <c r="W817">
        <v>45</v>
      </c>
      <c r="X817">
        <v>36.61</v>
      </c>
      <c r="Y817">
        <v>2.09</v>
      </c>
      <c r="Z817">
        <v>71.06999999999999</v>
      </c>
      <c r="AA817">
        <v>2601.29</v>
      </c>
      <c r="AB817">
        <v>1246.58</v>
      </c>
      <c r="AC817">
        <v>222.4</v>
      </c>
      <c r="AD817">
        <v>360</v>
      </c>
      <c r="AE817">
        <v>160.48</v>
      </c>
      <c r="AF817">
        <v>4590.75</v>
      </c>
      <c r="AG817">
        <v>378.27</v>
      </c>
      <c r="AH817">
        <v>4.97</v>
      </c>
    </row>
    <row r="818" spans="1:34">
      <c r="A818" t="s">
        <v>1231</v>
      </c>
      <c r="B818" t="s">
        <v>261</v>
      </c>
      <c r="C818" t="b">
        <v>0</v>
      </c>
      <c r="D818" t="b">
        <v>0</v>
      </c>
      <c r="E818" t="s">
        <v>1471</v>
      </c>
      <c r="F818" t="s">
        <v>1475</v>
      </c>
      <c r="G818" t="s">
        <v>1498</v>
      </c>
      <c r="H818">
        <v>23.5</v>
      </c>
      <c r="I818">
        <v>0</v>
      </c>
      <c r="J818">
        <v>295</v>
      </c>
      <c r="K818">
        <v>13803.53</v>
      </c>
      <c r="L818">
        <v>394.42</v>
      </c>
      <c r="M818">
        <v>70.43000000000001</v>
      </c>
      <c r="N818">
        <v>13338.68</v>
      </c>
      <c r="O818">
        <v>4232.83</v>
      </c>
      <c r="P818">
        <v>9105.85</v>
      </c>
      <c r="Q818">
        <v>107.29</v>
      </c>
      <c r="R818">
        <v>499.23</v>
      </c>
      <c r="S818">
        <v>683</v>
      </c>
      <c r="T818">
        <v>195</v>
      </c>
      <c r="U818">
        <v>15</v>
      </c>
      <c r="V818">
        <v>100</v>
      </c>
      <c r="W818">
        <v>48</v>
      </c>
      <c r="X818">
        <v>45.22</v>
      </c>
      <c r="Y818">
        <v>2.32</v>
      </c>
      <c r="Z818">
        <v>68.27</v>
      </c>
      <c r="AA818">
        <v>2601.29</v>
      </c>
      <c r="AB818">
        <v>1246.58</v>
      </c>
      <c r="AC818">
        <v>227.15</v>
      </c>
      <c r="AD818">
        <v>360</v>
      </c>
      <c r="AE818">
        <v>186.26</v>
      </c>
      <c r="AF818">
        <v>4621.28</v>
      </c>
      <c r="AG818">
        <v>3878.05</v>
      </c>
      <c r="AH818">
        <v>29.07</v>
      </c>
    </row>
    <row r="819" spans="1:34">
      <c r="A819" t="s">
        <v>1232</v>
      </c>
      <c r="B819" t="s">
        <v>262</v>
      </c>
      <c r="C819" t="b">
        <v>1</v>
      </c>
      <c r="D819" t="b">
        <v>0</v>
      </c>
      <c r="E819" t="s">
        <v>1471</v>
      </c>
      <c r="F819" t="s">
        <v>1475</v>
      </c>
      <c r="G819" t="s">
        <v>1498</v>
      </c>
      <c r="H819">
        <v>26.1</v>
      </c>
      <c r="I819">
        <v>1</v>
      </c>
      <c r="J819">
        <v>283</v>
      </c>
      <c r="K819">
        <v>12703.59</v>
      </c>
      <c r="L819">
        <v>485.96</v>
      </c>
      <c r="M819">
        <v>11.3</v>
      </c>
      <c r="N819">
        <v>12206.33</v>
      </c>
      <c r="O819">
        <v>3850.55</v>
      </c>
      <c r="P819">
        <v>8355.780000000001</v>
      </c>
      <c r="Q819">
        <v>91.09999999999999</v>
      </c>
      <c r="R819">
        <v>591.74</v>
      </c>
      <c r="S819">
        <v>633</v>
      </c>
      <c r="T819">
        <v>206</v>
      </c>
      <c r="U819">
        <v>17</v>
      </c>
      <c r="V819">
        <v>77</v>
      </c>
      <c r="W819">
        <v>62</v>
      </c>
      <c r="X819">
        <v>43.13</v>
      </c>
      <c r="Y819">
        <v>2.24</v>
      </c>
      <c r="Z819">
        <v>68.45</v>
      </c>
      <c r="AA819">
        <v>2601.29</v>
      </c>
      <c r="AB819">
        <v>1246.58</v>
      </c>
      <c r="AC819">
        <v>227.9</v>
      </c>
      <c r="AD819">
        <v>360</v>
      </c>
      <c r="AE819">
        <v>204.25</v>
      </c>
      <c r="AF819">
        <v>4640.02</v>
      </c>
      <c r="AG819">
        <v>3032.92</v>
      </c>
      <c r="AH819">
        <v>24.85</v>
      </c>
    </row>
    <row r="820" spans="1:34">
      <c r="A820" t="s">
        <v>1233</v>
      </c>
      <c r="B820" t="s">
        <v>263</v>
      </c>
      <c r="C820" t="b">
        <v>1</v>
      </c>
      <c r="D820" t="b">
        <v>0</v>
      </c>
      <c r="E820" t="s">
        <v>1471</v>
      </c>
      <c r="F820" t="s">
        <v>1475</v>
      </c>
      <c r="G820" t="s">
        <v>1510</v>
      </c>
      <c r="H820">
        <v>27.5</v>
      </c>
      <c r="I820">
        <v>2</v>
      </c>
      <c r="J820">
        <v>309</v>
      </c>
      <c r="K820">
        <v>14098.24</v>
      </c>
      <c r="L820">
        <v>430.57</v>
      </c>
      <c r="M820">
        <v>37.39</v>
      </c>
      <c r="N820">
        <v>13630.28</v>
      </c>
      <c r="O820">
        <v>4132.25</v>
      </c>
      <c r="P820">
        <v>9498.030000000001</v>
      </c>
      <c r="Q820">
        <v>87.45</v>
      </c>
      <c r="R820">
        <v>837.72</v>
      </c>
      <c r="S820">
        <v>738</v>
      </c>
      <c r="T820">
        <v>241</v>
      </c>
      <c r="U820">
        <v>16</v>
      </c>
      <c r="V820">
        <v>68</v>
      </c>
      <c r="W820">
        <v>92</v>
      </c>
      <c r="X820">
        <v>44.11</v>
      </c>
      <c r="Y820">
        <v>2.39</v>
      </c>
      <c r="Z820">
        <v>69.68000000000001</v>
      </c>
      <c r="AA820">
        <v>2601.29</v>
      </c>
      <c r="AB820">
        <v>1246.58</v>
      </c>
      <c r="AC820">
        <v>274.55</v>
      </c>
      <c r="AD820">
        <v>360</v>
      </c>
      <c r="AE820">
        <v>182.73</v>
      </c>
      <c r="AF820">
        <v>4665.15</v>
      </c>
      <c r="AG820">
        <v>3907.71</v>
      </c>
      <c r="AH820">
        <v>28.67</v>
      </c>
    </row>
    <row r="821" spans="1:34">
      <c r="A821" t="s">
        <v>482</v>
      </c>
      <c r="B821" t="s">
        <v>75</v>
      </c>
      <c r="C821" t="b">
        <v>0</v>
      </c>
      <c r="D821" t="b">
        <v>1</v>
      </c>
      <c r="E821" t="s">
        <v>1471</v>
      </c>
      <c r="F821" t="s">
        <v>1475</v>
      </c>
      <c r="G821" t="s">
        <v>1511</v>
      </c>
      <c r="H821">
        <v>28.4</v>
      </c>
      <c r="I821">
        <v>3</v>
      </c>
      <c r="J821">
        <v>244</v>
      </c>
      <c r="K821">
        <v>11811.08</v>
      </c>
      <c r="L821">
        <v>415.63</v>
      </c>
      <c r="M821">
        <v>0</v>
      </c>
      <c r="N821">
        <v>11395.45</v>
      </c>
      <c r="O821">
        <v>3545.38</v>
      </c>
      <c r="P821">
        <v>7850.07</v>
      </c>
      <c r="Q821">
        <v>87.43000000000001</v>
      </c>
      <c r="R821">
        <v>416.32</v>
      </c>
      <c r="S821">
        <v>601</v>
      </c>
      <c r="T821">
        <v>183</v>
      </c>
      <c r="U821">
        <v>8</v>
      </c>
      <c r="V821">
        <v>61</v>
      </c>
      <c r="W821">
        <v>44</v>
      </c>
      <c r="X821">
        <v>46.7</v>
      </c>
      <c r="Y821">
        <v>2.46</v>
      </c>
      <c r="Z821">
        <v>68.89</v>
      </c>
      <c r="AA821">
        <v>2322.58</v>
      </c>
      <c r="AB821">
        <v>1246.58</v>
      </c>
      <c r="AC821">
        <v>287.31</v>
      </c>
      <c r="AD821">
        <v>110</v>
      </c>
      <c r="AE821">
        <v>165.36</v>
      </c>
      <c r="AF821">
        <v>4131.83</v>
      </c>
      <c r="AG821">
        <v>3214.49</v>
      </c>
      <c r="AH821">
        <v>28.21</v>
      </c>
    </row>
    <row r="822" spans="1:34">
      <c r="A822" t="s">
        <v>1234</v>
      </c>
      <c r="B822" t="s">
        <v>258</v>
      </c>
      <c r="C822" t="b">
        <v>0</v>
      </c>
      <c r="D822" t="b">
        <v>1</v>
      </c>
      <c r="E822" t="s">
        <v>1471</v>
      </c>
      <c r="F822" t="s">
        <v>1475</v>
      </c>
      <c r="G822" t="s">
        <v>1511</v>
      </c>
      <c r="H822">
        <v>29.7</v>
      </c>
      <c r="I822">
        <v>4</v>
      </c>
      <c r="J822">
        <v>258</v>
      </c>
      <c r="K822">
        <v>11829.38</v>
      </c>
      <c r="L822">
        <v>236.52</v>
      </c>
      <c r="M822">
        <v>66.09</v>
      </c>
      <c r="N822">
        <v>11526.77</v>
      </c>
      <c r="O822">
        <v>3629.75</v>
      </c>
      <c r="P822">
        <v>7897.02</v>
      </c>
      <c r="Q822">
        <v>92.56999999999999</v>
      </c>
      <c r="R822">
        <v>407.27</v>
      </c>
      <c r="S822">
        <v>609</v>
      </c>
      <c r="T822">
        <v>187</v>
      </c>
      <c r="U822">
        <v>16</v>
      </c>
      <c r="V822">
        <v>71</v>
      </c>
      <c r="W822">
        <v>47</v>
      </c>
      <c r="X822">
        <v>44.68</v>
      </c>
      <c r="Y822">
        <v>2.36</v>
      </c>
      <c r="Z822">
        <v>68.51000000000001</v>
      </c>
      <c r="AA822">
        <v>2322.58</v>
      </c>
      <c r="AB822">
        <v>1246.58</v>
      </c>
      <c r="AC822">
        <v>276.96</v>
      </c>
      <c r="AD822">
        <v>110</v>
      </c>
      <c r="AE822">
        <v>183.77</v>
      </c>
      <c r="AF822">
        <v>4139.89</v>
      </c>
      <c r="AG822">
        <v>3257.29</v>
      </c>
      <c r="AH822">
        <v>28.26</v>
      </c>
    </row>
    <row r="823" spans="1:34">
      <c r="A823" t="s">
        <v>1235</v>
      </c>
      <c r="B823" t="s">
        <v>259</v>
      </c>
      <c r="C823" t="b">
        <v>0</v>
      </c>
      <c r="D823" t="b">
        <v>1</v>
      </c>
      <c r="E823" t="s">
        <v>1471</v>
      </c>
      <c r="F823" t="s">
        <v>1475</v>
      </c>
      <c r="G823" t="s">
        <v>1485</v>
      </c>
      <c r="H823">
        <v>27.5</v>
      </c>
      <c r="I823">
        <v>5</v>
      </c>
      <c r="J823">
        <v>240</v>
      </c>
      <c r="K823">
        <v>11219.11</v>
      </c>
      <c r="L823">
        <v>377.38</v>
      </c>
      <c r="M823">
        <v>18.26</v>
      </c>
      <c r="N823">
        <v>10823.47</v>
      </c>
      <c r="O823">
        <v>3469.27</v>
      </c>
      <c r="P823">
        <v>7354.2</v>
      </c>
      <c r="Q823">
        <v>89.09999999999999</v>
      </c>
      <c r="R823">
        <v>405.51</v>
      </c>
      <c r="S823">
        <v>575</v>
      </c>
      <c r="T823">
        <v>171</v>
      </c>
      <c r="U823">
        <v>10</v>
      </c>
      <c r="V823">
        <v>69</v>
      </c>
      <c r="W823">
        <v>44</v>
      </c>
      <c r="X823">
        <v>45.1</v>
      </c>
      <c r="Y823">
        <v>2.4</v>
      </c>
      <c r="Z823">
        <v>67.95</v>
      </c>
      <c r="AA823">
        <v>2400</v>
      </c>
      <c r="AB823">
        <v>1246.58</v>
      </c>
      <c r="AC823">
        <v>281.35</v>
      </c>
      <c r="AD823">
        <v>110</v>
      </c>
      <c r="AE823">
        <v>202.87</v>
      </c>
      <c r="AF823">
        <v>4240.8</v>
      </c>
      <c r="AG823">
        <v>2618.79</v>
      </c>
      <c r="AH823">
        <v>24.2</v>
      </c>
    </row>
    <row r="824" spans="1:34">
      <c r="A824" t="s">
        <v>1236</v>
      </c>
      <c r="B824" t="s">
        <v>260</v>
      </c>
      <c r="C824" t="b">
        <v>0</v>
      </c>
      <c r="D824" t="b">
        <v>1</v>
      </c>
      <c r="E824" t="s">
        <v>1471</v>
      </c>
      <c r="F824" t="s">
        <v>1475</v>
      </c>
      <c r="G824" t="s">
        <v>1485</v>
      </c>
      <c r="H824">
        <v>28.3</v>
      </c>
      <c r="I824">
        <v>6</v>
      </c>
      <c r="J824">
        <v>251</v>
      </c>
      <c r="K824">
        <v>11510.22</v>
      </c>
      <c r="L824">
        <v>275.65</v>
      </c>
      <c r="M824">
        <v>8.699999999999999</v>
      </c>
      <c r="N824">
        <v>11225.87</v>
      </c>
      <c r="O824">
        <v>3529.78</v>
      </c>
      <c r="P824">
        <v>7696.09</v>
      </c>
      <c r="Q824">
        <v>95.34999999999999</v>
      </c>
      <c r="R824">
        <v>355.48</v>
      </c>
      <c r="S824">
        <v>591</v>
      </c>
      <c r="T824">
        <v>170</v>
      </c>
      <c r="U824">
        <v>10</v>
      </c>
      <c r="V824">
        <v>81</v>
      </c>
      <c r="W824">
        <v>39</v>
      </c>
      <c r="X824">
        <v>44.72</v>
      </c>
      <c r="Y824">
        <v>2.35</v>
      </c>
      <c r="Z824">
        <v>68.56</v>
      </c>
      <c r="AA824">
        <v>2400</v>
      </c>
      <c r="AB824">
        <v>1246.58</v>
      </c>
      <c r="AC824">
        <v>284.03</v>
      </c>
      <c r="AD824">
        <v>110</v>
      </c>
      <c r="AE824">
        <v>212.07</v>
      </c>
      <c r="AF824">
        <v>4252.68</v>
      </c>
      <c r="AG824">
        <v>2992.58</v>
      </c>
      <c r="AH824">
        <v>26.66</v>
      </c>
    </row>
    <row r="825" spans="1:34">
      <c r="A825" t="s">
        <v>1237</v>
      </c>
      <c r="B825" t="s">
        <v>261</v>
      </c>
      <c r="C825" t="b">
        <v>0</v>
      </c>
      <c r="D825" t="b">
        <v>0</v>
      </c>
      <c r="E825" t="s">
        <v>1471</v>
      </c>
      <c r="F825" t="s">
        <v>1475</v>
      </c>
      <c r="G825" t="s">
        <v>1486</v>
      </c>
      <c r="H825">
        <v>26.6</v>
      </c>
      <c r="I825">
        <v>7</v>
      </c>
      <c r="J825">
        <v>256</v>
      </c>
      <c r="K825">
        <v>8757.32</v>
      </c>
      <c r="L825">
        <v>344.34</v>
      </c>
      <c r="M825">
        <v>59.13</v>
      </c>
      <c r="N825">
        <v>8353.85</v>
      </c>
      <c r="O825">
        <v>2547.89</v>
      </c>
      <c r="P825">
        <v>5805.96</v>
      </c>
      <c r="Q825">
        <v>66.93000000000001</v>
      </c>
      <c r="R825">
        <v>359.49</v>
      </c>
      <c r="S825">
        <v>502</v>
      </c>
      <c r="T825">
        <v>181</v>
      </c>
      <c r="U825">
        <v>14</v>
      </c>
      <c r="V825">
        <v>75</v>
      </c>
      <c r="W825">
        <v>35</v>
      </c>
      <c r="X825">
        <v>32.63</v>
      </c>
      <c r="Y825">
        <v>1.96</v>
      </c>
      <c r="Z825">
        <v>69.5</v>
      </c>
      <c r="AA825">
        <v>2400</v>
      </c>
      <c r="AB825">
        <v>1246.58</v>
      </c>
      <c r="AC825">
        <v>257.88</v>
      </c>
      <c r="AD825">
        <v>110</v>
      </c>
      <c r="AE825">
        <v>194.1</v>
      </c>
      <c r="AF825">
        <v>4208.56</v>
      </c>
      <c r="AG825">
        <v>1170.98</v>
      </c>
      <c r="AH825">
        <v>14.02</v>
      </c>
    </row>
    <row r="826" spans="1:34">
      <c r="A826" t="s">
        <v>1238</v>
      </c>
      <c r="B826" t="s">
        <v>262</v>
      </c>
      <c r="C826" t="b">
        <v>1</v>
      </c>
      <c r="D826" t="b">
        <v>0</v>
      </c>
      <c r="E826" t="s">
        <v>1471</v>
      </c>
      <c r="F826" t="s">
        <v>1475</v>
      </c>
      <c r="G826" t="s">
        <v>1486</v>
      </c>
      <c r="H826">
        <v>28.6</v>
      </c>
      <c r="I826">
        <v>8</v>
      </c>
      <c r="J826">
        <v>196</v>
      </c>
      <c r="K826">
        <v>7860.73</v>
      </c>
      <c r="L826">
        <v>191.29</v>
      </c>
      <c r="M826">
        <v>17.39</v>
      </c>
      <c r="N826">
        <v>7652.05</v>
      </c>
      <c r="O826">
        <v>2300.27</v>
      </c>
      <c r="P826">
        <v>5351.78</v>
      </c>
      <c r="Q826">
        <v>57.97</v>
      </c>
      <c r="R826">
        <v>374.94</v>
      </c>
      <c r="S826">
        <v>455</v>
      </c>
      <c r="T826">
        <v>146</v>
      </c>
      <c r="U826">
        <v>7</v>
      </c>
      <c r="V826">
        <v>50</v>
      </c>
      <c r="W826">
        <v>46</v>
      </c>
      <c r="X826">
        <v>39.04</v>
      </c>
      <c r="Y826">
        <v>2.32</v>
      </c>
      <c r="Z826">
        <v>69.94</v>
      </c>
      <c r="AA826">
        <v>2400</v>
      </c>
      <c r="AB826">
        <v>1246.58</v>
      </c>
      <c r="AC826">
        <v>291.87</v>
      </c>
      <c r="AD826">
        <v>110</v>
      </c>
      <c r="AE826">
        <v>181.88</v>
      </c>
      <c r="AF826">
        <v>4230.33</v>
      </c>
      <c r="AG826">
        <v>688.54</v>
      </c>
      <c r="AH826">
        <v>9</v>
      </c>
    </row>
    <row r="827" spans="1:34">
      <c r="A827" t="s">
        <v>1239</v>
      </c>
      <c r="B827" t="s">
        <v>263</v>
      </c>
      <c r="C827" t="b">
        <v>1</v>
      </c>
      <c r="D827" t="b">
        <v>0</v>
      </c>
      <c r="E827" t="s">
        <v>1471</v>
      </c>
      <c r="F827" t="s">
        <v>1475</v>
      </c>
      <c r="G827" t="s">
        <v>1486</v>
      </c>
      <c r="H827">
        <v>28</v>
      </c>
      <c r="I827">
        <v>9</v>
      </c>
      <c r="J827">
        <v>226</v>
      </c>
      <c r="K827">
        <v>9566.940000000001</v>
      </c>
      <c r="L827">
        <v>171.3</v>
      </c>
      <c r="M827">
        <v>55.65</v>
      </c>
      <c r="N827">
        <v>9339.99</v>
      </c>
      <c r="O827">
        <v>2819.58</v>
      </c>
      <c r="P827">
        <v>6520.41</v>
      </c>
      <c r="Q827">
        <v>69.40000000000001</v>
      </c>
      <c r="R827">
        <v>459.65</v>
      </c>
      <c r="S827">
        <v>542</v>
      </c>
      <c r="T827">
        <v>165</v>
      </c>
      <c r="U827">
        <v>13</v>
      </c>
      <c r="V827">
        <v>61</v>
      </c>
      <c r="W827">
        <v>52</v>
      </c>
      <c r="X827">
        <v>41.33</v>
      </c>
      <c r="Y827">
        <v>2.4</v>
      </c>
      <c r="Z827">
        <v>69.81</v>
      </c>
      <c r="AA827">
        <v>2400</v>
      </c>
      <c r="AB827">
        <v>1246.58</v>
      </c>
      <c r="AC827">
        <v>261.34</v>
      </c>
      <c r="AD827">
        <v>110</v>
      </c>
      <c r="AE827">
        <v>193.77</v>
      </c>
      <c r="AF827">
        <v>4211.69</v>
      </c>
      <c r="AG827">
        <v>1779.67</v>
      </c>
      <c r="AH827">
        <v>19.05</v>
      </c>
    </row>
    <row r="828" spans="1:34">
      <c r="A828" t="s">
        <v>483</v>
      </c>
      <c r="B828" t="s">
        <v>75</v>
      </c>
      <c r="C828" t="b">
        <v>0</v>
      </c>
      <c r="D828" t="b">
        <v>0</v>
      </c>
      <c r="E828" t="s">
        <v>1471</v>
      </c>
      <c r="F828" t="s">
        <v>82</v>
      </c>
      <c r="G828" t="s">
        <v>81</v>
      </c>
      <c r="H828">
        <v>28.1</v>
      </c>
      <c r="I828">
        <v>10</v>
      </c>
      <c r="J828">
        <v>264</v>
      </c>
      <c r="K828">
        <v>7984.94</v>
      </c>
      <c r="L828">
        <v>279.98</v>
      </c>
      <c r="M828">
        <v>52.17</v>
      </c>
      <c r="N828">
        <v>7652.79</v>
      </c>
      <c r="O828">
        <v>2285.42</v>
      </c>
      <c r="P828">
        <v>5367.37</v>
      </c>
      <c r="Q828">
        <v>63.24</v>
      </c>
      <c r="R828">
        <v>210.59</v>
      </c>
      <c r="S828">
        <v>465</v>
      </c>
      <c r="T828">
        <v>192</v>
      </c>
      <c r="U828">
        <v>16</v>
      </c>
      <c r="V828">
        <v>72</v>
      </c>
      <c r="W828">
        <v>31</v>
      </c>
      <c r="X828">
        <v>28.99</v>
      </c>
      <c r="Y828">
        <v>1.76</v>
      </c>
      <c r="Z828">
        <v>70.14</v>
      </c>
      <c r="AA828">
        <v>2400</v>
      </c>
      <c r="AB828">
        <v>1246.58</v>
      </c>
      <c r="AC828">
        <v>276.24</v>
      </c>
      <c r="AD828">
        <v>110</v>
      </c>
      <c r="AE828">
        <v>166.12</v>
      </c>
      <c r="AF828">
        <v>4198.94</v>
      </c>
      <c r="AG828">
        <v>894.6</v>
      </c>
      <c r="AH828">
        <v>11.69</v>
      </c>
    </row>
    <row r="829" spans="1:34">
      <c r="A829" t="s">
        <v>1240</v>
      </c>
      <c r="B829" t="s">
        <v>258</v>
      </c>
      <c r="C829" t="b">
        <v>0</v>
      </c>
      <c r="D829" t="b">
        <v>0</v>
      </c>
      <c r="E829" t="s">
        <v>1471</v>
      </c>
      <c r="F829" t="s">
        <v>82</v>
      </c>
      <c r="G829" t="s">
        <v>81</v>
      </c>
      <c r="H829">
        <v>25.3</v>
      </c>
      <c r="I829">
        <v>11</v>
      </c>
      <c r="J829">
        <v>279</v>
      </c>
      <c r="K829">
        <v>8408.530000000001</v>
      </c>
      <c r="L829">
        <v>240.85</v>
      </c>
      <c r="M829">
        <v>20</v>
      </c>
      <c r="N829">
        <v>8147.68</v>
      </c>
      <c r="O829">
        <v>2445.88</v>
      </c>
      <c r="P829">
        <v>5701.8</v>
      </c>
      <c r="Q829">
        <v>61.03</v>
      </c>
      <c r="R829">
        <v>373.75</v>
      </c>
      <c r="S829">
        <v>494</v>
      </c>
      <c r="T829">
        <v>189</v>
      </c>
      <c r="U829">
        <v>13</v>
      </c>
      <c r="V829">
        <v>90</v>
      </c>
      <c r="W829">
        <v>37</v>
      </c>
      <c r="X829">
        <v>29.2</v>
      </c>
      <c r="Y829">
        <v>1.77</v>
      </c>
      <c r="Z829">
        <v>69.98</v>
      </c>
      <c r="AA829">
        <v>2400</v>
      </c>
      <c r="AB829">
        <v>1246.58</v>
      </c>
      <c r="AC829">
        <v>241.66</v>
      </c>
      <c r="AD829">
        <v>110</v>
      </c>
      <c r="AE829">
        <v>187.7</v>
      </c>
      <c r="AF829">
        <v>4185.94</v>
      </c>
      <c r="AG829">
        <v>1081.08</v>
      </c>
      <c r="AH829">
        <v>13.27</v>
      </c>
    </row>
    <row r="830" spans="1:34">
      <c r="A830" t="s">
        <v>1241</v>
      </c>
      <c r="B830" t="s">
        <v>259</v>
      </c>
      <c r="C830" t="b">
        <v>0</v>
      </c>
      <c r="D830" t="b">
        <v>0</v>
      </c>
      <c r="E830" t="s">
        <v>1471</v>
      </c>
      <c r="F830" t="s">
        <v>82</v>
      </c>
      <c r="G830" t="s">
        <v>81</v>
      </c>
      <c r="H830">
        <v>25.5</v>
      </c>
      <c r="I830">
        <v>12</v>
      </c>
      <c r="J830">
        <v>270</v>
      </c>
      <c r="K830">
        <v>8812.950000000001</v>
      </c>
      <c r="L830">
        <v>423.46</v>
      </c>
      <c r="M830">
        <v>20</v>
      </c>
      <c r="N830">
        <v>8369.49</v>
      </c>
      <c r="O830">
        <v>2563.01</v>
      </c>
      <c r="P830">
        <v>5806.48</v>
      </c>
      <c r="Q830">
        <v>64.52</v>
      </c>
      <c r="R830">
        <v>317.39</v>
      </c>
      <c r="S830">
        <v>507</v>
      </c>
      <c r="T830">
        <v>190</v>
      </c>
      <c r="U830">
        <v>10</v>
      </c>
      <c r="V830">
        <v>80</v>
      </c>
      <c r="W830">
        <v>32</v>
      </c>
      <c r="X830">
        <v>31</v>
      </c>
      <c r="Y830">
        <v>1.88</v>
      </c>
      <c r="Z830">
        <v>69.38</v>
      </c>
      <c r="AA830">
        <v>2400</v>
      </c>
      <c r="AB830">
        <v>1246.58</v>
      </c>
      <c r="AC830">
        <v>265.31</v>
      </c>
      <c r="AD830">
        <v>110</v>
      </c>
      <c r="AE830">
        <v>203.16</v>
      </c>
      <c r="AF830">
        <v>4225.05</v>
      </c>
      <c r="AG830">
        <v>1199.52</v>
      </c>
      <c r="AH830">
        <v>14.33</v>
      </c>
    </row>
    <row r="831" spans="1:34">
      <c r="A831" t="s">
        <v>1242</v>
      </c>
      <c r="B831" t="s">
        <v>260</v>
      </c>
      <c r="C831" t="b">
        <v>0</v>
      </c>
      <c r="D831" t="b">
        <v>0</v>
      </c>
      <c r="E831" t="s">
        <v>1471</v>
      </c>
      <c r="F831" t="s">
        <v>82</v>
      </c>
      <c r="G831" t="s">
        <v>81</v>
      </c>
      <c r="H831">
        <v>25.6</v>
      </c>
      <c r="I831">
        <v>13</v>
      </c>
      <c r="J831">
        <v>259</v>
      </c>
      <c r="K831">
        <v>7721.64</v>
      </c>
      <c r="L831">
        <v>176.5</v>
      </c>
      <c r="M831">
        <v>49.57</v>
      </c>
      <c r="N831">
        <v>7495.57</v>
      </c>
      <c r="O831">
        <v>2267.59</v>
      </c>
      <c r="P831">
        <v>5227.98</v>
      </c>
      <c r="Q831">
        <v>60.36</v>
      </c>
      <c r="R831">
        <v>244.01</v>
      </c>
      <c r="S831">
        <v>443</v>
      </c>
      <c r="T831">
        <v>179</v>
      </c>
      <c r="U831">
        <v>14</v>
      </c>
      <c r="V831">
        <v>80</v>
      </c>
      <c r="W831">
        <v>33</v>
      </c>
      <c r="X831">
        <v>28.94</v>
      </c>
      <c r="Y831">
        <v>1.71</v>
      </c>
      <c r="Z831">
        <v>69.75</v>
      </c>
      <c r="AA831">
        <v>2400</v>
      </c>
      <c r="AB831">
        <v>1246.58</v>
      </c>
      <c r="AC831">
        <v>239.4</v>
      </c>
      <c r="AD831">
        <v>110</v>
      </c>
      <c r="AE831">
        <v>186.2</v>
      </c>
      <c r="AF831">
        <v>4182.18</v>
      </c>
      <c r="AG831">
        <v>741.4299999999999</v>
      </c>
      <c r="AH831">
        <v>9.890000000000001</v>
      </c>
    </row>
    <row r="832" spans="1:34">
      <c r="A832" t="s">
        <v>1243</v>
      </c>
      <c r="B832" t="s">
        <v>261</v>
      </c>
      <c r="C832" t="b">
        <v>0</v>
      </c>
      <c r="D832" t="b">
        <v>0</v>
      </c>
      <c r="E832" t="s">
        <v>1471</v>
      </c>
      <c r="F832" t="s">
        <v>82</v>
      </c>
      <c r="G832" t="s">
        <v>81</v>
      </c>
      <c r="H832">
        <v>27.4</v>
      </c>
      <c r="I832">
        <v>14</v>
      </c>
      <c r="J832">
        <v>312</v>
      </c>
      <c r="K832">
        <v>10771.98</v>
      </c>
      <c r="L832">
        <v>303.45</v>
      </c>
      <c r="M832">
        <v>53.04</v>
      </c>
      <c r="N832">
        <v>10415.49</v>
      </c>
      <c r="O832">
        <v>3132.34</v>
      </c>
      <c r="P832">
        <v>7283.15</v>
      </c>
      <c r="Q832">
        <v>81.44</v>
      </c>
      <c r="R832">
        <v>353.72</v>
      </c>
      <c r="S832">
        <v>612</v>
      </c>
      <c r="T832">
        <v>224</v>
      </c>
      <c r="U832">
        <v>14</v>
      </c>
      <c r="V832">
        <v>88</v>
      </c>
      <c r="W832">
        <v>41</v>
      </c>
      <c r="X832">
        <v>33.38</v>
      </c>
      <c r="Y832">
        <v>1.96</v>
      </c>
      <c r="Z832">
        <v>69.93000000000001</v>
      </c>
      <c r="AA832">
        <v>2400</v>
      </c>
      <c r="AB832">
        <v>1246.58</v>
      </c>
      <c r="AC832">
        <v>272.51</v>
      </c>
      <c r="AD832">
        <v>110</v>
      </c>
      <c r="AE832">
        <v>188.17</v>
      </c>
      <c r="AF832">
        <v>4217.26</v>
      </c>
      <c r="AG832">
        <v>2630.73</v>
      </c>
      <c r="AH832">
        <v>25.26</v>
      </c>
    </row>
    <row r="833" spans="1:34">
      <c r="A833" t="s">
        <v>1244</v>
      </c>
      <c r="B833" t="s">
        <v>262</v>
      </c>
      <c r="C833" t="b">
        <v>1</v>
      </c>
      <c r="D833" t="b">
        <v>0</v>
      </c>
      <c r="E833" t="s">
        <v>1471</v>
      </c>
      <c r="F833" t="s">
        <v>82</v>
      </c>
      <c r="G833" t="s">
        <v>81</v>
      </c>
      <c r="H833">
        <v>27</v>
      </c>
      <c r="I833">
        <v>15</v>
      </c>
      <c r="J833">
        <v>243</v>
      </c>
      <c r="K833">
        <v>9396.370000000001</v>
      </c>
      <c r="L833">
        <v>263.47</v>
      </c>
      <c r="M833">
        <v>13.91</v>
      </c>
      <c r="N833">
        <v>9118.99</v>
      </c>
      <c r="O833">
        <v>2713.64</v>
      </c>
      <c r="P833">
        <v>6405.35</v>
      </c>
      <c r="Q833">
        <v>74.17</v>
      </c>
      <c r="R833">
        <v>326.78</v>
      </c>
      <c r="S833">
        <v>545</v>
      </c>
      <c r="T833">
        <v>167</v>
      </c>
      <c r="U833">
        <v>6</v>
      </c>
      <c r="V833">
        <v>76</v>
      </c>
      <c r="W833">
        <v>40</v>
      </c>
      <c r="X833">
        <v>37.53</v>
      </c>
      <c r="Y833">
        <v>2.24</v>
      </c>
      <c r="Z833">
        <v>70.23999999999999</v>
      </c>
      <c r="AA833">
        <v>2400</v>
      </c>
      <c r="AB833">
        <v>1246.58</v>
      </c>
      <c r="AC833">
        <v>251.39</v>
      </c>
      <c r="AD833">
        <v>110</v>
      </c>
      <c r="AE833">
        <v>183.64</v>
      </c>
      <c r="AF833">
        <v>4191.61</v>
      </c>
      <c r="AG833">
        <v>1812.79</v>
      </c>
      <c r="AH833">
        <v>19.88</v>
      </c>
    </row>
    <row r="834" spans="1:34">
      <c r="A834" t="s">
        <v>1245</v>
      </c>
      <c r="B834" t="s">
        <v>263</v>
      </c>
      <c r="C834" t="b">
        <v>1</v>
      </c>
      <c r="D834" t="b">
        <v>0</v>
      </c>
      <c r="E834" t="s">
        <v>1471</v>
      </c>
      <c r="F834" t="s">
        <v>82</v>
      </c>
      <c r="G834" t="s">
        <v>81</v>
      </c>
      <c r="H834">
        <v>27.7</v>
      </c>
      <c r="I834">
        <v>16</v>
      </c>
      <c r="J834">
        <v>237</v>
      </c>
      <c r="K834">
        <v>9543.459999999999</v>
      </c>
      <c r="L834">
        <v>353.9</v>
      </c>
      <c r="M834">
        <v>90.44</v>
      </c>
      <c r="N834">
        <v>9099.120000000001</v>
      </c>
      <c r="O834">
        <v>2802.55</v>
      </c>
      <c r="P834">
        <v>6296.57</v>
      </c>
      <c r="Q834">
        <v>72.48</v>
      </c>
      <c r="R834">
        <v>266.06</v>
      </c>
      <c r="S834">
        <v>529</v>
      </c>
      <c r="T834">
        <v>170</v>
      </c>
      <c r="U834">
        <v>6</v>
      </c>
      <c r="V834">
        <v>67</v>
      </c>
      <c r="W834">
        <v>30</v>
      </c>
      <c r="X834">
        <v>38.39</v>
      </c>
      <c r="Y834">
        <v>2.23</v>
      </c>
      <c r="Z834">
        <v>69.2</v>
      </c>
      <c r="AA834">
        <v>2400</v>
      </c>
      <c r="AB834">
        <v>1246.58</v>
      </c>
      <c r="AC834">
        <v>258.77</v>
      </c>
      <c r="AD834">
        <v>110</v>
      </c>
      <c r="AE834">
        <v>221.19</v>
      </c>
      <c r="AF834">
        <v>4236.54</v>
      </c>
      <c r="AG834">
        <v>1721.49</v>
      </c>
      <c r="AH834">
        <v>18.92</v>
      </c>
    </row>
    <row r="835" spans="1:34">
      <c r="A835" t="s">
        <v>484</v>
      </c>
      <c r="B835" t="s">
        <v>75</v>
      </c>
      <c r="C835" t="b">
        <v>0</v>
      </c>
      <c r="D835" t="b">
        <v>0</v>
      </c>
      <c r="E835" t="s">
        <v>1471</v>
      </c>
      <c r="F835" t="s">
        <v>82</v>
      </c>
      <c r="G835" t="s">
        <v>81</v>
      </c>
      <c r="H835">
        <v>26.1</v>
      </c>
      <c r="I835">
        <v>17</v>
      </c>
      <c r="J835">
        <v>229</v>
      </c>
      <c r="K835">
        <v>6845.09</v>
      </c>
      <c r="L835">
        <v>177.38</v>
      </c>
      <c r="M835">
        <v>20.87</v>
      </c>
      <c r="N835">
        <v>6646.84</v>
      </c>
      <c r="O835">
        <v>1949.5</v>
      </c>
      <c r="P835">
        <v>4697.34</v>
      </c>
      <c r="Q835">
        <v>54.71</v>
      </c>
      <c r="R835">
        <v>198.79</v>
      </c>
      <c r="S835">
        <v>398</v>
      </c>
      <c r="T835">
        <v>166</v>
      </c>
      <c r="U835">
        <v>6</v>
      </c>
      <c r="V835">
        <v>63</v>
      </c>
      <c r="W835">
        <v>28</v>
      </c>
      <c r="X835">
        <v>29.03</v>
      </c>
      <c r="Y835">
        <v>1.74</v>
      </c>
      <c r="Z835">
        <v>70.67</v>
      </c>
      <c r="AA835">
        <v>2400</v>
      </c>
      <c r="AB835">
        <v>1246.58</v>
      </c>
      <c r="AC835">
        <v>246.26</v>
      </c>
      <c r="AD835">
        <v>110</v>
      </c>
      <c r="AE835">
        <v>169.15</v>
      </c>
      <c r="AF835">
        <v>4171.99</v>
      </c>
      <c r="AG835">
        <v>271.85</v>
      </c>
      <c r="AH835">
        <v>4.09</v>
      </c>
    </row>
    <row r="836" spans="1:34">
      <c r="A836" t="s">
        <v>1246</v>
      </c>
      <c r="B836" t="s">
        <v>258</v>
      </c>
      <c r="C836" t="b">
        <v>0</v>
      </c>
      <c r="D836" t="b">
        <v>0</v>
      </c>
      <c r="E836" t="s">
        <v>1471</v>
      </c>
      <c r="F836" t="s">
        <v>82</v>
      </c>
      <c r="G836" t="s">
        <v>81</v>
      </c>
      <c r="H836">
        <v>26.3</v>
      </c>
      <c r="I836">
        <v>18</v>
      </c>
      <c r="J836">
        <v>267</v>
      </c>
      <c r="K836">
        <v>8780.690000000001</v>
      </c>
      <c r="L836">
        <v>350.33</v>
      </c>
      <c r="M836">
        <v>0</v>
      </c>
      <c r="N836">
        <v>8430.360000000001</v>
      </c>
      <c r="O836">
        <v>2447.92</v>
      </c>
      <c r="P836">
        <v>5982.44</v>
      </c>
      <c r="Q836">
        <v>59.62</v>
      </c>
      <c r="R836">
        <v>239.97</v>
      </c>
      <c r="S836">
        <v>500</v>
      </c>
      <c r="T836">
        <v>186</v>
      </c>
      <c r="U836">
        <v>10</v>
      </c>
      <c r="V836">
        <v>81</v>
      </c>
      <c r="W836">
        <v>31</v>
      </c>
      <c r="X836">
        <v>31.57</v>
      </c>
      <c r="Y836">
        <v>1.87</v>
      </c>
      <c r="Z836">
        <v>70.95999999999999</v>
      </c>
      <c r="AA836">
        <v>2400</v>
      </c>
      <c r="AB836">
        <v>1246.58</v>
      </c>
      <c r="AC836">
        <v>262.33</v>
      </c>
      <c r="AD836">
        <v>110</v>
      </c>
      <c r="AE836">
        <v>180.89</v>
      </c>
      <c r="AF836">
        <v>4199.8</v>
      </c>
      <c r="AG836">
        <v>1483.05</v>
      </c>
      <c r="AH836">
        <v>17.59</v>
      </c>
    </row>
    <row r="837" spans="1:34">
      <c r="A837" t="s">
        <v>1247</v>
      </c>
      <c r="B837" t="s">
        <v>259</v>
      </c>
      <c r="C837" t="b">
        <v>0</v>
      </c>
      <c r="D837" t="b">
        <v>0</v>
      </c>
      <c r="E837" t="s">
        <v>1471</v>
      </c>
      <c r="F837" t="s">
        <v>82</v>
      </c>
      <c r="G837" t="s">
        <v>81</v>
      </c>
      <c r="H837">
        <v>25.4</v>
      </c>
      <c r="I837">
        <v>19</v>
      </c>
      <c r="J837">
        <v>235</v>
      </c>
      <c r="K837">
        <v>6856.41</v>
      </c>
      <c r="L837">
        <v>233.03</v>
      </c>
      <c r="M837">
        <v>40.87</v>
      </c>
      <c r="N837">
        <v>6582.51</v>
      </c>
      <c r="O837">
        <v>1948.68</v>
      </c>
      <c r="P837">
        <v>4633.83</v>
      </c>
      <c r="Q837">
        <v>53.21</v>
      </c>
      <c r="R837">
        <v>154.09</v>
      </c>
      <c r="S837">
        <v>400</v>
      </c>
      <c r="T837">
        <v>171</v>
      </c>
      <c r="U837">
        <v>7</v>
      </c>
      <c r="V837">
        <v>64</v>
      </c>
      <c r="W837">
        <v>20</v>
      </c>
      <c r="X837">
        <v>28.01</v>
      </c>
      <c r="Y837">
        <v>1.7</v>
      </c>
      <c r="Z837">
        <v>70.40000000000001</v>
      </c>
      <c r="AA837">
        <v>2400</v>
      </c>
      <c r="AB837">
        <v>1246.58</v>
      </c>
      <c r="AC837">
        <v>267.42</v>
      </c>
      <c r="AD837">
        <v>110</v>
      </c>
      <c r="AE837">
        <v>200.46</v>
      </c>
      <c r="AF837">
        <v>4224.46</v>
      </c>
      <c r="AG837">
        <v>202.07</v>
      </c>
      <c r="AH837">
        <v>3.07</v>
      </c>
    </row>
    <row r="838" spans="1:34">
      <c r="A838" t="s">
        <v>1248</v>
      </c>
      <c r="B838" t="s">
        <v>260</v>
      </c>
      <c r="C838" t="b">
        <v>0</v>
      </c>
      <c r="D838" t="b">
        <v>0</v>
      </c>
      <c r="E838" t="s">
        <v>1471</v>
      </c>
      <c r="F838" t="s">
        <v>82</v>
      </c>
      <c r="G838" t="s">
        <v>81</v>
      </c>
      <c r="H838">
        <v>26.4</v>
      </c>
      <c r="I838">
        <v>20</v>
      </c>
      <c r="J838">
        <v>267</v>
      </c>
      <c r="K838">
        <v>7558.16</v>
      </c>
      <c r="L838">
        <v>409.57</v>
      </c>
      <c r="M838">
        <v>14.78</v>
      </c>
      <c r="N838">
        <v>7133.81</v>
      </c>
      <c r="O838">
        <v>2192.5</v>
      </c>
      <c r="P838">
        <v>4941.31</v>
      </c>
      <c r="Q838">
        <v>62.75</v>
      </c>
      <c r="R838">
        <v>188.01</v>
      </c>
      <c r="S838">
        <v>433</v>
      </c>
      <c r="T838">
        <v>204</v>
      </c>
      <c r="U838">
        <v>14</v>
      </c>
      <c r="V838">
        <v>63</v>
      </c>
      <c r="W838">
        <v>24</v>
      </c>
      <c r="X838">
        <v>26.72</v>
      </c>
      <c r="Y838">
        <v>1.62</v>
      </c>
      <c r="Z838">
        <v>69.27</v>
      </c>
      <c r="AA838">
        <v>2400</v>
      </c>
      <c r="AB838">
        <v>1246.58</v>
      </c>
      <c r="AC838">
        <v>253.33</v>
      </c>
      <c r="AD838">
        <v>110</v>
      </c>
      <c r="AE838">
        <v>185.46</v>
      </c>
      <c r="AF838">
        <v>4195.37</v>
      </c>
      <c r="AG838">
        <v>495.18</v>
      </c>
      <c r="AH838">
        <v>6.94</v>
      </c>
    </row>
    <row r="839" spans="1:34">
      <c r="A839" t="s">
        <v>1249</v>
      </c>
      <c r="B839" t="s">
        <v>261</v>
      </c>
      <c r="C839" t="b">
        <v>0</v>
      </c>
      <c r="D839" t="b">
        <v>0</v>
      </c>
      <c r="E839" t="s">
        <v>1471</v>
      </c>
      <c r="F839" t="s">
        <v>82</v>
      </c>
      <c r="G839" t="s">
        <v>81</v>
      </c>
      <c r="H839">
        <v>29.4</v>
      </c>
      <c r="I839">
        <v>21</v>
      </c>
      <c r="J839">
        <v>253</v>
      </c>
      <c r="K839">
        <v>8459.950000000001</v>
      </c>
      <c r="L839">
        <v>316.49</v>
      </c>
      <c r="M839">
        <v>0</v>
      </c>
      <c r="N839">
        <v>8143.46</v>
      </c>
      <c r="O839">
        <v>2496.02</v>
      </c>
      <c r="P839">
        <v>5647.44</v>
      </c>
      <c r="Q839">
        <v>60.92</v>
      </c>
      <c r="R839">
        <v>308.7</v>
      </c>
      <c r="S839">
        <v>486</v>
      </c>
      <c r="T839">
        <v>175</v>
      </c>
      <c r="U839">
        <v>9</v>
      </c>
      <c r="V839">
        <v>78</v>
      </c>
      <c r="W839">
        <v>40</v>
      </c>
      <c r="X839">
        <v>32.19</v>
      </c>
      <c r="Y839">
        <v>1.92</v>
      </c>
      <c r="Z839">
        <v>69.34999999999999</v>
      </c>
      <c r="AA839">
        <v>2400</v>
      </c>
      <c r="AB839">
        <v>1246.58</v>
      </c>
      <c r="AC839">
        <v>321.06</v>
      </c>
      <c r="AD839">
        <v>110</v>
      </c>
      <c r="AE839">
        <v>181.28</v>
      </c>
      <c r="AF839">
        <v>4258.92</v>
      </c>
      <c r="AG839">
        <v>1018.9</v>
      </c>
      <c r="AH839">
        <v>12.51</v>
      </c>
    </row>
    <row r="840" spans="1:34">
      <c r="A840" t="s">
        <v>1250</v>
      </c>
      <c r="B840" t="s">
        <v>262</v>
      </c>
      <c r="C840" t="b">
        <v>1</v>
      </c>
      <c r="D840" t="b">
        <v>0</v>
      </c>
      <c r="E840" t="s">
        <v>1471</v>
      </c>
      <c r="F840" t="s">
        <v>82</v>
      </c>
      <c r="G840" t="s">
        <v>81</v>
      </c>
      <c r="H840">
        <v>28.6</v>
      </c>
      <c r="I840">
        <v>22</v>
      </c>
      <c r="J840">
        <v>229</v>
      </c>
      <c r="K840">
        <v>9149.43</v>
      </c>
      <c r="L840">
        <v>345.19</v>
      </c>
      <c r="M840">
        <v>13.91</v>
      </c>
      <c r="N840">
        <v>8790.33</v>
      </c>
      <c r="O840">
        <v>2628.37</v>
      </c>
      <c r="P840">
        <v>6161.96</v>
      </c>
      <c r="Q840">
        <v>66.5</v>
      </c>
      <c r="R840">
        <v>373.89</v>
      </c>
      <c r="S840">
        <v>514</v>
      </c>
      <c r="T840">
        <v>181</v>
      </c>
      <c r="U840">
        <v>10</v>
      </c>
      <c r="V840">
        <v>48</v>
      </c>
      <c r="W840">
        <v>48</v>
      </c>
      <c r="X840">
        <v>38.39</v>
      </c>
      <c r="Y840">
        <v>2.24</v>
      </c>
      <c r="Z840">
        <v>70.09999999999999</v>
      </c>
      <c r="AA840">
        <v>2400</v>
      </c>
      <c r="AB840">
        <v>1246.58</v>
      </c>
      <c r="AC840">
        <v>272.57</v>
      </c>
      <c r="AD840">
        <v>110</v>
      </c>
      <c r="AE840">
        <v>171.79</v>
      </c>
      <c r="AF840">
        <v>4200.94</v>
      </c>
      <c r="AG840">
        <v>1520.63</v>
      </c>
      <c r="AH840">
        <v>17.3</v>
      </c>
    </row>
    <row r="841" spans="1:34">
      <c r="A841" t="s">
        <v>1251</v>
      </c>
      <c r="B841" t="s">
        <v>263</v>
      </c>
      <c r="C841" t="b">
        <v>1</v>
      </c>
      <c r="D841" t="b">
        <v>0</v>
      </c>
      <c r="E841" t="s">
        <v>1471</v>
      </c>
      <c r="F841" t="s">
        <v>82</v>
      </c>
      <c r="G841" t="s">
        <v>81</v>
      </c>
      <c r="H841">
        <v>27</v>
      </c>
      <c r="I841">
        <v>23</v>
      </c>
      <c r="J841">
        <v>227</v>
      </c>
      <c r="K841">
        <v>8488.639999999999</v>
      </c>
      <c r="L841">
        <v>281.74</v>
      </c>
      <c r="M841">
        <v>44.35</v>
      </c>
      <c r="N841">
        <v>8162.55</v>
      </c>
      <c r="O841">
        <v>2533.38</v>
      </c>
      <c r="P841">
        <v>5629.17</v>
      </c>
      <c r="Q841">
        <v>69.26000000000001</v>
      </c>
      <c r="R841">
        <v>237.06</v>
      </c>
      <c r="S841">
        <v>489</v>
      </c>
      <c r="T841">
        <v>162</v>
      </c>
      <c r="U841">
        <v>7</v>
      </c>
      <c r="V841">
        <v>65</v>
      </c>
      <c r="W841">
        <v>29</v>
      </c>
      <c r="X841">
        <v>35.96</v>
      </c>
      <c r="Y841">
        <v>2.15</v>
      </c>
      <c r="Z841">
        <v>68.95999999999999</v>
      </c>
      <c r="AA841">
        <v>2400</v>
      </c>
      <c r="AB841">
        <v>1246.58</v>
      </c>
      <c r="AC841">
        <v>245.69</v>
      </c>
      <c r="AD841">
        <v>110</v>
      </c>
      <c r="AE841">
        <v>173</v>
      </c>
      <c r="AF841">
        <v>4175.27</v>
      </c>
      <c r="AG841">
        <v>1147.58</v>
      </c>
      <c r="AH841">
        <v>14.06</v>
      </c>
    </row>
    <row r="842" spans="1:34">
      <c r="A842" t="s">
        <v>485</v>
      </c>
      <c r="B842" t="s">
        <v>75</v>
      </c>
      <c r="C842" t="b">
        <v>0</v>
      </c>
      <c r="D842" t="b">
        <v>0</v>
      </c>
      <c r="E842" t="s">
        <v>1471</v>
      </c>
      <c r="F842" t="s">
        <v>82</v>
      </c>
      <c r="G842" t="s">
        <v>81</v>
      </c>
      <c r="H842">
        <v>26.5</v>
      </c>
      <c r="I842">
        <v>24</v>
      </c>
      <c r="J842">
        <v>295</v>
      </c>
      <c r="K842">
        <v>9997.33</v>
      </c>
      <c r="L842">
        <v>440.16</v>
      </c>
      <c r="M842">
        <v>64.34999999999999</v>
      </c>
      <c r="N842">
        <v>9492.82</v>
      </c>
      <c r="O842">
        <v>3063.25</v>
      </c>
      <c r="P842">
        <v>6429.57</v>
      </c>
      <c r="Q842">
        <v>62.42</v>
      </c>
      <c r="R842">
        <v>323.13</v>
      </c>
      <c r="S842">
        <v>554</v>
      </c>
      <c r="T842">
        <v>218</v>
      </c>
      <c r="U842">
        <v>12</v>
      </c>
      <c r="V842">
        <v>77</v>
      </c>
      <c r="W842">
        <v>38</v>
      </c>
      <c r="X842">
        <v>32.18</v>
      </c>
      <c r="Y842">
        <v>1.88</v>
      </c>
      <c r="Z842">
        <v>67.73</v>
      </c>
      <c r="AA842">
        <v>2400</v>
      </c>
      <c r="AB842">
        <v>1246.58</v>
      </c>
      <c r="AC842">
        <v>261.27</v>
      </c>
      <c r="AD842">
        <v>110</v>
      </c>
      <c r="AE842">
        <v>175.55</v>
      </c>
      <c r="AF842">
        <v>4193.4</v>
      </c>
      <c r="AG842">
        <v>1850.62</v>
      </c>
      <c r="AH842">
        <v>19.49</v>
      </c>
    </row>
    <row r="843" spans="1:34">
      <c r="A843" t="s">
        <v>1252</v>
      </c>
      <c r="B843" t="s">
        <v>258</v>
      </c>
      <c r="C843" t="b">
        <v>0</v>
      </c>
      <c r="D843" t="b">
        <v>0</v>
      </c>
      <c r="E843" t="s">
        <v>1471</v>
      </c>
      <c r="F843" t="s">
        <v>82</v>
      </c>
      <c r="G843" t="s">
        <v>81</v>
      </c>
      <c r="H843">
        <v>27.2</v>
      </c>
      <c r="I843">
        <v>25</v>
      </c>
      <c r="J843">
        <v>187</v>
      </c>
      <c r="K843">
        <v>5392.96</v>
      </c>
      <c r="L843">
        <v>121.73</v>
      </c>
      <c r="M843">
        <v>24.35</v>
      </c>
      <c r="N843">
        <v>5246.88</v>
      </c>
      <c r="O843">
        <v>1588.77</v>
      </c>
      <c r="P843">
        <v>3658.11</v>
      </c>
      <c r="Q843">
        <v>36.6</v>
      </c>
      <c r="R843">
        <v>311.13</v>
      </c>
      <c r="S843">
        <v>313</v>
      </c>
      <c r="T843">
        <v>140</v>
      </c>
      <c r="U843">
        <v>8</v>
      </c>
      <c r="V843">
        <v>47</v>
      </c>
      <c r="W843">
        <v>42</v>
      </c>
      <c r="X843">
        <v>28.06</v>
      </c>
      <c r="Y843">
        <v>1.67</v>
      </c>
      <c r="Z843">
        <v>69.72</v>
      </c>
      <c r="AA843">
        <v>2400</v>
      </c>
      <c r="AB843">
        <v>1246.58</v>
      </c>
      <c r="AC843">
        <v>271.69</v>
      </c>
      <c r="AD843">
        <v>110</v>
      </c>
      <c r="AE843">
        <v>186.73</v>
      </c>
      <c r="AF843">
        <v>4215</v>
      </c>
      <c r="AG843">
        <v>-904.62</v>
      </c>
      <c r="AH843">
        <v>-17.24</v>
      </c>
    </row>
    <row r="844" spans="1:34">
      <c r="A844" t="s">
        <v>1253</v>
      </c>
      <c r="B844" t="s">
        <v>259</v>
      </c>
      <c r="C844" t="b">
        <v>0</v>
      </c>
      <c r="D844" t="b">
        <v>0</v>
      </c>
      <c r="E844" t="s">
        <v>1471</v>
      </c>
      <c r="F844" t="s">
        <v>82</v>
      </c>
      <c r="G844" t="s">
        <v>81</v>
      </c>
      <c r="H844">
        <v>28.7</v>
      </c>
      <c r="I844">
        <v>26</v>
      </c>
      <c r="J844">
        <v>239</v>
      </c>
      <c r="K844">
        <v>6873.7</v>
      </c>
      <c r="L844">
        <v>340.86</v>
      </c>
      <c r="M844">
        <v>26.96</v>
      </c>
      <c r="N844">
        <v>6505.88</v>
      </c>
      <c r="O844">
        <v>1890.68</v>
      </c>
      <c r="P844">
        <v>4615.2</v>
      </c>
      <c r="Q844">
        <v>48.18</v>
      </c>
      <c r="R844">
        <v>273.56</v>
      </c>
      <c r="S844">
        <v>398</v>
      </c>
      <c r="T844">
        <v>186</v>
      </c>
      <c r="U844">
        <v>7</v>
      </c>
      <c r="V844">
        <v>53</v>
      </c>
      <c r="W844">
        <v>30</v>
      </c>
      <c r="X844">
        <v>27.22</v>
      </c>
      <c r="Y844">
        <v>1.67</v>
      </c>
      <c r="Z844">
        <v>70.94</v>
      </c>
      <c r="AA844">
        <v>2400</v>
      </c>
      <c r="AB844">
        <v>1246.58</v>
      </c>
      <c r="AC844">
        <v>278.99</v>
      </c>
      <c r="AD844">
        <v>110</v>
      </c>
      <c r="AE844">
        <v>180.56</v>
      </c>
      <c r="AF844">
        <v>4216.13</v>
      </c>
      <c r="AG844">
        <v>77.33</v>
      </c>
      <c r="AH844">
        <v>1.19</v>
      </c>
    </row>
    <row r="845" spans="1:34">
      <c r="A845" t="s">
        <v>1254</v>
      </c>
      <c r="B845" t="s">
        <v>260</v>
      </c>
      <c r="C845" t="b">
        <v>0</v>
      </c>
      <c r="D845" t="b">
        <v>0</v>
      </c>
      <c r="E845" t="s">
        <v>1471</v>
      </c>
      <c r="F845" t="s">
        <v>82</v>
      </c>
      <c r="G845" t="s">
        <v>81</v>
      </c>
      <c r="H845">
        <v>27.5</v>
      </c>
      <c r="I845">
        <v>27</v>
      </c>
      <c r="J845">
        <v>317</v>
      </c>
      <c r="K845">
        <v>9632.02</v>
      </c>
      <c r="L845">
        <v>575.63</v>
      </c>
      <c r="M845">
        <v>0</v>
      </c>
      <c r="N845">
        <v>9056.389999999999</v>
      </c>
      <c r="O845">
        <v>2823.42</v>
      </c>
      <c r="P845">
        <v>6232.97</v>
      </c>
      <c r="Q845">
        <v>68.94</v>
      </c>
      <c r="R845">
        <v>355.97</v>
      </c>
      <c r="S845">
        <v>543</v>
      </c>
      <c r="T845">
        <v>243</v>
      </c>
      <c r="U845">
        <v>10</v>
      </c>
      <c r="V845">
        <v>74</v>
      </c>
      <c r="W845">
        <v>40</v>
      </c>
      <c r="X845">
        <v>28.57</v>
      </c>
      <c r="Y845">
        <v>1.71</v>
      </c>
      <c r="Z845">
        <v>68.81999999999999</v>
      </c>
      <c r="AA845">
        <v>2400</v>
      </c>
      <c r="AB845">
        <v>1246.58</v>
      </c>
      <c r="AC845">
        <v>257.42</v>
      </c>
      <c r="AD845">
        <v>110</v>
      </c>
      <c r="AE845">
        <v>184.66</v>
      </c>
      <c r="AF845">
        <v>4198.66</v>
      </c>
      <c r="AG845">
        <v>1609.4</v>
      </c>
      <c r="AH845">
        <v>17.77</v>
      </c>
    </row>
    <row r="846" spans="1:34">
      <c r="A846" t="s">
        <v>1255</v>
      </c>
      <c r="B846" t="s">
        <v>261</v>
      </c>
      <c r="C846" t="b">
        <v>0</v>
      </c>
      <c r="D846" t="b">
        <v>0</v>
      </c>
      <c r="E846" t="s">
        <v>1471</v>
      </c>
      <c r="F846" t="s">
        <v>82</v>
      </c>
      <c r="G846" t="s">
        <v>81</v>
      </c>
      <c r="H846">
        <v>29</v>
      </c>
      <c r="I846">
        <v>28</v>
      </c>
      <c r="J846">
        <v>309</v>
      </c>
      <c r="K846">
        <v>9779.799999999999</v>
      </c>
      <c r="L846">
        <v>328.69</v>
      </c>
      <c r="M846">
        <v>0</v>
      </c>
      <c r="N846">
        <v>9451.110000000001</v>
      </c>
      <c r="O846">
        <v>2807.66</v>
      </c>
      <c r="P846">
        <v>6643.45</v>
      </c>
      <c r="Q846">
        <v>75.45999999999999</v>
      </c>
      <c r="R846">
        <v>306.59</v>
      </c>
      <c r="S846">
        <v>559</v>
      </c>
      <c r="T846">
        <v>231</v>
      </c>
      <c r="U846">
        <v>8</v>
      </c>
      <c r="V846">
        <v>78</v>
      </c>
      <c r="W846">
        <v>39</v>
      </c>
      <c r="X846">
        <v>30.59</v>
      </c>
      <c r="Y846">
        <v>1.81</v>
      </c>
      <c r="Z846">
        <v>70.29000000000001</v>
      </c>
      <c r="AA846">
        <v>2400</v>
      </c>
      <c r="AB846">
        <v>1246.58</v>
      </c>
      <c r="AC846">
        <v>291.79</v>
      </c>
      <c r="AD846">
        <v>110</v>
      </c>
      <c r="AE846">
        <v>211.65</v>
      </c>
      <c r="AF846">
        <v>4260.02</v>
      </c>
      <c r="AG846">
        <v>2001.38</v>
      </c>
      <c r="AH846">
        <v>21.18</v>
      </c>
    </row>
    <row r="847" spans="1:34">
      <c r="A847" t="s">
        <v>1256</v>
      </c>
      <c r="B847" t="s">
        <v>262</v>
      </c>
      <c r="C847" t="b">
        <v>1</v>
      </c>
      <c r="D847" t="b">
        <v>0</v>
      </c>
      <c r="E847" t="s">
        <v>1471</v>
      </c>
      <c r="F847" t="s">
        <v>82</v>
      </c>
      <c r="G847" t="s">
        <v>81</v>
      </c>
      <c r="H847">
        <v>28.8</v>
      </c>
      <c r="I847">
        <v>29</v>
      </c>
      <c r="J847">
        <v>240</v>
      </c>
      <c r="K847">
        <v>9987.68</v>
      </c>
      <c r="L847">
        <v>330.4</v>
      </c>
      <c r="M847">
        <v>45.22</v>
      </c>
      <c r="N847">
        <v>9612.059999999999</v>
      </c>
      <c r="O847">
        <v>2930.27</v>
      </c>
      <c r="P847">
        <v>6681.79</v>
      </c>
      <c r="Q847">
        <v>75.65000000000001</v>
      </c>
      <c r="R847">
        <v>367.46</v>
      </c>
      <c r="S847">
        <v>576</v>
      </c>
      <c r="T847">
        <v>177</v>
      </c>
      <c r="U847">
        <v>12</v>
      </c>
      <c r="V847">
        <v>63</v>
      </c>
      <c r="W847">
        <v>44</v>
      </c>
      <c r="X847">
        <v>40.05</v>
      </c>
      <c r="Y847">
        <v>2.4</v>
      </c>
      <c r="Z847">
        <v>69.51000000000001</v>
      </c>
      <c r="AA847">
        <v>2400</v>
      </c>
      <c r="AB847">
        <v>1246.58</v>
      </c>
      <c r="AC847">
        <v>282.95</v>
      </c>
      <c r="AD847">
        <v>110</v>
      </c>
      <c r="AE847">
        <v>194.99</v>
      </c>
      <c r="AF847">
        <v>4234.52</v>
      </c>
      <c r="AG847">
        <v>2004.16</v>
      </c>
      <c r="AH847">
        <v>20.85</v>
      </c>
    </row>
    <row r="848" spans="1:34">
      <c r="A848" t="s">
        <v>1257</v>
      </c>
      <c r="B848" t="s">
        <v>263</v>
      </c>
      <c r="C848" t="b">
        <v>1</v>
      </c>
      <c r="D848" t="b">
        <v>0</v>
      </c>
      <c r="E848" t="s">
        <v>1471</v>
      </c>
      <c r="F848" t="s">
        <v>82</v>
      </c>
      <c r="G848" t="s">
        <v>81</v>
      </c>
      <c r="H848">
        <v>29.1</v>
      </c>
      <c r="I848">
        <v>30</v>
      </c>
      <c r="J848">
        <v>237</v>
      </c>
      <c r="K848">
        <v>9588.620000000001</v>
      </c>
      <c r="L848">
        <v>309.55</v>
      </c>
      <c r="M848">
        <v>20</v>
      </c>
      <c r="N848">
        <v>9259.07</v>
      </c>
      <c r="O848">
        <v>2809.15</v>
      </c>
      <c r="P848">
        <v>6449.92</v>
      </c>
      <c r="Q848">
        <v>78.14</v>
      </c>
      <c r="R848">
        <v>321.75</v>
      </c>
      <c r="S848">
        <v>547</v>
      </c>
      <c r="T848">
        <v>177</v>
      </c>
      <c r="U848">
        <v>15</v>
      </c>
      <c r="V848">
        <v>60</v>
      </c>
      <c r="W848">
        <v>36</v>
      </c>
      <c r="X848">
        <v>39.07</v>
      </c>
      <c r="Y848">
        <v>2.31</v>
      </c>
      <c r="Z848">
        <v>69.66</v>
      </c>
      <c r="AA848">
        <v>2400</v>
      </c>
      <c r="AB848">
        <v>1246.58</v>
      </c>
      <c r="AC848">
        <v>298.5</v>
      </c>
      <c r="AD848">
        <v>110</v>
      </c>
      <c r="AE848">
        <v>190.09</v>
      </c>
      <c r="AF848">
        <v>4245.17</v>
      </c>
      <c r="AG848">
        <v>1804.86</v>
      </c>
      <c r="AH848">
        <v>19.49</v>
      </c>
    </row>
    <row r="849" spans="1:34">
      <c r="A849" t="s">
        <v>486</v>
      </c>
      <c r="B849" t="s">
        <v>75</v>
      </c>
      <c r="C849" t="b">
        <v>0</v>
      </c>
      <c r="D849" t="b">
        <v>0</v>
      </c>
      <c r="E849" t="s">
        <v>1471</v>
      </c>
      <c r="F849" t="s">
        <v>82</v>
      </c>
      <c r="G849" t="s">
        <v>1477</v>
      </c>
      <c r="H849">
        <v>29.9</v>
      </c>
      <c r="I849">
        <v>0</v>
      </c>
      <c r="J849">
        <v>232</v>
      </c>
      <c r="K849">
        <v>7161.54</v>
      </c>
      <c r="L849">
        <v>130.41</v>
      </c>
      <c r="M849">
        <v>13.91</v>
      </c>
      <c r="N849">
        <v>7017.22</v>
      </c>
      <c r="O849">
        <v>2036.08</v>
      </c>
      <c r="P849">
        <v>4981.14</v>
      </c>
      <c r="Q849">
        <v>55.1</v>
      </c>
      <c r="R849">
        <v>297.55</v>
      </c>
      <c r="S849">
        <v>411</v>
      </c>
      <c r="T849">
        <v>171</v>
      </c>
      <c r="U849">
        <v>12</v>
      </c>
      <c r="V849">
        <v>61</v>
      </c>
      <c r="W849">
        <v>34</v>
      </c>
      <c r="X849">
        <v>30.25</v>
      </c>
      <c r="Y849">
        <v>1.77</v>
      </c>
      <c r="Z849">
        <v>70.98</v>
      </c>
      <c r="AA849">
        <v>2400</v>
      </c>
      <c r="AB849">
        <v>1246.58</v>
      </c>
      <c r="AC849">
        <v>295.4</v>
      </c>
      <c r="AD849">
        <v>110</v>
      </c>
      <c r="AE849">
        <v>201.8</v>
      </c>
      <c r="AF849">
        <v>4253.78</v>
      </c>
      <c r="AG849">
        <v>374.71</v>
      </c>
      <c r="AH849">
        <v>5.34</v>
      </c>
    </row>
    <row r="850" spans="1:34">
      <c r="A850" t="s">
        <v>1258</v>
      </c>
      <c r="B850" t="s">
        <v>258</v>
      </c>
      <c r="C850" t="b">
        <v>0</v>
      </c>
      <c r="D850" t="b">
        <v>0</v>
      </c>
      <c r="E850" t="s">
        <v>1471</v>
      </c>
      <c r="F850" t="s">
        <v>82</v>
      </c>
      <c r="G850" t="s">
        <v>1477</v>
      </c>
      <c r="H850">
        <v>28.6</v>
      </c>
      <c r="I850">
        <v>1</v>
      </c>
      <c r="J850">
        <v>290</v>
      </c>
      <c r="K850">
        <v>9112.860000000001</v>
      </c>
      <c r="L850">
        <v>280.86</v>
      </c>
      <c r="M850">
        <v>27.82</v>
      </c>
      <c r="N850">
        <v>8804.18</v>
      </c>
      <c r="O850">
        <v>2648.61</v>
      </c>
      <c r="P850">
        <v>6155.57</v>
      </c>
      <c r="Q850">
        <v>65.90000000000001</v>
      </c>
      <c r="R850">
        <v>316.67</v>
      </c>
      <c r="S850">
        <v>513</v>
      </c>
      <c r="T850">
        <v>211</v>
      </c>
      <c r="U850">
        <v>14</v>
      </c>
      <c r="V850">
        <v>79</v>
      </c>
      <c r="W850">
        <v>35</v>
      </c>
      <c r="X850">
        <v>30.36</v>
      </c>
      <c r="Y850">
        <v>1.77</v>
      </c>
      <c r="Z850">
        <v>69.92</v>
      </c>
      <c r="AA850">
        <v>2400</v>
      </c>
      <c r="AB850">
        <v>1246.58</v>
      </c>
      <c r="AC850">
        <v>280.57</v>
      </c>
      <c r="AD850">
        <v>110</v>
      </c>
      <c r="AE850">
        <v>175.03</v>
      </c>
      <c r="AF850">
        <v>4212.18</v>
      </c>
      <c r="AG850">
        <v>1560.82</v>
      </c>
      <c r="AH850">
        <v>17.73</v>
      </c>
    </row>
    <row r="851" spans="1:34">
      <c r="A851" t="s">
        <v>1259</v>
      </c>
      <c r="B851" t="s">
        <v>259</v>
      </c>
      <c r="C851" t="b">
        <v>0</v>
      </c>
      <c r="D851" t="b">
        <v>0</v>
      </c>
      <c r="E851" t="s">
        <v>1471</v>
      </c>
      <c r="F851" t="s">
        <v>82</v>
      </c>
      <c r="G851" t="s">
        <v>1477</v>
      </c>
      <c r="H851">
        <v>29.6</v>
      </c>
      <c r="I851">
        <v>2</v>
      </c>
      <c r="J851">
        <v>256</v>
      </c>
      <c r="K851">
        <v>7655.45</v>
      </c>
      <c r="L851">
        <v>387.81</v>
      </c>
      <c r="M851">
        <v>0</v>
      </c>
      <c r="N851">
        <v>7267.64</v>
      </c>
      <c r="O851">
        <v>2204.79</v>
      </c>
      <c r="P851">
        <v>5062.85</v>
      </c>
      <c r="Q851">
        <v>51.93</v>
      </c>
      <c r="R851">
        <v>306.63</v>
      </c>
      <c r="S851">
        <v>444</v>
      </c>
      <c r="T851">
        <v>196</v>
      </c>
      <c r="U851">
        <v>8</v>
      </c>
      <c r="V851">
        <v>60</v>
      </c>
      <c r="W851">
        <v>36</v>
      </c>
      <c r="X851">
        <v>28.39</v>
      </c>
      <c r="Y851">
        <v>1.73</v>
      </c>
      <c r="Z851">
        <v>69.66</v>
      </c>
      <c r="AA851">
        <v>2400</v>
      </c>
      <c r="AB851">
        <v>1246.58</v>
      </c>
      <c r="AC851">
        <v>291.88</v>
      </c>
      <c r="AD851">
        <v>110</v>
      </c>
      <c r="AE851">
        <v>170.86</v>
      </c>
      <c r="AF851">
        <v>4219.32</v>
      </c>
      <c r="AG851">
        <v>484.97</v>
      </c>
      <c r="AH851">
        <v>6.67</v>
      </c>
    </row>
    <row r="852" spans="1:34">
      <c r="A852" t="s">
        <v>1260</v>
      </c>
      <c r="B852" t="s">
        <v>260</v>
      </c>
      <c r="C852" t="b">
        <v>0</v>
      </c>
      <c r="D852" t="b">
        <v>0</v>
      </c>
      <c r="E852" t="s">
        <v>1471</v>
      </c>
      <c r="F852" t="s">
        <v>82</v>
      </c>
      <c r="G852" t="s">
        <v>1477</v>
      </c>
      <c r="H852">
        <v>29.1</v>
      </c>
      <c r="I852">
        <v>3</v>
      </c>
      <c r="J852">
        <v>259</v>
      </c>
      <c r="K852">
        <v>8272.959999999999</v>
      </c>
      <c r="L852">
        <v>301.73</v>
      </c>
      <c r="M852">
        <v>38.26</v>
      </c>
      <c r="N852">
        <v>7932.97</v>
      </c>
      <c r="O852">
        <v>2503.92</v>
      </c>
      <c r="P852">
        <v>5429.05</v>
      </c>
      <c r="Q852">
        <v>67.45</v>
      </c>
      <c r="R852">
        <v>269.17</v>
      </c>
      <c r="S852">
        <v>472</v>
      </c>
      <c r="T852">
        <v>194</v>
      </c>
      <c r="U852">
        <v>9</v>
      </c>
      <c r="V852">
        <v>65</v>
      </c>
      <c r="W852">
        <v>32</v>
      </c>
      <c r="X852">
        <v>30.63</v>
      </c>
      <c r="Y852">
        <v>1.82</v>
      </c>
      <c r="Z852">
        <v>68.44</v>
      </c>
      <c r="AA852">
        <v>2400</v>
      </c>
      <c r="AB852">
        <v>1246.58</v>
      </c>
      <c r="AC852">
        <v>291.37</v>
      </c>
      <c r="AD852">
        <v>110</v>
      </c>
      <c r="AE852">
        <v>152.03</v>
      </c>
      <c r="AF852">
        <v>4199.98</v>
      </c>
      <c r="AG852">
        <v>892.45</v>
      </c>
      <c r="AH852">
        <v>11.25</v>
      </c>
    </row>
    <row r="853" spans="1:34">
      <c r="A853" t="s">
        <v>1261</v>
      </c>
      <c r="B853" t="s">
        <v>261</v>
      </c>
      <c r="C853" t="b">
        <v>0</v>
      </c>
      <c r="D853" t="b">
        <v>0</v>
      </c>
      <c r="E853" t="s">
        <v>1471</v>
      </c>
      <c r="F853" t="s">
        <v>82</v>
      </c>
      <c r="G853" t="s">
        <v>1477</v>
      </c>
      <c r="H853">
        <v>28.8</v>
      </c>
      <c r="I853">
        <v>4</v>
      </c>
      <c r="J853">
        <v>359</v>
      </c>
      <c r="K853">
        <v>12046.67</v>
      </c>
      <c r="L853">
        <v>378.24</v>
      </c>
      <c r="M853">
        <v>73.91</v>
      </c>
      <c r="N853">
        <v>11594.52</v>
      </c>
      <c r="O853">
        <v>3619.74</v>
      </c>
      <c r="P853">
        <v>7974.78</v>
      </c>
      <c r="Q853">
        <v>88.14</v>
      </c>
      <c r="R853">
        <v>426.03</v>
      </c>
      <c r="S853">
        <v>697</v>
      </c>
      <c r="T853">
        <v>271</v>
      </c>
      <c r="U853">
        <v>12</v>
      </c>
      <c r="V853">
        <v>88</v>
      </c>
      <c r="W853">
        <v>55</v>
      </c>
      <c r="X853">
        <v>32.3</v>
      </c>
      <c r="Y853">
        <v>1.94</v>
      </c>
      <c r="Z853">
        <v>68.78</v>
      </c>
      <c r="AA853">
        <v>2322.58</v>
      </c>
      <c r="AB853">
        <v>1246.58</v>
      </c>
      <c r="AC853">
        <v>290.23</v>
      </c>
      <c r="AD853">
        <v>110</v>
      </c>
      <c r="AE853">
        <v>174.87</v>
      </c>
      <c r="AF853">
        <v>4144.26</v>
      </c>
      <c r="AG853">
        <v>3316.35</v>
      </c>
      <c r="AH853">
        <v>28.6</v>
      </c>
    </row>
    <row r="854" spans="1:34">
      <c r="A854" t="s">
        <v>1262</v>
      </c>
      <c r="B854" t="s">
        <v>262</v>
      </c>
      <c r="C854" t="b">
        <v>1</v>
      </c>
      <c r="D854" t="b">
        <v>0</v>
      </c>
      <c r="E854" t="s">
        <v>1471</v>
      </c>
      <c r="F854" t="s">
        <v>82</v>
      </c>
      <c r="G854" t="s">
        <v>81</v>
      </c>
      <c r="H854">
        <v>29.7</v>
      </c>
      <c r="I854">
        <v>5</v>
      </c>
      <c r="J854">
        <v>236</v>
      </c>
      <c r="K854">
        <v>9194.719999999999</v>
      </c>
      <c r="L854">
        <v>239.99</v>
      </c>
      <c r="M854">
        <v>20</v>
      </c>
      <c r="N854">
        <v>8934.73</v>
      </c>
      <c r="O854">
        <v>2834.18</v>
      </c>
      <c r="P854">
        <v>6100.55</v>
      </c>
      <c r="Q854">
        <v>64.69</v>
      </c>
      <c r="R854">
        <v>443.78</v>
      </c>
      <c r="S854">
        <v>521</v>
      </c>
      <c r="T854">
        <v>182</v>
      </c>
      <c r="U854">
        <v>12</v>
      </c>
      <c r="V854">
        <v>54</v>
      </c>
      <c r="W854">
        <v>50</v>
      </c>
      <c r="X854">
        <v>37.86</v>
      </c>
      <c r="Y854">
        <v>2.21</v>
      </c>
      <c r="Z854">
        <v>68.28</v>
      </c>
      <c r="AA854">
        <v>2322.58</v>
      </c>
      <c r="AB854">
        <v>1246.58</v>
      </c>
      <c r="AC854">
        <v>272.26</v>
      </c>
      <c r="AD854">
        <v>110</v>
      </c>
      <c r="AE854">
        <v>178.15</v>
      </c>
      <c r="AF854">
        <v>4129.57</v>
      </c>
      <c r="AG854">
        <v>1462.51</v>
      </c>
      <c r="AH854">
        <v>16.37</v>
      </c>
    </row>
    <row r="855" spans="1:34">
      <c r="A855" t="s">
        <v>1263</v>
      </c>
      <c r="B855" t="s">
        <v>263</v>
      </c>
      <c r="C855" t="b">
        <v>1</v>
      </c>
      <c r="D855" t="b">
        <v>0</v>
      </c>
      <c r="E855" t="s">
        <v>1471</v>
      </c>
      <c r="F855" t="s">
        <v>82</v>
      </c>
      <c r="G855" t="s">
        <v>81</v>
      </c>
      <c r="H855">
        <v>30.9</v>
      </c>
      <c r="I855">
        <v>6</v>
      </c>
      <c r="J855">
        <v>245</v>
      </c>
      <c r="K855">
        <v>9374.690000000001</v>
      </c>
      <c r="L855">
        <v>338.24</v>
      </c>
      <c r="M855">
        <v>20</v>
      </c>
      <c r="N855">
        <v>9016.450000000001</v>
      </c>
      <c r="O855">
        <v>2933.85</v>
      </c>
      <c r="P855">
        <v>6082.6</v>
      </c>
      <c r="Q855">
        <v>79.84</v>
      </c>
      <c r="R855">
        <v>308.16</v>
      </c>
      <c r="S855">
        <v>523</v>
      </c>
      <c r="T855">
        <v>193</v>
      </c>
      <c r="U855">
        <v>10</v>
      </c>
      <c r="V855">
        <v>52</v>
      </c>
      <c r="W855">
        <v>37</v>
      </c>
      <c r="X855">
        <v>36.8</v>
      </c>
      <c r="Y855">
        <v>2.13</v>
      </c>
      <c r="Z855">
        <v>67.45999999999999</v>
      </c>
      <c r="AA855">
        <v>2322.58</v>
      </c>
      <c r="AB855">
        <v>1246.58</v>
      </c>
      <c r="AC855">
        <v>349.62</v>
      </c>
      <c r="AD855">
        <v>110</v>
      </c>
      <c r="AE855">
        <v>199.21</v>
      </c>
      <c r="AF855">
        <v>4227.99</v>
      </c>
      <c r="AG855">
        <v>1466.61</v>
      </c>
      <c r="AH855">
        <v>16.27</v>
      </c>
    </row>
    <row r="856" spans="1:34">
      <c r="A856" t="s">
        <v>487</v>
      </c>
      <c r="B856" t="s">
        <v>75</v>
      </c>
      <c r="C856" t="b">
        <v>0</v>
      </c>
      <c r="D856" t="b">
        <v>0</v>
      </c>
      <c r="E856" t="s">
        <v>1471</v>
      </c>
      <c r="F856" t="s">
        <v>82</v>
      </c>
      <c r="G856" t="s">
        <v>81</v>
      </c>
      <c r="H856">
        <v>32</v>
      </c>
      <c r="I856">
        <v>7</v>
      </c>
      <c r="J856">
        <v>239</v>
      </c>
      <c r="K856">
        <v>7570.36</v>
      </c>
      <c r="L856">
        <v>352.15</v>
      </c>
      <c r="M856">
        <v>19.13</v>
      </c>
      <c r="N856">
        <v>7199.08</v>
      </c>
      <c r="O856">
        <v>2330.66</v>
      </c>
      <c r="P856">
        <v>4868.42</v>
      </c>
      <c r="Q856">
        <v>51.8</v>
      </c>
      <c r="R856">
        <v>382.94</v>
      </c>
      <c r="S856">
        <v>432</v>
      </c>
      <c r="T856">
        <v>178</v>
      </c>
      <c r="U856">
        <v>11</v>
      </c>
      <c r="V856">
        <v>61</v>
      </c>
      <c r="W856">
        <v>43</v>
      </c>
      <c r="X856">
        <v>30.12</v>
      </c>
      <c r="Y856">
        <v>1.81</v>
      </c>
      <c r="Z856">
        <v>67.63</v>
      </c>
      <c r="AA856">
        <v>2322.58</v>
      </c>
      <c r="AB856">
        <v>1246.58</v>
      </c>
      <c r="AC856">
        <v>311.03</v>
      </c>
      <c r="AD856">
        <v>110</v>
      </c>
      <c r="AE856">
        <v>182.2</v>
      </c>
      <c r="AF856">
        <v>4172.39</v>
      </c>
      <c r="AG856">
        <v>261.29</v>
      </c>
      <c r="AH856">
        <v>3.63</v>
      </c>
    </row>
    <row r="857" spans="1:34">
      <c r="A857" t="s">
        <v>1264</v>
      </c>
      <c r="B857" t="s">
        <v>258</v>
      </c>
      <c r="C857" t="b">
        <v>0</v>
      </c>
      <c r="D857" t="b">
        <v>0</v>
      </c>
      <c r="E857" t="s">
        <v>1471</v>
      </c>
      <c r="F857" t="s">
        <v>82</v>
      </c>
      <c r="G857" t="s">
        <v>81</v>
      </c>
      <c r="H857">
        <v>32.6</v>
      </c>
      <c r="I857">
        <v>8</v>
      </c>
      <c r="J857">
        <v>252</v>
      </c>
      <c r="K857">
        <v>8078.93</v>
      </c>
      <c r="L857">
        <v>395.27</v>
      </c>
      <c r="M857">
        <v>75.66</v>
      </c>
      <c r="N857">
        <v>7608</v>
      </c>
      <c r="O857">
        <v>2431.97</v>
      </c>
      <c r="P857">
        <v>5176.03</v>
      </c>
      <c r="Q857">
        <v>50.71</v>
      </c>
      <c r="R857">
        <v>358.41</v>
      </c>
      <c r="S857">
        <v>485</v>
      </c>
      <c r="T857">
        <v>205</v>
      </c>
      <c r="U857">
        <v>5</v>
      </c>
      <c r="V857">
        <v>47</v>
      </c>
      <c r="W857">
        <v>43</v>
      </c>
      <c r="X857">
        <v>30.19</v>
      </c>
      <c r="Y857">
        <v>1.92</v>
      </c>
      <c r="Z857">
        <v>68.03</v>
      </c>
      <c r="AA857">
        <v>2322.58</v>
      </c>
      <c r="AB857">
        <v>1246.58</v>
      </c>
      <c r="AC857">
        <v>339.22</v>
      </c>
      <c r="AD857">
        <v>110</v>
      </c>
      <c r="AE857">
        <v>204.69</v>
      </c>
      <c r="AF857">
        <v>4223.07</v>
      </c>
      <c r="AG857">
        <v>543.84</v>
      </c>
      <c r="AH857">
        <v>7.15</v>
      </c>
    </row>
    <row r="858" spans="1:34">
      <c r="A858" t="s">
        <v>1265</v>
      </c>
      <c r="B858" t="s">
        <v>259</v>
      </c>
      <c r="C858" t="b">
        <v>0</v>
      </c>
      <c r="D858" t="b">
        <v>0</v>
      </c>
      <c r="E858" t="s">
        <v>1471</v>
      </c>
      <c r="F858" t="s">
        <v>82</v>
      </c>
      <c r="G858" t="s">
        <v>81</v>
      </c>
      <c r="H858">
        <v>35.2</v>
      </c>
      <c r="I858">
        <v>9</v>
      </c>
      <c r="J858">
        <v>234</v>
      </c>
      <c r="K858">
        <v>7509.4</v>
      </c>
      <c r="L858">
        <v>173.9</v>
      </c>
      <c r="M858">
        <v>0</v>
      </c>
      <c r="N858">
        <v>7335.5</v>
      </c>
      <c r="O858">
        <v>2259.06</v>
      </c>
      <c r="P858">
        <v>5076.44</v>
      </c>
      <c r="Q858">
        <v>47.48</v>
      </c>
      <c r="R858">
        <v>333.69</v>
      </c>
      <c r="S858">
        <v>426</v>
      </c>
      <c r="T858">
        <v>170</v>
      </c>
      <c r="U858">
        <v>12</v>
      </c>
      <c r="V858">
        <v>64</v>
      </c>
      <c r="W858">
        <v>39</v>
      </c>
      <c r="X858">
        <v>31.35</v>
      </c>
      <c r="Y858">
        <v>1.82</v>
      </c>
      <c r="Z858">
        <v>69.2</v>
      </c>
      <c r="AA858">
        <v>2322.58</v>
      </c>
      <c r="AB858">
        <v>1246.58</v>
      </c>
      <c r="AC858">
        <v>331.13</v>
      </c>
      <c r="AD858">
        <v>110</v>
      </c>
      <c r="AE858">
        <v>165.17</v>
      </c>
      <c r="AF858">
        <v>4175.46</v>
      </c>
      <c r="AG858">
        <v>519.8099999999999</v>
      </c>
      <c r="AH858">
        <v>7.09</v>
      </c>
    </row>
    <row r="859" spans="1:34">
      <c r="A859" t="s">
        <v>1266</v>
      </c>
      <c r="B859" t="s">
        <v>260</v>
      </c>
      <c r="C859" t="b">
        <v>0</v>
      </c>
      <c r="D859" t="b">
        <v>0</v>
      </c>
      <c r="E859" t="s">
        <v>1471</v>
      </c>
      <c r="F859" t="s">
        <v>82</v>
      </c>
      <c r="G859" t="s">
        <v>81</v>
      </c>
      <c r="H859">
        <v>35.4</v>
      </c>
      <c r="I859">
        <v>10</v>
      </c>
      <c r="J859">
        <v>270</v>
      </c>
      <c r="K859">
        <v>8169.44</v>
      </c>
      <c r="L859">
        <v>240.86</v>
      </c>
      <c r="M859">
        <v>0</v>
      </c>
      <c r="N859">
        <v>7928.58</v>
      </c>
      <c r="O859">
        <v>2433.38</v>
      </c>
      <c r="P859">
        <v>5495.2</v>
      </c>
      <c r="Q859">
        <v>59.25</v>
      </c>
      <c r="R859">
        <v>388.47</v>
      </c>
      <c r="S859">
        <v>475</v>
      </c>
      <c r="T859">
        <v>195</v>
      </c>
      <c r="U859">
        <v>15</v>
      </c>
      <c r="V859">
        <v>75</v>
      </c>
      <c r="W859">
        <v>49</v>
      </c>
      <c r="X859">
        <v>29.37</v>
      </c>
      <c r="Y859">
        <v>1.76</v>
      </c>
      <c r="Z859">
        <v>69.31</v>
      </c>
      <c r="AA859">
        <v>2322.58</v>
      </c>
      <c r="AB859">
        <v>1246.58</v>
      </c>
      <c r="AC859">
        <v>369.56</v>
      </c>
      <c r="AD859">
        <v>110</v>
      </c>
      <c r="AE859">
        <v>195.89</v>
      </c>
      <c r="AF859">
        <v>4244.61</v>
      </c>
      <c r="AG859">
        <v>802.87</v>
      </c>
      <c r="AH859">
        <v>10.13</v>
      </c>
    </row>
    <row r="860" spans="1:34">
      <c r="A860" t="s">
        <v>1267</v>
      </c>
      <c r="B860" t="s">
        <v>261</v>
      </c>
      <c r="C860" t="b">
        <v>0</v>
      </c>
      <c r="D860" t="b">
        <v>0</v>
      </c>
      <c r="E860" t="s">
        <v>1471</v>
      </c>
      <c r="F860" t="s">
        <v>82</v>
      </c>
      <c r="G860" t="s">
        <v>81</v>
      </c>
      <c r="H860">
        <v>36.1</v>
      </c>
      <c r="I860">
        <v>11</v>
      </c>
      <c r="J860">
        <v>321</v>
      </c>
      <c r="K860">
        <v>11100.73</v>
      </c>
      <c r="L860">
        <v>450.42</v>
      </c>
      <c r="M860">
        <v>86.09</v>
      </c>
      <c r="N860">
        <v>10564.22</v>
      </c>
      <c r="O860">
        <v>3432.6</v>
      </c>
      <c r="P860">
        <v>7131.62</v>
      </c>
      <c r="Q860">
        <v>81.33</v>
      </c>
      <c r="R860">
        <v>464.29</v>
      </c>
      <c r="S860">
        <v>635</v>
      </c>
      <c r="T860">
        <v>237</v>
      </c>
      <c r="U860">
        <v>14</v>
      </c>
      <c r="V860">
        <v>84</v>
      </c>
      <c r="W860">
        <v>51</v>
      </c>
      <c r="X860">
        <v>32.91</v>
      </c>
      <c r="Y860">
        <v>1.98</v>
      </c>
      <c r="Z860">
        <v>67.51000000000001</v>
      </c>
      <c r="AA860">
        <v>2322.58</v>
      </c>
      <c r="AB860">
        <v>1246.58</v>
      </c>
      <c r="AC860">
        <v>355.58</v>
      </c>
      <c r="AD860">
        <v>110</v>
      </c>
      <c r="AE860">
        <v>197.98</v>
      </c>
      <c r="AF860">
        <v>4232.72</v>
      </c>
      <c r="AG860">
        <v>2353.28</v>
      </c>
      <c r="AH860">
        <v>22.28</v>
      </c>
    </row>
    <row r="861" spans="1:34">
      <c r="A861" t="s">
        <v>1268</v>
      </c>
      <c r="B861" t="s">
        <v>262</v>
      </c>
      <c r="C861" t="b">
        <v>1</v>
      </c>
      <c r="D861" t="b">
        <v>0</v>
      </c>
      <c r="E861" t="s">
        <v>1471</v>
      </c>
      <c r="F861" t="s">
        <v>82</v>
      </c>
      <c r="G861" t="s">
        <v>81</v>
      </c>
      <c r="H861">
        <v>34.6</v>
      </c>
      <c r="I861">
        <v>12</v>
      </c>
      <c r="J861">
        <v>229</v>
      </c>
      <c r="K861">
        <v>9263.370000000001</v>
      </c>
      <c r="L861">
        <v>154.75</v>
      </c>
      <c r="M861">
        <v>22.61</v>
      </c>
      <c r="N861">
        <v>9086.01</v>
      </c>
      <c r="O861">
        <v>2827.72</v>
      </c>
      <c r="P861">
        <v>6258.29</v>
      </c>
      <c r="Q861">
        <v>69.47</v>
      </c>
      <c r="R861">
        <v>463.09</v>
      </c>
      <c r="S861">
        <v>539</v>
      </c>
      <c r="T861">
        <v>169</v>
      </c>
      <c r="U861">
        <v>9</v>
      </c>
      <c r="V861">
        <v>60</v>
      </c>
      <c r="W861">
        <v>50</v>
      </c>
      <c r="X861">
        <v>39.68</v>
      </c>
      <c r="Y861">
        <v>2.35</v>
      </c>
      <c r="Z861">
        <v>68.88</v>
      </c>
      <c r="AA861">
        <v>2322.58</v>
      </c>
      <c r="AB861">
        <v>1246.58</v>
      </c>
      <c r="AC861">
        <v>327.24</v>
      </c>
      <c r="AD861">
        <v>110</v>
      </c>
      <c r="AE861">
        <v>180.76</v>
      </c>
      <c r="AF861">
        <v>4187.16</v>
      </c>
      <c r="AG861">
        <v>1538.57</v>
      </c>
      <c r="AH861">
        <v>16.93</v>
      </c>
    </row>
    <row r="862" spans="1:34">
      <c r="A862" t="s">
        <v>1269</v>
      </c>
      <c r="B862" t="s">
        <v>263</v>
      </c>
      <c r="C862" t="b">
        <v>1</v>
      </c>
      <c r="D862" t="b">
        <v>0</v>
      </c>
      <c r="E862" t="s">
        <v>1471</v>
      </c>
      <c r="F862" t="s">
        <v>82</v>
      </c>
      <c r="G862" t="s">
        <v>81</v>
      </c>
      <c r="H862">
        <v>34.5</v>
      </c>
      <c r="I862">
        <v>13</v>
      </c>
      <c r="J862">
        <v>225</v>
      </c>
      <c r="K862">
        <v>8846.059999999999</v>
      </c>
      <c r="L862">
        <v>236.52</v>
      </c>
      <c r="M862">
        <v>40.87</v>
      </c>
      <c r="N862">
        <v>8568.67</v>
      </c>
      <c r="O862">
        <v>2692.29</v>
      </c>
      <c r="P862">
        <v>5876.38</v>
      </c>
      <c r="Q862">
        <v>63.99</v>
      </c>
      <c r="R862">
        <v>286.89</v>
      </c>
      <c r="S862">
        <v>507</v>
      </c>
      <c r="T862">
        <v>162</v>
      </c>
      <c r="U862">
        <v>16</v>
      </c>
      <c r="V862">
        <v>63</v>
      </c>
      <c r="W862">
        <v>36</v>
      </c>
      <c r="X862">
        <v>38.08</v>
      </c>
      <c r="Y862">
        <v>2.25</v>
      </c>
      <c r="Z862">
        <v>68.58</v>
      </c>
      <c r="AA862">
        <v>2322.58</v>
      </c>
      <c r="AB862">
        <v>1246.58</v>
      </c>
      <c r="AC862">
        <v>336.81</v>
      </c>
      <c r="AD862">
        <v>110</v>
      </c>
      <c r="AE862">
        <v>210.29</v>
      </c>
      <c r="AF862">
        <v>4226.26</v>
      </c>
      <c r="AG862">
        <v>1299.24</v>
      </c>
      <c r="AH862">
        <v>15.16</v>
      </c>
    </row>
    <row r="863" spans="1:34">
      <c r="A863" t="s">
        <v>488</v>
      </c>
      <c r="B863" t="s">
        <v>75</v>
      </c>
      <c r="C863" t="b">
        <v>0</v>
      </c>
      <c r="D863" t="b">
        <v>0</v>
      </c>
      <c r="E863" t="s">
        <v>1471</v>
      </c>
      <c r="F863" t="s">
        <v>82</v>
      </c>
      <c r="G863" t="s">
        <v>81</v>
      </c>
      <c r="H863">
        <v>33.4</v>
      </c>
      <c r="I863">
        <v>14</v>
      </c>
      <c r="J863">
        <v>243</v>
      </c>
      <c r="K863">
        <v>7335.51</v>
      </c>
      <c r="L863">
        <v>235.64</v>
      </c>
      <c r="M863">
        <v>50.43</v>
      </c>
      <c r="N863">
        <v>7049.44</v>
      </c>
      <c r="O863">
        <v>2233.17</v>
      </c>
      <c r="P863">
        <v>4816.27</v>
      </c>
      <c r="Q863">
        <v>51.27</v>
      </c>
      <c r="R863">
        <v>311.95</v>
      </c>
      <c r="S863">
        <v>426</v>
      </c>
      <c r="T863">
        <v>180</v>
      </c>
      <c r="U863">
        <v>17</v>
      </c>
      <c r="V863">
        <v>63</v>
      </c>
      <c r="W863">
        <v>33</v>
      </c>
      <c r="X863">
        <v>29.01</v>
      </c>
      <c r="Y863">
        <v>1.75</v>
      </c>
      <c r="Z863">
        <v>68.31999999999999</v>
      </c>
      <c r="AA863">
        <v>2322.58</v>
      </c>
      <c r="AB863">
        <v>1246.58</v>
      </c>
      <c r="AC863">
        <v>331.76</v>
      </c>
      <c r="AD863">
        <v>110</v>
      </c>
      <c r="AE863">
        <v>158.48</v>
      </c>
      <c r="AF863">
        <v>4169.4</v>
      </c>
      <c r="AG863">
        <v>283.65</v>
      </c>
      <c r="AH863">
        <v>4.02</v>
      </c>
    </row>
    <row r="864" spans="1:34">
      <c r="A864" t="s">
        <v>1270</v>
      </c>
      <c r="B864" t="s">
        <v>258</v>
      </c>
      <c r="C864" t="b">
        <v>0</v>
      </c>
      <c r="D864" t="b">
        <v>0</v>
      </c>
      <c r="E864" t="s">
        <v>1471</v>
      </c>
      <c r="F864" t="s">
        <v>82</v>
      </c>
      <c r="G864" t="s">
        <v>81</v>
      </c>
      <c r="H864">
        <v>31.2</v>
      </c>
      <c r="I864">
        <v>15</v>
      </c>
      <c r="J864">
        <v>214</v>
      </c>
      <c r="K864">
        <v>6285.94</v>
      </c>
      <c r="L864">
        <v>142.61</v>
      </c>
      <c r="M864">
        <v>53.91</v>
      </c>
      <c r="N864">
        <v>6089.42</v>
      </c>
      <c r="O864">
        <v>1871.63</v>
      </c>
      <c r="P864">
        <v>4217.79</v>
      </c>
      <c r="Q864">
        <v>36.98</v>
      </c>
      <c r="R864">
        <v>444.29</v>
      </c>
      <c r="S864">
        <v>356</v>
      </c>
      <c r="T864">
        <v>168</v>
      </c>
      <c r="U864">
        <v>5</v>
      </c>
      <c r="V864">
        <v>46</v>
      </c>
      <c r="W864">
        <v>53</v>
      </c>
      <c r="X864">
        <v>28.46</v>
      </c>
      <c r="Y864">
        <v>1.66</v>
      </c>
      <c r="Z864">
        <v>69.26000000000001</v>
      </c>
      <c r="AA864">
        <v>2322.58</v>
      </c>
      <c r="AB864">
        <v>1246.58</v>
      </c>
      <c r="AC864">
        <v>308.95</v>
      </c>
      <c r="AD864">
        <v>110</v>
      </c>
      <c r="AE864">
        <v>235.33</v>
      </c>
      <c r="AF864">
        <v>4223.44</v>
      </c>
      <c r="AG864">
        <v>-486.92</v>
      </c>
      <c r="AH864">
        <v>-8</v>
      </c>
    </row>
    <row r="865" spans="1:34">
      <c r="A865" t="s">
        <v>1271</v>
      </c>
      <c r="B865" t="s">
        <v>259</v>
      </c>
      <c r="C865" t="b">
        <v>0</v>
      </c>
      <c r="D865" t="b">
        <v>0</v>
      </c>
      <c r="E865" t="s">
        <v>1471</v>
      </c>
      <c r="F865" t="s">
        <v>82</v>
      </c>
      <c r="G865" t="s">
        <v>81</v>
      </c>
      <c r="H865">
        <v>29.9</v>
      </c>
      <c r="I865">
        <v>16</v>
      </c>
      <c r="J865">
        <v>275</v>
      </c>
      <c r="K865">
        <v>8580.74</v>
      </c>
      <c r="L865">
        <v>370.51</v>
      </c>
      <c r="M865">
        <v>22.6</v>
      </c>
      <c r="N865">
        <v>8187.63</v>
      </c>
      <c r="O865">
        <v>2559.43</v>
      </c>
      <c r="P865">
        <v>5628.2</v>
      </c>
      <c r="Q865">
        <v>59.41</v>
      </c>
      <c r="R865">
        <v>321.33</v>
      </c>
      <c r="S865">
        <v>497</v>
      </c>
      <c r="T865">
        <v>210</v>
      </c>
      <c r="U865">
        <v>12</v>
      </c>
      <c r="V865">
        <v>65</v>
      </c>
      <c r="W865">
        <v>40</v>
      </c>
      <c r="X865">
        <v>29.77</v>
      </c>
      <c r="Y865">
        <v>1.81</v>
      </c>
      <c r="Z865">
        <v>68.73999999999999</v>
      </c>
      <c r="AA865">
        <v>2322.58</v>
      </c>
      <c r="AB865">
        <v>1246.58</v>
      </c>
      <c r="AC865">
        <v>315.16</v>
      </c>
      <c r="AD865">
        <v>110</v>
      </c>
      <c r="AE865">
        <v>169.58</v>
      </c>
      <c r="AF865">
        <v>4163.9</v>
      </c>
      <c r="AG865">
        <v>1083.56</v>
      </c>
      <c r="AH865">
        <v>13.23</v>
      </c>
    </row>
    <row r="866" spans="1:34">
      <c r="A866" t="s">
        <v>1272</v>
      </c>
      <c r="B866" t="s">
        <v>260</v>
      </c>
      <c r="C866" t="b">
        <v>0</v>
      </c>
      <c r="D866" t="b">
        <v>0</v>
      </c>
      <c r="E866" t="s">
        <v>1471</v>
      </c>
      <c r="F866" t="s">
        <v>82</v>
      </c>
      <c r="G866" t="s">
        <v>81</v>
      </c>
      <c r="H866">
        <v>31.2</v>
      </c>
      <c r="I866">
        <v>17</v>
      </c>
      <c r="J866">
        <v>240</v>
      </c>
      <c r="K866">
        <v>7437.25</v>
      </c>
      <c r="L866">
        <v>204.32</v>
      </c>
      <c r="M866">
        <v>20</v>
      </c>
      <c r="N866">
        <v>7212.93</v>
      </c>
      <c r="O866">
        <v>2258.39</v>
      </c>
      <c r="P866">
        <v>4954.54</v>
      </c>
      <c r="Q866">
        <v>50.88</v>
      </c>
      <c r="R866">
        <v>393.16</v>
      </c>
      <c r="S866">
        <v>424</v>
      </c>
      <c r="T866">
        <v>173</v>
      </c>
      <c r="U866">
        <v>7</v>
      </c>
      <c r="V866">
        <v>67</v>
      </c>
      <c r="W866">
        <v>46</v>
      </c>
      <c r="X866">
        <v>30.05</v>
      </c>
      <c r="Y866">
        <v>1.77</v>
      </c>
      <c r="Z866">
        <v>68.69</v>
      </c>
      <c r="AA866">
        <v>2322.58</v>
      </c>
      <c r="AB866">
        <v>1246.58</v>
      </c>
      <c r="AC866">
        <v>295.25</v>
      </c>
      <c r="AD866">
        <v>110</v>
      </c>
      <c r="AE866">
        <v>165.94</v>
      </c>
      <c r="AF866">
        <v>4140.35</v>
      </c>
      <c r="AG866">
        <v>370.15</v>
      </c>
      <c r="AH866">
        <v>5.13</v>
      </c>
    </row>
    <row r="867" spans="1:34">
      <c r="A867" t="s">
        <v>1273</v>
      </c>
      <c r="B867" t="s">
        <v>261</v>
      </c>
      <c r="C867" t="b">
        <v>0</v>
      </c>
      <c r="D867" t="b">
        <v>0</v>
      </c>
      <c r="E867" t="s">
        <v>1471</v>
      </c>
      <c r="F867" t="s">
        <v>82</v>
      </c>
      <c r="G867" t="s">
        <v>81</v>
      </c>
      <c r="H867">
        <v>29.8</v>
      </c>
      <c r="I867">
        <v>18</v>
      </c>
      <c r="J867">
        <v>305</v>
      </c>
      <c r="K867">
        <v>10039.04</v>
      </c>
      <c r="L867">
        <v>249.56</v>
      </c>
      <c r="M867">
        <v>0</v>
      </c>
      <c r="N867">
        <v>9789.48</v>
      </c>
      <c r="O867">
        <v>3012.89</v>
      </c>
      <c r="P867">
        <v>6776.59</v>
      </c>
      <c r="Q867">
        <v>68.76000000000001</v>
      </c>
      <c r="R867">
        <v>459.45</v>
      </c>
      <c r="S867">
        <v>564</v>
      </c>
      <c r="T867">
        <v>225</v>
      </c>
      <c r="U867">
        <v>7</v>
      </c>
      <c r="V867">
        <v>80</v>
      </c>
      <c r="W867">
        <v>52</v>
      </c>
      <c r="X867">
        <v>32.1</v>
      </c>
      <c r="Y867">
        <v>1.85</v>
      </c>
      <c r="Z867">
        <v>69.22</v>
      </c>
      <c r="AA867">
        <v>2322.58</v>
      </c>
      <c r="AB867">
        <v>1246.58</v>
      </c>
      <c r="AC867">
        <v>286.83</v>
      </c>
      <c r="AD867">
        <v>110</v>
      </c>
      <c r="AE867">
        <v>191.22</v>
      </c>
      <c r="AF867">
        <v>4157.21</v>
      </c>
      <c r="AG867">
        <v>2091.17</v>
      </c>
      <c r="AH867">
        <v>21.36</v>
      </c>
    </row>
    <row r="868" spans="1:34">
      <c r="A868" t="s">
        <v>1274</v>
      </c>
      <c r="B868" t="s">
        <v>262</v>
      </c>
      <c r="C868" t="b">
        <v>1</v>
      </c>
      <c r="D868" t="b">
        <v>0</v>
      </c>
      <c r="E868" t="s">
        <v>1471</v>
      </c>
      <c r="F868" t="s">
        <v>82</v>
      </c>
      <c r="G868" t="s">
        <v>81</v>
      </c>
      <c r="H868">
        <v>31.2</v>
      </c>
      <c r="I868">
        <v>19</v>
      </c>
      <c r="J868">
        <v>273</v>
      </c>
      <c r="K868">
        <v>10162.46</v>
      </c>
      <c r="L868">
        <v>352.15</v>
      </c>
      <c r="M868">
        <v>6.96</v>
      </c>
      <c r="N868">
        <v>9803.35</v>
      </c>
      <c r="O868">
        <v>3017.16</v>
      </c>
      <c r="P868">
        <v>6786.19</v>
      </c>
      <c r="Q868">
        <v>76.61</v>
      </c>
      <c r="R868">
        <v>480.51</v>
      </c>
      <c r="S868">
        <v>592</v>
      </c>
      <c r="T868">
        <v>210</v>
      </c>
      <c r="U868">
        <v>21</v>
      </c>
      <c r="V868">
        <v>63</v>
      </c>
      <c r="W868">
        <v>53</v>
      </c>
      <c r="X868">
        <v>35.91</v>
      </c>
      <c r="Y868">
        <v>2.17</v>
      </c>
      <c r="Z868">
        <v>69.22</v>
      </c>
      <c r="AA868">
        <v>2322.58</v>
      </c>
      <c r="AB868">
        <v>1246.58</v>
      </c>
      <c r="AC868">
        <v>326.62</v>
      </c>
      <c r="AD868">
        <v>110</v>
      </c>
      <c r="AE868">
        <v>205.8</v>
      </c>
      <c r="AF868">
        <v>4211.58</v>
      </c>
      <c r="AG868">
        <v>2017.49</v>
      </c>
      <c r="AH868">
        <v>20.58</v>
      </c>
    </row>
    <row r="869" spans="1:34">
      <c r="A869" t="s">
        <v>1275</v>
      </c>
      <c r="B869" t="s">
        <v>263</v>
      </c>
      <c r="C869" t="b">
        <v>1</v>
      </c>
      <c r="D869" t="b">
        <v>0</v>
      </c>
      <c r="E869" t="s">
        <v>1471</v>
      </c>
      <c r="F869" t="s">
        <v>82</v>
      </c>
      <c r="G869" t="s">
        <v>81</v>
      </c>
      <c r="H869">
        <v>31.2</v>
      </c>
      <c r="I869">
        <v>20</v>
      </c>
      <c r="J869">
        <v>199</v>
      </c>
      <c r="K869">
        <v>7319.96</v>
      </c>
      <c r="L869">
        <v>220.85</v>
      </c>
      <c r="M869">
        <v>20.87</v>
      </c>
      <c r="N869">
        <v>7078.24</v>
      </c>
      <c r="O869">
        <v>2224.29</v>
      </c>
      <c r="P869">
        <v>4853.95</v>
      </c>
      <c r="Q869">
        <v>51.69</v>
      </c>
      <c r="R869">
        <v>294.74</v>
      </c>
      <c r="S869">
        <v>423</v>
      </c>
      <c r="T869">
        <v>156</v>
      </c>
      <c r="U869">
        <v>8</v>
      </c>
      <c r="V869">
        <v>43</v>
      </c>
      <c r="W869">
        <v>37</v>
      </c>
      <c r="X869">
        <v>35.57</v>
      </c>
      <c r="Y869">
        <v>2.13</v>
      </c>
      <c r="Z869">
        <v>68.58</v>
      </c>
      <c r="AA869">
        <v>2322.58</v>
      </c>
      <c r="AB869">
        <v>1246.58</v>
      </c>
      <c r="AC869">
        <v>313.77</v>
      </c>
      <c r="AD869">
        <v>110</v>
      </c>
      <c r="AE869">
        <v>207.07</v>
      </c>
      <c r="AF869">
        <v>4200</v>
      </c>
      <c r="AG869">
        <v>307.52</v>
      </c>
      <c r="AH869">
        <v>4.34</v>
      </c>
    </row>
    <row r="870" spans="1:34">
      <c r="A870" t="s">
        <v>489</v>
      </c>
      <c r="B870" t="s">
        <v>75</v>
      </c>
      <c r="C870" t="b">
        <v>0</v>
      </c>
      <c r="D870" t="b">
        <v>0</v>
      </c>
      <c r="E870" t="s">
        <v>1471</v>
      </c>
      <c r="F870" t="s">
        <v>82</v>
      </c>
      <c r="G870" t="s">
        <v>81</v>
      </c>
      <c r="H870">
        <v>31.5</v>
      </c>
      <c r="I870">
        <v>21</v>
      </c>
      <c r="J870">
        <v>265</v>
      </c>
      <c r="K870">
        <v>7615.51</v>
      </c>
      <c r="L870">
        <v>189.56</v>
      </c>
      <c r="M870">
        <v>20</v>
      </c>
      <c r="N870">
        <v>7405.95</v>
      </c>
      <c r="O870">
        <v>2249.28</v>
      </c>
      <c r="P870">
        <v>5156.67</v>
      </c>
      <c r="Q870">
        <v>52.94</v>
      </c>
      <c r="R870">
        <v>330.57</v>
      </c>
      <c r="S870">
        <v>439</v>
      </c>
      <c r="T870">
        <v>189</v>
      </c>
      <c r="U870">
        <v>11</v>
      </c>
      <c r="V870">
        <v>76</v>
      </c>
      <c r="W870">
        <v>40</v>
      </c>
      <c r="X870">
        <v>27.95</v>
      </c>
      <c r="Y870">
        <v>1.66</v>
      </c>
      <c r="Z870">
        <v>69.63</v>
      </c>
      <c r="AA870">
        <v>2322.58</v>
      </c>
      <c r="AB870">
        <v>1246.58</v>
      </c>
      <c r="AC870">
        <v>330.24</v>
      </c>
      <c r="AD870">
        <v>110</v>
      </c>
      <c r="AE870">
        <v>191.54</v>
      </c>
      <c r="AF870">
        <v>4200.94</v>
      </c>
      <c r="AG870">
        <v>572.22</v>
      </c>
      <c r="AH870">
        <v>7.73</v>
      </c>
    </row>
    <row r="871" spans="1:34">
      <c r="A871" t="s">
        <v>1276</v>
      </c>
      <c r="B871" t="s">
        <v>258</v>
      </c>
      <c r="C871" t="b">
        <v>0</v>
      </c>
      <c r="D871" t="b">
        <v>0</v>
      </c>
      <c r="E871" t="s">
        <v>1471</v>
      </c>
      <c r="F871" t="s">
        <v>82</v>
      </c>
      <c r="G871" t="s">
        <v>81</v>
      </c>
      <c r="H871">
        <v>30.4</v>
      </c>
      <c r="I871">
        <v>22</v>
      </c>
      <c r="J871">
        <v>247</v>
      </c>
      <c r="K871">
        <v>7371.15</v>
      </c>
      <c r="L871">
        <v>292.15</v>
      </c>
      <c r="M871">
        <v>20</v>
      </c>
      <c r="N871">
        <v>7059</v>
      </c>
      <c r="O871">
        <v>2205.02</v>
      </c>
      <c r="P871">
        <v>4853.98</v>
      </c>
      <c r="Q871">
        <v>59.86</v>
      </c>
      <c r="R871">
        <v>205.37</v>
      </c>
      <c r="S871">
        <v>422</v>
      </c>
      <c r="T871">
        <v>190</v>
      </c>
      <c r="U871">
        <v>9</v>
      </c>
      <c r="V871">
        <v>57</v>
      </c>
      <c r="W871">
        <v>30</v>
      </c>
      <c r="X871">
        <v>28.58</v>
      </c>
      <c r="Y871">
        <v>1.71</v>
      </c>
      <c r="Z871">
        <v>68.76000000000001</v>
      </c>
      <c r="AA871">
        <v>2322.58</v>
      </c>
      <c r="AB871">
        <v>1246.58</v>
      </c>
      <c r="AC871">
        <v>302.61</v>
      </c>
      <c r="AD871">
        <v>110</v>
      </c>
      <c r="AE871">
        <v>184.87</v>
      </c>
      <c r="AF871">
        <v>4166.64</v>
      </c>
      <c r="AG871">
        <v>422.11</v>
      </c>
      <c r="AH871">
        <v>5.98</v>
      </c>
    </row>
    <row r="872" spans="1:34">
      <c r="A872" t="s">
        <v>1277</v>
      </c>
      <c r="B872" t="s">
        <v>259</v>
      </c>
      <c r="C872" t="b">
        <v>0</v>
      </c>
      <c r="D872" t="b">
        <v>0</v>
      </c>
      <c r="E872" t="s">
        <v>1471</v>
      </c>
      <c r="F872" t="s">
        <v>82</v>
      </c>
      <c r="G872" t="s">
        <v>81</v>
      </c>
      <c r="H872">
        <v>29.2</v>
      </c>
      <c r="I872">
        <v>23</v>
      </c>
      <c r="J872">
        <v>214</v>
      </c>
      <c r="K872">
        <v>5806.83</v>
      </c>
      <c r="L872">
        <v>206.95</v>
      </c>
      <c r="M872">
        <v>0</v>
      </c>
      <c r="N872">
        <v>5599.88</v>
      </c>
      <c r="O872">
        <v>1749.71</v>
      </c>
      <c r="P872">
        <v>3850.17</v>
      </c>
      <c r="Q872">
        <v>45.94</v>
      </c>
      <c r="R872">
        <v>138.95</v>
      </c>
      <c r="S872">
        <v>344</v>
      </c>
      <c r="T872">
        <v>156</v>
      </c>
      <c r="U872">
        <v>15</v>
      </c>
      <c r="V872">
        <v>58</v>
      </c>
      <c r="W872">
        <v>20</v>
      </c>
      <c r="X872">
        <v>26.17</v>
      </c>
      <c r="Y872">
        <v>1.61</v>
      </c>
      <c r="Z872">
        <v>68.75</v>
      </c>
      <c r="AA872">
        <v>2322.58</v>
      </c>
      <c r="AB872">
        <v>1246.58</v>
      </c>
      <c r="AC872">
        <v>281.47</v>
      </c>
      <c r="AD872">
        <v>110</v>
      </c>
      <c r="AE872">
        <v>2602.67</v>
      </c>
      <c r="AF872">
        <v>6563.3</v>
      </c>
      <c r="AG872">
        <v>-2898.02</v>
      </c>
      <c r="AH872">
        <v>-51.75</v>
      </c>
    </row>
    <row r="873" spans="1:34">
      <c r="A873" t="s">
        <v>1278</v>
      </c>
      <c r="B873" t="s">
        <v>260</v>
      </c>
      <c r="C873" t="b">
        <v>0</v>
      </c>
      <c r="D873" t="b">
        <v>0</v>
      </c>
      <c r="E873" t="s">
        <v>1471</v>
      </c>
      <c r="F873" t="s">
        <v>82</v>
      </c>
      <c r="G873" t="s">
        <v>81</v>
      </c>
      <c r="H873">
        <v>30.1</v>
      </c>
      <c r="I873">
        <v>24</v>
      </c>
      <c r="J873">
        <v>229</v>
      </c>
      <c r="K873">
        <v>8352.76</v>
      </c>
      <c r="L873">
        <v>397.7</v>
      </c>
      <c r="M873">
        <v>0</v>
      </c>
      <c r="N873">
        <v>7955.06</v>
      </c>
      <c r="O873">
        <v>2528.76</v>
      </c>
      <c r="P873">
        <v>5426.3</v>
      </c>
      <c r="Q873">
        <v>50.48</v>
      </c>
      <c r="R873">
        <v>252.67</v>
      </c>
      <c r="S873">
        <v>473</v>
      </c>
      <c r="T873">
        <v>168</v>
      </c>
      <c r="U873">
        <v>5</v>
      </c>
      <c r="V873">
        <v>61</v>
      </c>
      <c r="W873">
        <v>31</v>
      </c>
      <c r="X873">
        <v>34.74</v>
      </c>
      <c r="Y873">
        <v>2.07</v>
      </c>
      <c r="Z873">
        <v>68.20999999999999</v>
      </c>
      <c r="AA873">
        <v>2322.58</v>
      </c>
      <c r="AB873">
        <v>1246.58</v>
      </c>
      <c r="AC873">
        <v>296.15</v>
      </c>
      <c r="AD873">
        <v>110</v>
      </c>
      <c r="AE873">
        <v>174.82</v>
      </c>
      <c r="AF873">
        <v>4150.13</v>
      </c>
      <c r="AG873">
        <v>973.02</v>
      </c>
      <c r="AH873">
        <v>12.23</v>
      </c>
    </row>
    <row r="874" spans="1:34">
      <c r="A874" t="s">
        <v>1279</v>
      </c>
      <c r="B874" t="s">
        <v>261</v>
      </c>
      <c r="C874" t="b">
        <v>0</v>
      </c>
      <c r="D874" t="b">
        <v>0</v>
      </c>
      <c r="E874" t="s">
        <v>1471</v>
      </c>
      <c r="F874" t="s">
        <v>82</v>
      </c>
      <c r="G874" t="s">
        <v>81</v>
      </c>
      <c r="H874">
        <v>30.1</v>
      </c>
      <c r="I874">
        <v>25</v>
      </c>
      <c r="J874">
        <v>301</v>
      </c>
      <c r="K874">
        <v>9811.98</v>
      </c>
      <c r="L874">
        <v>342.59</v>
      </c>
      <c r="M874">
        <v>11.3</v>
      </c>
      <c r="N874">
        <v>9458.09</v>
      </c>
      <c r="O874">
        <v>2967.47</v>
      </c>
      <c r="P874">
        <v>6490.62</v>
      </c>
      <c r="Q874">
        <v>74.04000000000001</v>
      </c>
      <c r="R874">
        <v>342.94</v>
      </c>
      <c r="S874">
        <v>569</v>
      </c>
      <c r="T874">
        <v>232</v>
      </c>
      <c r="U874">
        <v>18</v>
      </c>
      <c r="V874">
        <v>69</v>
      </c>
      <c r="W874">
        <v>39</v>
      </c>
      <c r="X874">
        <v>31.42</v>
      </c>
      <c r="Y874">
        <v>1.89</v>
      </c>
      <c r="Z874">
        <v>68.63</v>
      </c>
      <c r="AA874">
        <v>2322.58</v>
      </c>
      <c r="AB874">
        <v>1246.58</v>
      </c>
      <c r="AC874">
        <v>310.11</v>
      </c>
      <c r="AD874">
        <v>110</v>
      </c>
      <c r="AE874">
        <v>208.97</v>
      </c>
      <c r="AF874">
        <v>4198.24</v>
      </c>
      <c r="AG874">
        <v>1875.4</v>
      </c>
      <c r="AH874">
        <v>19.83</v>
      </c>
    </row>
    <row r="875" spans="1:34">
      <c r="A875" t="s">
        <v>1280</v>
      </c>
      <c r="B875" t="s">
        <v>262</v>
      </c>
      <c r="C875" t="b">
        <v>1</v>
      </c>
      <c r="D875" t="b">
        <v>0</v>
      </c>
      <c r="E875" t="s">
        <v>1471</v>
      </c>
      <c r="F875" t="s">
        <v>82</v>
      </c>
      <c r="G875" t="s">
        <v>81</v>
      </c>
      <c r="H875">
        <v>32</v>
      </c>
      <c r="I875">
        <v>26</v>
      </c>
      <c r="J875">
        <v>262</v>
      </c>
      <c r="K875">
        <v>10560.77</v>
      </c>
      <c r="L875">
        <v>281.73</v>
      </c>
      <c r="M875">
        <v>0</v>
      </c>
      <c r="N875">
        <v>10279.04</v>
      </c>
      <c r="O875">
        <v>3166.06</v>
      </c>
      <c r="P875">
        <v>7112.98</v>
      </c>
      <c r="Q875">
        <v>82.84</v>
      </c>
      <c r="R875">
        <v>367.07</v>
      </c>
      <c r="S875">
        <v>591</v>
      </c>
      <c r="T875">
        <v>197</v>
      </c>
      <c r="U875">
        <v>9</v>
      </c>
      <c r="V875">
        <v>65</v>
      </c>
      <c r="W875">
        <v>42</v>
      </c>
      <c r="X875">
        <v>39.23</v>
      </c>
      <c r="Y875">
        <v>2.26</v>
      </c>
      <c r="Z875">
        <v>69.2</v>
      </c>
      <c r="AA875">
        <v>2322.58</v>
      </c>
      <c r="AB875">
        <v>1246.58</v>
      </c>
      <c r="AC875">
        <v>311.76</v>
      </c>
      <c r="AD875">
        <v>110</v>
      </c>
      <c r="AE875">
        <v>192.85</v>
      </c>
      <c r="AF875">
        <v>4183.77</v>
      </c>
      <c r="AG875">
        <v>2479.3</v>
      </c>
      <c r="AH875">
        <v>24.12</v>
      </c>
    </row>
    <row r="876" spans="1:34">
      <c r="A876" t="s">
        <v>1281</v>
      </c>
      <c r="B876" t="s">
        <v>263</v>
      </c>
      <c r="C876" t="b">
        <v>1</v>
      </c>
      <c r="D876" t="b">
        <v>0</v>
      </c>
      <c r="E876" t="s">
        <v>1471</v>
      </c>
      <c r="F876" t="s">
        <v>82</v>
      </c>
      <c r="G876" t="s">
        <v>81</v>
      </c>
      <c r="H876">
        <v>32.9</v>
      </c>
      <c r="I876">
        <v>27</v>
      </c>
      <c r="J876">
        <v>239</v>
      </c>
      <c r="K876">
        <v>8907.67</v>
      </c>
      <c r="L876">
        <v>310.4</v>
      </c>
      <c r="M876">
        <v>36.52</v>
      </c>
      <c r="N876">
        <v>8560.75</v>
      </c>
      <c r="O876">
        <v>2745.42</v>
      </c>
      <c r="P876">
        <v>5815.33</v>
      </c>
      <c r="Q876">
        <v>61.76</v>
      </c>
      <c r="R876">
        <v>418.55</v>
      </c>
      <c r="S876">
        <v>533</v>
      </c>
      <c r="T876">
        <v>178</v>
      </c>
      <c r="U876">
        <v>14</v>
      </c>
      <c r="V876">
        <v>61</v>
      </c>
      <c r="W876">
        <v>46</v>
      </c>
      <c r="X876">
        <v>35.82</v>
      </c>
      <c r="Y876">
        <v>2.23</v>
      </c>
      <c r="Z876">
        <v>67.93000000000001</v>
      </c>
      <c r="AA876">
        <v>2322.58</v>
      </c>
      <c r="AB876">
        <v>1246.58</v>
      </c>
      <c r="AC876">
        <v>331.39</v>
      </c>
      <c r="AD876">
        <v>110</v>
      </c>
      <c r="AE876">
        <v>201.84</v>
      </c>
      <c r="AF876">
        <v>4212.39</v>
      </c>
      <c r="AG876">
        <v>1122.63</v>
      </c>
      <c r="AH876">
        <v>13.11</v>
      </c>
    </row>
    <row r="877" spans="1:34">
      <c r="A877" t="s">
        <v>490</v>
      </c>
      <c r="B877" t="s">
        <v>75</v>
      </c>
      <c r="C877" t="b">
        <v>0</v>
      </c>
      <c r="D877" t="b">
        <v>0</v>
      </c>
      <c r="E877" t="s">
        <v>1471</v>
      </c>
      <c r="F877" t="s">
        <v>82</v>
      </c>
      <c r="G877" t="s">
        <v>81</v>
      </c>
      <c r="H877">
        <v>32.1</v>
      </c>
      <c r="I877">
        <v>28</v>
      </c>
      <c r="J877">
        <v>223</v>
      </c>
      <c r="K877">
        <v>6475.52</v>
      </c>
      <c r="L877">
        <v>273.04</v>
      </c>
      <c r="M877">
        <v>0</v>
      </c>
      <c r="N877">
        <v>6202.48</v>
      </c>
      <c r="O877">
        <v>1915.15</v>
      </c>
      <c r="P877">
        <v>4287.33</v>
      </c>
      <c r="Q877">
        <v>48.97</v>
      </c>
      <c r="R877">
        <v>194.23</v>
      </c>
      <c r="S877">
        <v>383</v>
      </c>
      <c r="T877">
        <v>162</v>
      </c>
      <c r="U877">
        <v>16</v>
      </c>
      <c r="V877">
        <v>61</v>
      </c>
      <c r="W877">
        <v>29</v>
      </c>
      <c r="X877">
        <v>27.81</v>
      </c>
      <c r="Y877">
        <v>1.72</v>
      </c>
      <c r="Z877">
        <v>69.12</v>
      </c>
      <c r="AA877">
        <v>2322.58</v>
      </c>
      <c r="AB877">
        <v>1246.58</v>
      </c>
      <c r="AC877">
        <v>293.26</v>
      </c>
      <c r="AD877">
        <v>110</v>
      </c>
      <c r="AE877">
        <v>178.3</v>
      </c>
      <c r="AF877">
        <v>4150.72</v>
      </c>
      <c r="AG877">
        <v>-106.59</v>
      </c>
      <c r="AH877">
        <v>-1.72</v>
      </c>
    </row>
    <row r="878" spans="1:34">
      <c r="A878" t="s">
        <v>1282</v>
      </c>
      <c r="B878" t="s">
        <v>258</v>
      </c>
      <c r="C878" t="b">
        <v>0</v>
      </c>
      <c r="D878" t="b">
        <v>0</v>
      </c>
      <c r="E878" t="s">
        <v>1471</v>
      </c>
      <c r="F878" t="s">
        <v>82</v>
      </c>
      <c r="G878" t="s">
        <v>81</v>
      </c>
      <c r="H878">
        <v>30.8</v>
      </c>
      <c r="I878">
        <v>29</v>
      </c>
      <c r="J878">
        <v>241</v>
      </c>
      <c r="K878">
        <v>7253.77</v>
      </c>
      <c r="L878">
        <v>233.03</v>
      </c>
      <c r="M878">
        <v>0</v>
      </c>
      <c r="N878">
        <v>7020.74</v>
      </c>
      <c r="O878">
        <v>2233.77</v>
      </c>
      <c r="P878">
        <v>4786.97</v>
      </c>
      <c r="Q878">
        <v>55.78</v>
      </c>
      <c r="R878">
        <v>294.07</v>
      </c>
      <c r="S878">
        <v>414</v>
      </c>
      <c r="T878">
        <v>190</v>
      </c>
      <c r="U878">
        <v>8</v>
      </c>
      <c r="V878">
        <v>51</v>
      </c>
      <c r="W878">
        <v>39</v>
      </c>
      <c r="X878">
        <v>29.13</v>
      </c>
      <c r="Y878">
        <v>1.72</v>
      </c>
      <c r="Z878">
        <v>68.18000000000001</v>
      </c>
      <c r="AA878">
        <v>2322.58</v>
      </c>
      <c r="AB878">
        <v>1246.58</v>
      </c>
      <c r="AC878">
        <v>313.63</v>
      </c>
      <c r="AD878">
        <v>110</v>
      </c>
      <c r="AE878">
        <v>174.36</v>
      </c>
      <c r="AF878">
        <v>4167.15</v>
      </c>
      <c r="AG878">
        <v>269.97</v>
      </c>
      <c r="AH878">
        <v>3.85</v>
      </c>
    </row>
    <row r="879" spans="1:34">
      <c r="A879" t="s">
        <v>1283</v>
      </c>
      <c r="B879" t="s">
        <v>259</v>
      </c>
      <c r="C879" t="b">
        <v>0</v>
      </c>
      <c r="D879" t="b">
        <v>0</v>
      </c>
      <c r="E879" t="s">
        <v>1471</v>
      </c>
      <c r="F879" t="s">
        <v>82</v>
      </c>
      <c r="G879" t="s">
        <v>1477</v>
      </c>
      <c r="H879">
        <v>29.7</v>
      </c>
      <c r="I879">
        <v>0</v>
      </c>
      <c r="J879">
        <v>288</v>
      </c>
      <c r="K879">
        <v>10589.32</v>
      </c>
      <c r="L879">
        <v>395.62</v>
      </c>
      <c r="M879">
        <v>17.39</v>
      </c>
      <c r="N879">
        <v>10176.31</v>
      </c>
      <c r="O879">
        <v>3193.28</v>
      </c>
      <c r="P879">
        <v>6983.03</v>
      </c>
      <c r="Q879">
        <v>62.37</v>
      </c>
      <c r="R879">
        <v>489.16</v>
      </c>
      <c r="S879">
        <v>620</v>
      </c>
      <c r="T879">
        <v>219</v>
      </c>
      <c r="U879">
        <v>6</v>
      </c>
      <c r="V879">
        <v>69</v>
      </c>
      <c r="W879">
        <v>53</v>
      </c>
      <c r="X879">
        <v>35.33</v>
      </c>
      <c r="Y879">
        <v>2.15</v>
      </c>
      <c r="Z879">
        <v>68.62</v>
      </c>
      <c r="AA879">
        <v>2322.58</v>
      </c>
      <c r="AB879">
        <v>1246.58</v>
      </c>
      <c r="AC879">
        <v>274.85</v>
      </c>
      <c r="AD879">
        <v>110</v>
      </c>
      <c r="AE879">
        <v>125.29</v>
      </c>
      <c r="AF879">
        <v>4079.3</v>
      </c>
      <c r="AG879">
        <v>2352.2</v>
      </c>
      <c r="AH879">
        <v>23.11</v>
      </c>
    </row>
    <row r="880" spans="1:34">
      <c r="A880" t="s">
        <v>1284</v>
      </c>
      <c r="B880" t="s">
        <v>260</v>
      </c>
      <c r="C880" t="b">
        <v>0</v>
      </c>
      <c r="D880" t="b">
        <v>0</v>
      </c>
      <c r="E880" t="s">
        <v>1471</v>
      </c>
      <c r="F880" t="s">
        <v>82</v>
      </c>
      <c r="G880" t="s">
        <v>1477</v>
      </c>
      <c r="H880">
        <v>31.2</v>
      </c>
      <c r="I880">
        <v>1</v>
      </c>
      <c r="J880">
        <v>275</v>
      </c>
      <c r="K880">
        <v>8647.76</v>
      </c>
      <c r="L880">
        <v>338.24</v>
      </c>
      <c r="M880">
        <v>14.78</v>
      </c>
      <c r="N880">
        <v>8294.74</v>
      </c>
      <c r="O880">
        <v>2681.36</v>
      </c>
      <c r="P880">
        <v>5613.38</v>
      </c>
      <c r="Q880">
        <v>60.06</v>
      </c>
      <c r="R880">
        <v>367.63</v>
      </c>
      <c r="S880">
        <v>485</v>
      </c>
      <c r="T880">
        <v>207</v>
      </c>
      <c r="U880">
        <v>7</v>
      </c>
      <c r="V880">
        <v>68</v>
      </c>
      <c r="W880">
        <v>42</v>
      </c>
      <c r="X880">
        <v>30.16</v>
      </c>
      <c r="Y880">
        <v>1.76</v>
      </c>
      <c r="Z880">
        <v>67.67</v>
      </c>
      <c r="AA880">
        <v>2322.58</v>
      </c>
      <c r="AB880">
        <v>1246.58</v>
      </c>
      <c r="AC880">
        <v>310.74</v>
      </c>
      <c r="AD880">
        <v>110</v>
      </c>
      <c r="AE880">
        <v>183.7</v>
      </c>
      <c r="AF880">
        <v>4173.6</v>
      </c>
      <c r="AG880">
        <v>1012.09</v>
      </c>
      <c r="AH880">
        <v>12.2</v>
      </c>
    </row>
    <row r="881" spans="1:34">
      <c r="A881" t="s">
        <v>1285</v>
      </c>
      <c r="B881" t="s">
        <v>261</v>
      </c>
      <c r="C881" t="b">
        <v>0</v>
      </c>
      <c r="D881" t="b">
        <v>0</v>
      </c>
      <c r="E881" t="s">
        <v>1471</v>
      </c>
      <c r="F881" t="s">
        <v>82</v>
      </c>
      <c r="G881" t="s">
        <v>1477</v>
      </c>
      <c r="H881">
        <v>31.7</v>
      </c>
      <c r="I881">
        <v>2</v>
      </c>
      <c r="J881">
        <v>293</v>
      </c>
      <c r="K881">
        <v>9737.23</v>
      </c>
      <c r="L881">
        <v>292.16</v>
      </c>
      <c r="M881">
        <v>64.34999999999999</v>
      </c>
      <c r="N881">
        <v>9380.719999999999</v>
      </c>
      <c r="O881">
        <v>2939.05</v>
      </c>
      <c r="P881">
        <v>6441.67</v>
      </c>
      <c r="Q881">
        <v>74.83</v>
      </c>
      <c r="R881">
        <v>315.99</v>
      </c>
      <c r="S881">
        <v>553</v>
      </c>
      <c r="T881">
        <v>225</v>
      </c>
      <c r="U881">
        <v>8</v>
      </c>
      <c r="V881">
        <v>68</v>
      </c>
      <c r="W881">
        <v>32</v>
      </c>
      <c r="X881">
        <v>32.02</v>
      </c>
      <c r="Y881">
        <v>1.89</v>
      </c>
      <c r="Z881">
        <v>68.67</v>
      </c>
      <c r="AA881">
        <v>2322.58</v>
      </c>
      <c r="AB881">
        <v>1246.58</v>
      </c>
      <c r="AC881">
        <v>310.04</v>
      </c>
      <c r="AD881">
        <v>110</v>
      </c>
      <c r="AE881">
        <v>188.14</v>
      </c>
      <c r="AF881">
        <v>4177.34</v>
      </c>
      <c r="AG881">
        <v>1873.51</v>
      </c>
      <c r="AH881">
        <v>19.97</v>
      </c>
    </row>
    <row r="882" spans="1:34">
      <c r="A882" t="s">
        <v>1286</v>
      </c>
      <c r="B882" t="s">
        <v>262</v>
      </c>
      <c r="C882" t="b">
        <v>1</v>
      </c>
      <c r="D882" t="b">
        <v>0</v>
      </c>
      <c r="E882" t="s">
        <v>1471</v>
      </c>
      <c r="F882" t="s">
        <v>1475</v>
      </c>
      <c r="G882" t="s">
        <v>1477</v>
      </c>
      <c r="H882">
        <v>32.1</v>
      </c>
      <c r="I882">
        <v>3</v>
      </c>
      <c r="J882">
        <v>254</v>
      </c>
      <c r="K882">
        <v>10972.87</v>
      </c>
      <c r="L882">
        <v>324.34</v>
      </c>
      <c r="M882">
        <v>19.13</v>
      </c>
      <c r="N882">
        <v>10629.4</v>
      </c>
      <c r="O882">
        <v>3256.65</v>
      </c>
      <c r="P882">
        <v>7372.75</v>
      </c>
      <c r="Q882">
        <v>78.44</v>
      </c>
      <c r="R882">
        <v>507.78</v>
      </c>
      <c r="S882">
        <v>636</v>
      </c>
      <c r="T882">
        <v>194</v>
      </c>
      <c r="U882">
        <v>11</v>
      </c>
      <c r="V882">
        <v>60</v>
      </c>
      <c r="W882">
        <v>59</v>
      </c>
      <c r="X882">
        <v>41.85</v>
      </c>
      <c r="Y882">
        <v>2.5</v>
      </c>
      <c r="Z882">
        <v>69.36</v>
      </c>
      <c r="AA882">
        <v>2322.58</v>
      </c>
      <c r="AB882">
        <v>1246.58</v>
      </c>
      <c r="AC882">
        <v>301.03</v>
      </c>
      <c r="AD882">
        <v>110</v>
      </c>
      <c r="AE882">
        <v>168.57</v>
      </c>
      <c r="AF882">
        <v>4148.76</v>
      </c>
      <c r="AG882">
        <v>2637.77</v>
      </c>
      <c r="AH882">
        <v>24.82</v>
      </c>
    </row>
    <row r="883" spans="1:34">
      <c r="A883" t="s">
        <v>1287</v>
      </c>
      <c r="B883" t="s">
        <v>263</v>
      </c>
      <c r="C883" t="b">
        <v>1</v>
      </c>
      <c r="D883" t="b">
        <v>0</v>
      </c>
      <c r="E883" t="s">
        <v>1471</v>
      </c>
      <c r="F883" t="s">
        <v>1475</v>
      </c>
      <c r="G883" t="s">
        <v>1477</v>
      </c>
      <c r="H883">
        <v>31.4</v>
      </c>
      <c r="I883">
        <v>4</v>
      </c>
      <c r="J883">
        <v>218</v>
      </c>
      <c r="K883">
        <v>8560.75</v>
      </c>
      <c r="L883">
        <v>318.24</v>
      </c>
      <c r="M883">
        <v>42.61</v>
      </c>
      <c r="N883">
        <v>8199.9</v>
      </c>
      <c r="O883">
        <v>2535.62</v>
      </c>
      <c r="P883">
        <v>5664.28</v>
      </c>
      <c r="Q883">
        <v>59.48</v>
      </c>
      <c r="R883">
        <v>425.66</v>
      </c>
      <c r="S883">
        <v>496</v>
      </c>
      <c r="T883">
        <v>164</v>
      </c>
      <c r="U883">
        <v>10</v>
      </c>
      <c r="V883">
        <v>54</v>
      </c>
      <c r="W883">
        <v>46</v>
      </c>
      <c r="X883">
        <v>37.61</v>
      </c>
      <c r="Y883">
        <v>2.28</v>
      </c>
      <c r="Z883">
        <v>69.08</v>
      </c>
      <c r="AA883">
        <v>2322.58</v>
      </c>
      <c r="AB883">
        <v>1246.58</v>
      </c>
      <c r="AC883">
        <v>317.51</v>
      </c>
      <c r="AD883">
        <v>110</v>
      </c>
      <c r="AE883">
        <v>178.11</v>
      </c>
      <c r="AF883">
        <v>4174.78</v>
      </c>
      <c r="AG883">
        <v>1004.36</v>
      </c>
      <c r="AH883">
        <v>12.25</v>
      </c>
    </row>
    <row r="884" spans="1:34">
      <c r="A884" t="s">
        <v>491</v>
      </c>
      <c r="B884" t="s">
        <v>75</v>
      </c>
      <c r="C884" t="b">
        <v>0</v>
      </c>
      <c r="D884" t="b">
        <v>0</v>
      </c>
      <c r="E884" t="s">
        <v>1472</v>
      </c>
      <c r="F884" t="s">
        <v>1475</v>
      </c>
      <c r="G884" t="s">
        <v>81</v>
      </c>
      <c r="H884">
        <v>31.6</v>
      </c>
      <c r="I884">
        <v>5</v>
      </c>
      <c r="J884">
        <v>251</v>
      </c>
      <c r="K884">
        <v>8210.370000000001</v>
      </c>
      <c r="L884">
        <v>211.28</v>
      </c>
      <c r="M884">
        <v>18.26</v>
      </c>
      <c r="N884">
        <v>7980.83</v>
      </c>
      <c r="O884">
        <v>2599.76</v>
      </c>
      <c r="P884">
        <v>5381.07</v>
      </c>
      <c r="Q884">
        <v>65.42</v>
      </c>
      <c r="R884">
        <v>298.42</v>
      </c>
      <c r="S884">
        <v>464</v>
      </c>
      <c r="T884">
        <v>190</v>
      </c>
      <c r="U884">
        <v>6</v>
      </c>
      <c r="V884">
        <v>61</v>
      </c>
      <c r="W884">
        <v>31</v>
      </c>
      <c r="X884">
        <v>31.8</v>
      </c>
      <c r="Y884">
        <v>1.85</v>
      </c>
      <c r="Z884">
        <v>67.42</v>
      </c>
      <c r="AA884">
        <v>2400</v>
      </c>
      <c r="AB884">
        <v>1246.58</v>
      </c>
      <c r="AC884">
        <v>304.96</v>
      </c>
      <c r="AD884">
        <v>110</v>
      </c>
      <c r="AE884">
        <v>188.43</v>
      </c>
      <c r="AF884">
        <v>4249.97</v>
      </c>
      <c r="AG884">
        <v>767.26</v>
      </c>
      <c r="AH884">
        <v>9.609999999999999</v>
      </c>
    </row>
    <row r="885" spans="1:34">
      <c r="A885" t="s">
        <v>1288</v>
      </c>
      <c r="B885" t="s">
        <v>258</v>
      </c>
      <c r="C885" t="b">
        <v>0</v>
      </c>
      <c r="D885" t="b">
        <v>0</v>
      </c>
      <c r="E885" t="s">
        <v>1472</v>
      </c>
      <c r="F885" t="s">
        <v>1475</v>
      </c>
      <c r="G885" t="s">
        <v>81</v>
      </c>
      <c r="H885">
        <v>30.8</v>
      </c>
      <c r="I885">
        <v>6</v>
      </c>
      <c r="J885">
        <v>205</v>
      </c>
      <c r="K885">
        <v>6602.5</v>
      </c>
      <c r="L885">
        <v>249.54</v>
      </c>
      <c r="M885">
        <v>0</v>
      </c>
      <c r="N885">
        <v>6352.96</v>
      </c>
      <c r="O885">
        <v>2113.29</v>
      </c>
      <c r="P885">
        <v>4239.67</v>
      </c>
      <c r="Q885">
        <v>45.44</v>
      </c>
      <c r="R885">
        <v>376.7</v>
      </c>
      <c r="S885">
        <v>373</v>
      </c>
      <c r="T885">
        <v>155</v>
      </c>
      <c r="U885">
        <v>11</v>
      </c>
      <c r="V885">
        <v>50</v>
      </c>
      <c r="W885">
        <v>33</v>
      </c>
      <c r="X885">
        <v>30.99</v>
      </c>
      <c r="Y885">
        <v>1.82</v>
      </c>
      <c r="Z885">
        <v>66.73999999999999</v>
      </c>
      <c r="AA885">
        <v>2400</v>
      </c>
      <c r="AB885">
        <v>1246.58</v>
      </c>
      <c r="AC885">
        <v>309.97</v>
      </c>
      <c r="AD885">
        <v>110</v>
      </c>
      <c r="AE885">
        <v>191.82</v>
      </c>
      <c r="AF885">
        <v>4258.37</v>
      </c>
      <c r="AG885">
        <v>-440.84</v>
      </c>
      <c r="AH885">
        <v>-6.94</v>
      </c>
    </row>
    <row r="886" spans="1:34">
      <c r="A886" t="s">
        <v>1289</v>
      </c>
      <c r="B886" t="s">
        <v>259</v>
      </c>
      <c r="C886" t="b">
        <v>0</v>
      </c>
      <c r="D886" t="b">
        <v>0</v>
      </c>
      <c r="E886" t="s">
        <v>1472</v>
      </c>
      <c r="F886" t="s">
        <v>1475</v>
      </c>
      <c r="G886" t="s">
        <v>81</v>
      </c>
      <c r="H886">
        <v>31.2</v>
      </c>
      <c r="I886">
        <v>7</v>
      </c>
      <c r="J886">
        <v>208</v>
      </c>
      <c r="K886">
        <v>7119.12</v>
      </c>
      <c r="L886">
        <v>177.38</v>
      </c>
      <c r="M886">
        <v>38.26</v>
      </c>
      <c r="N886">
        <v>6903.48</v>
      </c>
      <c r="O886">
        <v>2318.42</v>
      </c>
      <c r="P886">
        <v>4585.06</v>
      </c>
      <c r="Q886">
        <v>47.18</v>
      </c>
      <c r="R886">
        <v>323.63</v>
      </c>
      <c r="S886">
        <v>383</v>
      </c>
      <c r="T886">
        <v>161</v>
      </c>
      <c r="U886">
        <v>11</v>
      </c>
      <c r="V886">
        <v>47</v>
      </c>
      <c r="W886">
        <v>36</v>
      </c>
      <c r="X886">
        <v>33.19</v>
      </c>
      <c r="Y886">
        <v>1.84</v>
      </c>
      <c r="Z886">
        <v>66.42</v>
      </c>
      <c r="AA886">
        <v>2400</v>
      </c>
      <c r="AB886">
        <v>1246.58</v>
      </c>
      <c r="AC886">
        <v>339.67</v>
      </c>
      <c r="AD886">
        <v>110</v>
      </c>
      <c r="AE886">
        <v>170.73</v>
      </c>
      <c r="AF886">
        <v>4266.98</v>
      </c>
      <c r="AG886">
        <v>-52.73</v>
      </c>
      <c r="AH886">
        <v>-0.76</v>
      </c>
    </row>
    <row r="887" spans="1:34">
      <c r="A887" t="s">
        <v>1290</v>
      </c>
      <c r="B887" t="s">
        <v>260</v>
      </c>
      <c r="C887" t="b">
        <v>0</v>
      </c>
      <c r="D887" t="b">
        <v>0</v>
      </c>
      <c r="E887" t="s">
        <v>1472</v>
      </c>
      <c r="F887" t="s">
        <v>1475</v>
      </c>
      <c r="G887" t="s">
        <v>81</v>
      </c>
      <c r="H887">
        <v>31.3</v>
      </c>
      <c r="I887">
        <v>8</v>
      </c>
      <c r="J887">
        <v>212</v>
      </c>
      <c r="K887">
        <v>6901.68</v>
      </c>
      <c r="L887">
        <v>242.59</v>
      </c>
      <c r="M887">
        <v>20.87</v>
      </c>
      <c r="N887">
        <v>6638.22</v>
      </c>
      <c r="O887">
        <v>2182.81</v>
      </c>
      <c r="P887">
        <v>4455.41</v>
      </c>
      <c r="Q887">
        <v>49.63</v>
      </c>
      <c r="R887">
        <v>308.3</v>
      </c>
      <c r="S887">
        <v>384</v>
      </c>
      <c r="T887">
        <v>153</v>
      </c>
      <c r="U887">
        <v>8</v>
      </c>
      <c r="V887">
        <v>59</v>
      </c>
      <c r="W887">
        <v>35</v>
      </c>
      <c r="X887">
        <v>31.31</v>
      </c>
      <c r="Y887">
        <v>1.81</v>
      </c>
      <c r="Z887">
        <v>67.12</v>
      </c>
      <c r="AA887">
        <v>2400</v>
      </c>
      <c r="AB887">
        <v>1246.58</v>
      </c>
      <c r="AC887">
        <v>312.89</v>
      </c>
      <c r="AD887">
        <v>110</v>
      </c>
      <c r="AE887">
        <v>195.35</v>
      </c>
      <c r="AF887">
        <v>4264.82</v>
      </c>
      <c r="AG887">
        <v>-167.34</v>
      </c>
      <c r="AH887">
        <v>-2.52</v>
      </c>
    </row>
    <row r="888" spans="1:34">
      <c r="A888" t="s">
        <v>1291</v>
      </c>
      <c r="B888" t="s">
        <v>261</v>
      </c>
      <c r="C888" t="b">
        <v>0</v>
      </c>
      <c r="D888" t="b">
        <v>1</v>
      </c>
      <c r="E888" t="s">
        <v>1472</v>
      </c>
      <c r="F888" t="s">
        <v>1475</v>
      </c>
      <c r="G888" t="s">
        <v>289</v>
      </c>
      <c r="H888">
        <v>31.8</v>
      </c>
      <c r="I888">
        <v>9</v>
      </c>
      <c r="J888">
        <v>169</v>
      </c>
      <c r="K888">
        <v>6914.74</v>
      </c>
      <c r="L888">
        <v>302.59</v>
      </c>
      <c r="M888">
        <v>13.91</v>
      </c>
      <c r="N888">
        <v>6598.24</v>
      </c>
      <c r="O888">
        <v>2215.44</v>
      </c>
      <c r="P888">
        <v>4382.8</v>
      </c>
      <c r="Q888">
        <v>52.45</v>
      </c>
      <c r="R888">
        <v>207.13</v>
      </c>
      <c r="S888">
        <v>370</v>
      </c>
      <c r="T888">
        <v>123</v>
      </c>
      <c r="U888">
        <v>5</v>
      </c>
      <c r="V888">
        <v>46</v>
      </c>
      <c r="W888">
        <v>23</v>
      </c>
      <c r="X888">
        <v>39.04</v>
      </c>
      <c r="Y888">
        <v>2.19</v>
      </c>
      <c r="Z888">
        <v>66.42</v>
      </c>
      <c r="AA888">
        <v>2400</v>
      </c>
      <c r="AB888">
        <v>1246.58</v>
      </c>
      <c r="AC888">
        <v>324.21</v>
      </c>
      <c r="AD888">
        <v>110</v>
      </c>
      <c r="AE888">
        <v>191.81</v>
      </c>
      <c r="AF888">
        <v>4272.6</v>
      </c>
      <c r="AG888">
        <v>-149.38</v>
      </c>
      <c r="AH888">
        <v>-2.26</v>
      </c>
    </row>
    <row r="889" spans="1:34">
      <c r="A889" t="s">
        <v>1292</v>
      </c>
      <c r="B889" t="s">
        <v>262</v>
      </c>
      <c r="C889" t="b">
        <v>1</v>
      </c>
      <c r="D889" t="b">
        <v>1</v>
      </c>
      <c r="E889" t="s">
        <v>1472</v>
      </c>
      <c r="F889" t="s">
        <v>1475</v>
      </c>
      <c r="G889" t="s">
        <v>1499</v>
      </c>
      <c r="H889">
        <v>31.1</v>
      </c>
      <c r="I889">
        <v>10</v>
      </c>
      <c r="J889">
        <v>208</v>
      </c>
      <c r="K889">
        <v>8797.27</v>
      </c>
      <c r="L889">
        <v>271.27</v>
      </c>
      <c r="M889">
        <v>30.43</v>
      </c>
      <c r="N889">
        <v>8495.57</v>
      </c>
      <c r="O889">
        <v>2758.01</v>
      </c>
      <c r="P889">
        <v>5737.56</v>
      </c>
      <c r="Q889">
        <v>70.11</v>
      </c>
      <c r="R889">
        <v>334.43</v>
      </c>
      <c r="S889">
        <v>483</v>
      </c>
      <c r="T889">
        <v>149</v>
      </c>
      <c r="U889">
        <v>10</v>
      </c>
      <c r="V889">
        <v>59</v>
      </c>
      <c r="W889">
        <v>34</v>
      </c>
      <c r="X889">
        <v>40.84</v>
      </c>
      <c r="Y889">
        <v>2.32</v>
      </c>
      <c r="Z889">
        <v>67.54000000000001</v>
      </c>
      <c r="AA889">
        <v>2400</v>
      </c>
      <c r="AB889">
        <v>1246.58</v>
      </c>
      <c r="AC889">
        <v>271.84</v>
      </c>
      <c r="AD889">
        <v>110</v>
      </c>
      <c r="AE889">
        <v>180.81</v>
      </c>
      <c r="AF889">
        <v>4209.23</v>
      </c>
      <c r="AG889">
        <v>1123.79</v>
      </c>
      <c r="AH889">
        <v>13.23</v>
      </c>
    </row>
    <row r="890" spans="1:34">
      <c r="A890" t="s">
        <v>1293</v>
      </c>
      <c r="B890" t="s">
        <v>263</v>
      </c>
      <c r="C890" t="b">
        <v>1</v>
      </c>
      <c r="D890" t="b">
        <v>1</v>
      </c>
      <c r="E890" t="s">
        <v>1472</v>
      </c>
      <c r="F890" t="s">
        <v>1475</v>
      </c>
      <c r="G890" t="s">
        <v>1499</v>
      </c>
      <c r="H890">
        <v>31.1</v>
      </c>
      <c r="I890">
        <v>11</v>
      </c>
      <c r="J890">
        <v>216</v>
      </c>
      <c r="K890">
        <v>9506</v>
      </c>
      <c r="L890">
        <v>343.46</v>
      </c>
      <c r="M890">
        <v>11.3</v>
      </c>
      <c r="N890">
        <v>9151.24</v>
      </c>
      <c r="O890">
        <v>2986.89</v>
      </c>
      <c r="P890">
        <v>6164.35</v>
      </c>
      <c r="Q890">
        <v>66.06999999999999</v>
      </c>
      <c r="R890">
        <v>450.46</v>
      </c>
      <c r="S890">
        <v>516</v>
      </c>
      <c r="T890">
        <v>167</v>
      </c>
      <c r="U890">
        <v>8</v>
      </c>
      <c r="V890">
        <v>49</v>
      </c>
      <c r="W890">
        <v>49</v>
      </c>
      <c r="X890">
        <v>42.37</v>
      </c>
      <c r="Y890">
        <v>2.39</v>
      </c>
      <c r="Z890">
        <v>67.36</v>
      </c>
      <c r="AA890">
        <v>2400</v>
      </c>
      <c r="AB890">
        <v>1246.58</v>
      </c>
      <c r="AC890">
        <v>314.7</v>
      </c>
      <c r="AD890">
        <v>110</v>
      </c>
      <c r="AE890">
        <v>176.73</v>
      </c>
      <c r="AF890">
        <v>4248.01</v>
      </c>
      <c r="AG890">
        <v>1399.81</v>
      </c>
      <c r="AH890">
        <v>15.3</v>
      </c>
    </row>
    <row r="891" spans="1:34">
      <c r="A891" t="s">
        <v>492</v>
      </c>
      <c r="B891" t="s">
        <v>75</v>
      </c>
      <c r="C891" t="b">
        <v>0</v>
      </c>
      <c r="D891" t="b">
        <v>1</v>
      </c>
      <c r="E891" t="s">
        <v>1472</v>
      </c>
      <c r="F891" t="s">
        <v>1475</v>
      </c>
      <c r="G891" t="s">
        <v>1499</v>
      </c>
      <c r="H891">
        <v>34.4</v>
      </c>
      <c r="I891">
        <v>12</v>
      </c>
      <c r="J891">
        <v>239</v>
      </c>
      <c r="K891">
        <v>10409.6</v>
      </c>
      <c r="L891">
        <v>188.69</v>
      </c>
      <c r="M891">
        <v>46.09</v>
      </c>
      <c r="N891">
        <v>10174.82</v>
      </c>
      <c r="O891">
        <v>3327.91</v>
      </c>
      <c r="P891">
        <v>6846.91</v>
      </c>
      <c r="Q891">
        <v>72.84</v>
      </c>
      <c r="R891">
        <v>334.44</v>
      </c>
      <c r="S891">
        <v>567</v>
      </c>
      <c r="T891">
        <v>164</v>
      </c>
      <c r="U891">
        <v>14</v>
      </c>
      <c r="V891">
        <v>75</v>
      </c>
      <c r="W891">
        <v>38</v>
      </c>
      <c r="X891">
        <v>42.57</v>
      </c>
      <c r="Y891">
        <v>2.37</v>
      </c>
      <c r="Z891">
        <v>67.29000000000001</v>
      </c>
      <c r="AA891">
        <v>2400</v>
      </c>
      <c r="AB891">
        <v>1246.58</v>
      </c>
      <c r="AC891">
        <v>349.26</v>
      </c>
      <c r="AD891">
        <v>110</v>
      </c>
      <c r="AE891">
        <v>189</v>
      </c>
      <c r="AF891">
        <v>4294.84</v>
      </c>
      <c r="AG891">
        <v>2144.79</v>
      </c>
      <c r="AH891">
        <v>21.08</v>
      </c>
    </row>
    <row r="892" spans="1:34">
      <c r="A892" t="s">
        <v>1294</v>
      </c>
      <c r="B892" t="s">
        <v>258</v>
      </c>
      <c r="C892" t="b">
        <v>0</v>
      </c>
      <c r="D892" t="b">
        <v>1</v>
      </c>
      <c r="E892" t="s">
        <v>1472</v>
      </c>
      <c r="F892" t="s">
        <v>1475</v>
      </c>
      <c r="G892" t="s">
        <v>1499</v>
      </c>
      <c r="H892">
        <v>34.6</v>
      </c>
      <c r="I892">
        <v>13</v>
      </c>
      <c r="J892">
        <v>209</v>
      </c>
      <c r="K892">
        <v>10063.54</v>
      </c>
      <c r="L892">
        <v>241.71</v>
      </c>
      <c r="M892">
        <v>46.96</v>
      </c>
      <c r="N892">
        <v>9774.870000000001</v>
      </c>
      <c r="O892">
        <v>3334.15</v>
      </c>
      <c r="P892">
        <v>6440.72</v>
      </c>
      <c r="Q892">
        <v>67.93000000000001</v>
      </c>
      <c r="R892">
        <v>417.87</v>
      </c>
      <c r="S892">
        <v>543</v>
      </c>
      <c r="T892">
        <v>159</v>
      </c>
      <c r="U892">
        <v>11</v>
      </c>
      <c r="V892">
        <v>50</v>
      </c>
      <c r="W892">
        <v>45</v>
      </c>
      <c r="X892">
        <v>46.77</v>
      </c>
      <c r="Y892">
        <v>2.6</v>
      </c>
      <c r="Z892">
        <v>65.89</v>
      </c>
      <c r="AA892">
        <v>2400</v>
      </c>
      <c r="AB892">
        <v>1246.58</v>
      </c>
      <c r="AC892">
        <v>334.11</v>
      </c>
      <c r="AD892">
        <v>110</v>
      </c>
      <c r="AE892">
        <v>141.11</v>
      </c>
      <c r="AF892">
        <v>4231.8</v>
      </c>
      <c r="AG892">
        <v>1723.12</v>
      </c>
      <c r="AH892">
        <v>17.63</v>
      </c>
    </row>
    <row r="893" spans="1:34">
      <c r="A893" t="s">
        <v>1295</v>
      </c>
      <c r="B893" t="s">
        <v>259</v>
      </c>
      <c r="C893" t="b">
        <v>0</v>
      </c>
      <c r="D893" t="b">
        <v>0</v>
      </c>
      <c r="E893" t="s">
        <v>1472</v>
      </c>
      <c r="F893" t="s">
        <v>1475</v>
      </c>
      <c r="G893" t="s">
        <v>1490</v>
      </c>
      <c r="H893">
        <v>37.5</v>
      </c>
      <c r="I893">
        <v>14</v>
      </c>
      <c r="J893">
        <v>196</v>
      </c>
      <c r="K893">
        <v>6179.91</v>
      </c>
      <c r="L893">
        <v>190.42</v>
      </c>
      <c r="M893">
        <v>0</v>
      </c>
      <c r="N893">
        <v>5989.49</v>
      </c>
      <c r="O893">
        <v>1893.54</v>
      </c>
      <c r="P893">
        <v>4095.95</v>
      </c>
      <c r="Q893">
        <v>43.52</v>
      </c>
      <c r="R893">
        <v>260.5</v>
      </c>
      <c r="S893">
        <v>356</v>
      </c>
      <c r="T893">
        <v>135</v>
      </c>
      <c r="U893">
        <v>8</v>
      </c>
      <c r="V893">
        <v>61</v>
      </c>
      <c r="W893">
        <v>33</v>
      </c>
      <c r="X893">
        <v>30.56</v>
      </c>
      <c r="Y893">
        <v>1.82</v>
      </c>
      <c r="Z893">
        <v>68.39</v>
      </c>
      <c r="AA893">
        <v>2400</v>
      </c>
      <c r="AB893">
        <v>1246.58</v>
      </c>
      <c r="AC893">
        <v>369.71</v>
      </c>
      <c r="AD893">
        <v>110</v>
      </c>
      <c r="AE893">
        <v>179.5</v>
      </c>
      <c r="AF893">
        <v>4305.79</v>
      </c>
      <c r="AG893">
        <v>-513.86</v>
      </c>
      <c r="AH893">
        <v>-8.58</v>
      </c>
    </row>
    <row r="894" spans="1:34">
      <c r="A894" t="s">
        <v>1296</v>
      </c>
      <c r="B894" t="s">
        <v>260</v>
      </c>
      <c r="C894" t="b">
        <v>0</v>
      </c>
      <c r="D894" t="b">
        <v>0</v>
      </c>
      <c r="E894" t="s">
        <v>1472</v>
      </c>
      <c r="F894" t="s">
        <v>1475</v>
      </c>
      <c r="G894" t="s">
        <v>1490</v>
      </c>
      <c r="H894">
        <v>36.7</v>
      </c>
      <c r="I894">
        <v>15</v>
      </c>
      <c r="J894">
        <v>197</v>
      </c>
      <c r="K894">
        <v>6323.46</v>
      </c>
      <c r="L894">
        <v>227.82</v>
      </c>
      <c r="M894">
        <v>13.91</v>
      </c>
      <c r="N894">
        <v>6081.73</v>
      </c>
      <c r="O894">
        <v>2005.02</v>
      </c>
      <c r="P894">
        <v>4076.71</v>
      </c>
      <c r="Q894">
        <v>44.68</v>
      </c>
      <c r="R894">
        <v>256.14</v>
      </c>
      <c r="S894">
        <v>366</v>
      </c>
      <c r="T894">
        <v>150</v>
      </c>
      <c r="U894">
        <v>7</v>
      </c>
      <c r="V894">
        <v>47</v>
      </c>
      <c r="W894">
        <v>32</v>
      </c>
      <c r="X894">
        <v>30.87</v>
      </c>
      <c r="Y894">
        <v>1.86</v>
      </c>
      <c r="Z894">
        <v>67.03</v>
      </c>
      <c r="AA894">
        <v>2400</v>
      </c>
      <c r="AB894">
        <v>1246.58</v>
      </c>
      <c r="AC894">
        <v>368.09</v>
      </c>
      <c r="AD894">
        <v>110</v>
      </c>
      <c r="AE894">
        <v>189.26</v>
      </c>
      <c r="AF894">
        <v>4313.93</v>
      </c>
      <c r="AG894">
        <v>-538.04</v>
      </c>
      <c r="AH894">
        <v>-8.85</v>
      </c>
    </row>
    <row r="895" spans="1:34">
      <c r="A895" t="s">
        <v>1297</v>
      </c>
      <c r="B895" t="s">
        <v>261</v>
      </c>
      <c r="C895" t="b">
        <v>0</v>
      </c>
      <c r="D895" t="b">
        <v>0</v>
      </c>
      <c r="E895" t="s">
        <v>1472</v>
      </c>
      <c r="F895" t="s">
        <v>1475</v>
      </c>
      <c r="G895" t="s">
        <v>1490</v>
      </c>
      <c r="H895">
        <v>35.8</v>
      </c>
      <c r="I895">
        <v>16</v>
      </c>
      <c r="J895">
        <v>217</v>
      </c>
      <c r="K895">
        <v>7045.1</v>
      </c>
      <c r="L895">
        <v>231.27</v>
      </c>
      <c r="M895">
        <v>68.7</v>
      </c>
      <c r="N895">
        <v>6745.13</v>
      </c>
      <c r="O895">
        <v>2137.75</v>
      </c>
      <c r="P895">
        <v>4607.38</v>
      </c>
      <c r="Q895">
        <v>55.74</v>
      </c>
      <c r="R895">
        <v>242.76</v>
      </c>
      <c r="S895">
        <v>420</v>
      </c>
      <c r="T895">
        <v>160</v>
      </c>
      <c r="U895">
        <v>6</v>
      </c>
      <c r="V895">
        <v>57</v>
      </c>
      <c r="W895">
        <v>31</v>
      </c>
      <c r="X895">
        <v>31.08</v>
      </c>
      <c r="Y895">
        <v>1.94</v>
      </c>
      <c r="Z895">
        <v>68.31</v>
      </c>
      <c r="AA895">
        <v>2400</v>
      </c>
      <c r="AB895">
        <v>1246.58</v>
      </c>
      <c r="AC895">
        <v>359.78</v>
      </c>
      <c r="AD895">
        <v>110</v>
      </c>
      <c r="AE895">
        <v>186.06</v>
      </c>
      <c r="AF895">
        <v>4302.42</v>
      </c>
      <c r="AG895">
        <v>6.46</v>
      </c>
      <c r="AH895">
        <v>0.1</v>
      </c>
    </row>
    <row r="896" spans="1:34">
      <c r="A896" t="s">
        <v>1298</v>
      </c>
      <c r="B896" t="s">
        <v>262</v>
      </c>
      <c r="C896" t="b">
        <v>1</v>
      </c>
      <c r="D896" t="b">
        <v>0</v>
      </c>
      <c r="E896" t="s">
        <v>1472</v>
      </c>
      <c r="F896" t="s">
        <v>1475</v>
      </c>
      <c r="G896" t="s">
        <v>81</v>
      </c>
      <c r="H896">
        <v>35</v>
      </c>
      <c r="I896">
        <v>17</v>
      </c>
      <c r="J896">
        <v>191</v>
      </c>
      <c r="K896">
        <v>8638.23</v>
      </c>
      <c r="L896">
        <v>197.38</v>
      </c>
      <c r="M896">
        <v>65.22</v>
      </c>
      <c r="N896">
        <v>8375.629999999999</v>
      </c>
      <c r="O896">
        <v>2678.23</v>
      </c>
      <c r="P896">
        <v>5697.4</v>
      </c>
      <c r="Q896">
        <v>63.83</v>
      </c>
      <c r="R896">
        <v>441.02</v>
      </c>
      <c r="S896">
        <v>488</v>
      </c>
      <c r="T896">
        <v>131</v>
      </c>
      <c r="U896">
        <v>9</v>
      </c>
      <c r="V896">
        <v>60</v>
      </c>
      <c r="W896">
        <v>47</v>
      </c>
      <c r="X896">
        <v>43.85</v>
      </c>
      <c r="Y896">
        <v>2.55</v>
      </c>
      <c r="Z896">
        <v>68.02</v>
      </c>
      <c r="AA896">
        <v>2400</v>
      </c>
      <c r="AB896">
        <v>1246.58</v>
      </c>
      <c r="AC896">
        <v>347.39</v>
      </c>
      <c r="AD896">
        <v>110</v>
      </c>
      <c r="AE896">
        <v>184.79</v>
      </c>
      <c r="AF896">
        <v>4288.76</v>
      </c>
      <c r="AG896">
        <v>903.79</v>
      </c>
      <c r="AH896">
        <v>10.79</v>
      </c>
    </row>
    <row r="897" spans="1:34">
      <c r="A897" t="s">
        <v>1299</v>
      </c>
      <c r="B897" t="s">
        <v>263</v>
      </c>
      <c r="C897" t="b">
        <v>1</v>
      </c>
      <c r="D897" t="b">
        <v>0</v>
      </c>
      <c r="E897" t="s">
        <v>1472</v>
      </c>
      <c r="F897" t="s">
        <v>1475</v>
      </c>
      <c r="G897" t="s">
        <v>81</v>
      </c>
      <c r="H897">
        <v>34</v>
      </c>
      <c r="I897">
        <v>18</v>
      </c>
      <c r="J897">
        <v>212</v>
      </c>
      <c r="K897">
        <v>8302.450000000001</v>
      </c>
      <c r="L897">
        <v>191.29</v>
      </c>
      <c r="M897">
        <v>20</v>
      </c>
      <c r="N897">
        <v>8091.16</v>
      </c>
      <c r="O897">
        <v>2526.87</v>
      </c>
      <c r="P897">
        <v>5564.29</v>
      </c>
      <c r="Q897">
        <v>62.16</v>
      </c>
      <c r="R897">
        <v>352.29</v>
      </c>
      <c r="S897">
        <v>486</v>
      </c>
      <c r="T897">
        <v>158</v>
      </c>
      <c r="U897">
        <v>12</v>
      </c>
      <c r="V897">
        <v>54</v>
      </c>
      <c r="W897">
        <v>42</v>
      </c>
      <c r="X897">
        <v>38.17</v>
      </c>
      <c r="Y897">
        <v>2.29</v>
      </c>
      <c r="Z897">
        <v>68.77</v>
      </c>
      <c r="AA897">
        <v>2400</v>
      </c>
      <c r="AB897">
        <v>1246.58</v>
      </c>
      <c r="AC897">
        <v>341.92</v>
      </c>
      <c r="AD897">
        <v>110</v>
      </c>
      <c r="AE897">
        <v>220.99</v>
      </c>
      <c r="AF897">
        <v>4319.49</v>
      </c>
      <c r="AG897">
        <v>830.35</v>
      </c>
      <c r="AH897">
        <v>10.26</v>
      </c>
    </row>
    <row r="898" spans="1:34">
      <c r="A898" t="s">
        <v>493</v>
      </c>
      <c r="B898" t="s">
        <v>75</v>
      </c>
      <c r="C898" t="b">
        <v>0</v>
      </c>
      <c r="D898" t="b">
        <v>0</v>
      </c>
      <c r="E898" t="s">
        <v>1472</v>
      </c>
      <c r="F898" t="s">
        <v>1474</v>
      </c>
      <c r="G898" t="s">
        <v>81</v>
      </c>
      <c r="H898">
        <v>34.2</v>
      </c>
      <c r="I898">
        <v>19</v>
      </c>
      <c r="J898">
        <v>208</v>
      </c>
      <c r="K898">
        <v>5775.56</v>
      </c>
      <c r="L898">
        <v>218.25</v>
      </c>
      <c r="M898">
        <v>19.13</v>
      </c>
      <c r="N898">
        <v>5538.18</v>
      </c>
      <c r="O898">
        <v>1766.35</v>
      </c>
      <c r="P898">
        <v>3771.83</v>
      </c>
      <c r="Q898">
        <v>42.06</v>
      </c>
      <c r="R898">
        <v>203.08</v>
      </c>
      <c r="S898">
        <v>340</v>
      </c>
      <c r="T898">
        <v>158</v>
      </c>
      <c r="U898">
        <v>11</v>
      </c>
      <c r="V898">
        <v>50</v>
      </c>
      <c r="W898">
        <v>31</v>
      </c>
      <c r="X898">
        <v>26.63</v>
      </c>
      <c r="Y898">
        <v>1.63</v>
      </c>
      <c r="Z898">
        <v>68.11</v>
      </c>
      <c r="AA898">
        <v>2400</v>
      </c>
      <c r="AB898">
        <v>1246.58</v>
      </c>
      <c r="AC898">
        <v>323.01</v>
      </c>
      <c r="AD898">
        <v>110</v>
      </c>
      <c r="AE898">
        <v>199.62</v>
      </c>
      <c r="AF898">
        <v>4279.21</v>
      </c>
      <c r="AG898">
        <v>-752.52</v>
      </c>
      <c r="AH898">
        <v>-13.59</v>
      </c>
    </row>
    <row r="899" spans="1:34">
      <c r="A899" t="s">
        <v>1300</v>
      </c>
      <c r="B899" t="s">
        <v>258</v>
      </c>
      <c r="C899" t="b">
        <v>0</v>
      </c>
      <c r="D899" t="b">
        <v>0</v>
      </c>
      <c r="E899" t="s">
        <v>1472</v>
      </c>
      <c r="F899" t="s">
        <v>1474</v>
      </c>
      <c r="G899" t="s">
        <v>81</v>
      </c>
      <c r="H899">
        <v>33.9</v>
      </c>
      <c r="I899">
        <v>20</v>
      </c>
      <c r="J899">
        <v>226</v>
      </c>
      <c r="K899">
        <v>8005.93</v>
      </c>
      <c r="L899">
        <v>359.63</v>
      </c>
      <c r="M899">
        <v>58.26</v>
      </c>
      <c r="N899">
        <v>7588.04</v>
      </c>
      <c r="O899">
        <v>2481.42</v>
      </c>
      <c r="P899">
        <v>5106.62</v>
      </c>
      <c r="Q899">
        <v>46.13</v>
      </c>
      <c r="R899">
        <v>317.03</v>
      </c>
      <c r="S899">
        <v>466</v>
      </c>
      <c r="T899">
        <v>166</v>
      </c>
      <c r="U899">
        <v>6</v>
      </c>
      <c r="V899">
        <v>60</v>
      </c>
      <c r="W899">
        <v>38</v>
      </c>
      <c r="X899">
        <v>33.58</v>
      </c>
      <c r="Y899">
        <v>2.06</v>
      </c>
      <c r="Z899">
        <v>67.3</v>
      </c>
      <c r="AA899">
        <v>2400</v>
      </c>
      <c r="AB899">
        <v>1246.58</v>
      </c>
      <c r="AC899">
        <v>327.47</v>
      </c>
      <c r="AD899">
        <v>110</v>
      </c>
      <c r="AE899">
        <v>217.76</v>
      </c>
      <c r="AF899">
        <v>4301.81</v>
      </c>
      <c r="AG899">
        <v>441.65</v>
      </c>
      <c r="AH899">
        <v>5.82</v>
      </c>
    </row>
    <row r="900" spans="1:34">
      <c r="A900" t="s">
        <v>1301</v>
      </c>
      <c r="B900" t="s">
        <v>259</v>
      </c>
      <c r="C900" t="b">
        <v>0</v>
      </c>
      <c r="D900" t="b">
        <v>0</v>
      </c>
      <c r="E900" t="s">
        <v>1472</v>
      </c>
      <c r="F900" t="s">
        <v>1474</v>
      </c>
      <c r="G900" t="s">
        <v>81</v>
      </c>
      <c r="H900">
        <v>33.1</v>
      </c>
      <c r="I900">
        <v>21</v>
      </c>
      <c r="J900">
        <v>181</v>
      </c>
      <c r="K900">
        <v>5464.24</v>
      </c>
      <c r="L900">
        <v>311.28</v>
      </c>
      <c r="M900">
        <v>0</v>
      </c>
      <c r="N900">
        <v>5152.96</v>
      </c>
      <c r="O900">
        <v>1639.08</v>
      </c>
      <c r="P900">
        <v>3513.88</v>
      </c>
      <c r="Q900">
        <v>35.94</v>
      </c>
      <c r="R900">
        <v>282.73</v>
      </c>
      <c r="S900">
        <v>318</v>
      </c>
      <c r="T900">
        <v>139</v>
      </c>
      <c r="U900">
        <v>6</v>
      </c>
      <c r="V900">
        <v>42</v>
      </c>
      <c r="W900">
        <v>32</v>
      </c>
      <c r="X900">
        <v>28.47</v>
      </c>
      <c r="Y900">
        <v>1.76</v>
      </c>
      <c r="Z900">
        <v>68.19</v>
      </c>
      <c r="AA900">
        <v>2400</v>
      </c>
      <c r="AB900">
        <v>1246.58</v>
      </c>
      <c r="AC900">
        <v>340.67</v>
      </c>
      <c r="AD900">
        <v>110</v>
      </c>
      <c r="AE900">
        <v>209.84</v>
      </c>
      <c r="AF900">
        <v>4307.09</v>
      </c>
      <c r="AG900">
        <v>-1111.88</v>
      </c>
      <c r="AH900">
        <v>-21.58</v>
      </c>
    </row>
    <row r="901" spans="1:34">
      <c r="A901" t="s">
        <v>1302</v>
      </c>
      <c r="B901" t="s">
        <v>260</v>
      </c>
      <c r="C901" t="b">
        <v>0</v>
      </c>
      <c r="D901" t="b">
        <v>0</v>
      </c>
      <c r="E901" t="s">
        <v>1472</v>
      </c>
      <c r="F901" t="s">
        <v>1474</v>
      </c>
      <c r="G901" t="s">
        <v>81</v>
      </c>
      <c r="H901">
        <v>33.3</v>
      </c>
      <c r="I901">
        <v>22</v>
      </c>
      <c r="J901">
        <v>240</v>
      </c>
      <c r="K901">
        <v>7769.45</v>
      </c>
      <c r="L901">
        <v>207.83</v>
      </c>
      <c r="M901">
        <v>11.3</v>
      </c>
      <c r="N901">
        <v>7550.32</v>
      </c>
      <c r="O901">
        <v>2375.59</v>
      </c>
      <c r="P901">
        <v>5174.73</v>
      </c>
      <c r="Q901">
        <v>56.87</v>
      </c>
      <c r="R901">
        <v>345.01</v>
      </c>
      <c r="S901">
        <v>451</v>
      </c>
      <c r="T901">
        <v>178</v>
      </c>
      <c r="U901">
        <v>6</v>
      </c>
      <c r="V901">
        <v>62</v>
      </c>
      <c r="W901">
        <v>39</v>
      </c>
      <c r="X901">
        <v>31.46</v>
      </c>
      <c r="Y901">
        <v>1.88</v>
      </c>
      <c r="Z901">
        <v>68.54000000000001</v>
      </c>
      <c r="AA901">
        <v>2400</v>
      </c>
      <c r="AB901">
        <v>1246.58</v>
      </c>
      <c r="AC901">
        <v>338.95</v>
      </c>
      <c r="AD901">
        <v>110</v>
      </c>
      <c r="AE901">
        <v>156.63</v>
      </c>
      <c r="AF901">
        <v>4252.16</v>
      </c>
      <c r="AG901">
        <v>520.6900000000001</v>
      </c>
      <c r="AH901">
        <v>6.9</v>
      </c>
    </row>
    <row r="902" spans="1:34">
      <c r="A902" t="s">
        <v>1303</v>
      </c>
      <c r="B902" t="s">
        <v>261</v>
      </c>
      <c r="C902" t="b">
        <v>0</v>
      </c>
      <c r="D902" t="b">
        <v>0</v>
      </c>
      <c r="E902" t="s">
        <v>1472</v>
      </c>
      <c r="F902" t="s">
        <v>1474</v>
      </c>
      <c r="G902" t="s">
        <v>81</v>
      </c>
      <c r="H902">
        <v>34.8</v>
      </c>
      <c r="I902">
        <v>23</v>
      </c>
      <c r="J902">
        <v>250</v>
      </c>
      <c r="K902">
        <v>8157.33</v>
      </c>
      <c r="L902">
        <v>444.33</v>
      </c>
      <c r="M902">
        <v>29.56</v>
      </c>
      <c r="N902">
        <v>7683.44</v>
      </c>
      <c r="O902">
        <v>2455.08</v>
      </c>
      <c r="P902">
        <v>5228.36</v>
      </c>
      <c r="Q902">
        <v>59.95</v>
      </c>
      <c r="R902">
        <v>287.13</v>
      </c>
      <c r="S902">
        <v>469</v>
      </c>
      <c r="T902">
        <v>182</v>
      </c>
      <c r="U902">
        <v>9</v>
      </c>
      <c r="V902">
        <v>68</v>
      </c>
      <c r="W902">
        <v>35</v>
      </c>
      <c r="X902">
        <v>30.73</v>
      </c>
      <c r="Y902">
        <v>1.88</v>
      </c>
      <c r="Z902">
        <v>68.05</v>
      </c>
      <c r="AA902">
        <v>2400</v>
      </c>
      <c r="AB902">
        <v>1246.58</v>
      </c>
      <c r="AC902">
        <v>376.09</v>
      </c>
      <c r="AD902">
        <v>110</v>
      </c>
      <c r="AE902">
        <v>195.38</v>
      </c>
      <c r="AF902">
        <v>4328.05</v>
      </c>
      <c r="AG902">
        <v>553.23</v>
      </c>
      <c r="AH902">
        <v>7.2</v>
      </c>
    </row>
    <row r="903" spans="1:34">
      <c r="A903" t="s">
        <v>1304</v>
      </c>
      <c r="B903" t="s">
        <v>262</v>
      </c>
      <c r="C903" t="b">
        <v>1</v>
      </c>
      <c r="D903" t="b">
        <v>0</v>
      </c>
      <c r="E903" t="s">
        <v>1472</v>
      </c>
      <c r="F903" t="s">
        <v>1474</v>
      </c>
      <c r="G903" t="s">
        <v>81</v>
      </c>
      <c r="H903">
        <v>34.3</v>
      </c>
      <c r="I903">
        <v>24</v>
      </c>
      <c r="J903">
        <v>182</v>
      </c>
      <c r="K903">
        <v>6506.02</v>
      </c>
      <c r="L903">
        <v>176.51</v>
      </c>
      <c r="M903">
        <v>20.87</v>
      </c>
      <c r="N903">
        <v>6308.64</v>
      </c>
      <c r="O903">
        <v>1986.59</v>
      </c>
      <c r="P903">
        <v>4322.05</v>
      </c>
      <c r="Q903">
        <v>47.71</v>
      </c>
      <c r="R903">
        <v>265.91</v>
      </c>
      <c r="S903">
        <v>381</v>
      </c>
      <c r="T903">
        <v>132</v>
      </c>
      <c r="U903">
        <v>10</v>
      </c>
      <c r="V903">
        <v>50</v>
      </c>
      <c r="W903">
        <v>37</v>
      </c>
      <c r="X903">
        <v>34.66</v>
      </c>
      <c r="Y903">
        <v>2.09</v>
      </c>
      <c r="Z903">
        <v>68.51000000000001</v>
      </c>
      <c r="AA903">
        <v>2400</v>
      </c>
      <c r="AB903">
        <v>1246.58</v>
      </c>
      <c r="AC903">
        <v>335.54</v>
      </c>
      <c r="AD903">
        <v>110</v>
      </c>
      <c r="AE903">
        <v>202.87</v>
      </c>
      <c r="AF903">
        <v>4294.99</v>
      </c>
      <c r="AG903">
        <v>-286.56</v>
      </c>
      <c r="AH903">
        <v>-4.54</v>
      </c>
    </row>
    <row r="904" spans="1:34">
      <c r="A904" t="s">
        <v>1305</v>
      </c>
      <c r="B904" t="s">
        <v>263</v>
      </c>
      <c r="C904" t="b">
        <v>1</v>
      </c>
      <c r="D904" t="b">
        <v>0</v>
      </c>
      <c r="E904" t="s">
        <v>1472</v>
      </c>
      <c r="F904" t="s">
        <v>1474</v>
      </c>
      <c r="G904" t="s">
        <v>81</v>
      </c>
      <c r="H904">
        <v>33.8</v>
      </c>
      <c r="I904">
        <v>25</v>
      </c>
      <c r="J904">
        <v>198</v>
      </c>
      <c r="K904">
        <v>7292.16</v>
      </c>
      <c r="L904">
        <v>252.16</v>
      </c>
      <c r="M904">
        <v>20.87</v>
      </c>
      <c r="N904">
        <v>7019.13</v>
      </c>
      <c r="O904">
        <v>2263.59</v>
      </c>
      <c r="P904">
        <v>4755.54</v>
      </c>
      <c r="Q904">
        <v>53.2</v>
      </c>
      <c r="R904">
        <v>347.26</v>
      </c>
      <c r="S904">
        <v>412</v>
      </c>
      <c r="T904">
        <v>149</v>
      </c>
      <c r="U904">
        <v>12</v>
      </c>
      <c r="V904">
        <v>49</v>
      </c>
      <c r="W904">
        <v>39</v>
      </c>
      <c r="X904">
        <v>35.45</v>
      </c>
      <c r="Y904">
        <v>2.08</v>
      </c>
      <c r="Z904">
        <v>67.75</v>
      </c>
      <c r="AA904">
        <v>2400</v>
      </c>
      <c r="AB904">
        <v>1246.58</v>
      </c>
      <c r="AC904">
        <v>322.61</v>
      </c>
      <c r="AD904">
        <v>110</v>
      </c>
      <c r="AE904">
        <v>182.58</v>
      </c>
      <c r="AF904">
        <v>4261.77</v>
      </c>
      <c r="AG904">
        <v>93.31</v>
      </c>
      <c r="AH904">
        <v>1.33</v>
      </c>
    </row>
    <row r="905" spans="1:34">
      <c r="A905" t="s">
        <v>494</v>
      </c>
      <c r="B905" t="s">
        <v>75</v>
      </c>
      <c r="C905" t="b">
        <v>0</v>
      </c>
      <c r="D905" t="b">
        <v>0</v>
      </c>
      <c r="E905" t="s">
        <v>1472</v>
      </c>
      <c r="F905" t="s">
        <v>1474</v>
      </c>
      <c r="G905" t="s">
        <v>1501</v>
      </c>
      <c r="H905">
        <v>34.5</v>
      </c>
      <c r="I905">
        <v>26</v>
      </c>
      <c r="J905">
        <v>218</v>
      </c>
      <c r="K905">
        <v>6315.56</v>
      </c>
      <c r="L905">
        <v>391.56</v>
      </c>
      <c r="M905">
        <v>28.91</v>
      </c>
      <c r="N905">
        <v>5895.09</v>
      </c>
      <c r="O905">
        <v>1940.3</v>
      </c>
      <c r="P905">
        <v>3954.79</v>
      </c>
      <c r="Q905">
        <v>42.79</v>
      </c>
      <c r="R905">
        <v>238.26</v>
      </c>
      <c r="S905">
        <v>372</v>
      </c>
      <c r="T905">
        <v>170</v>
      </c>
      <c r="U905">
        <v>14</v>
      </c>
      <c r="V905">
        <v>48</v>
      </c>
      <c r="W905">
        <v>32</v>
      </c>
      <c r="X905">
        <v>27.04</v>
      </c>
      <c r="Y905">
        <v>1.71</v>
      </c>
      <c r="Z905">
        <v>67.09</v>
      </c>
      <c r="AA905">
        <v>2400</v>
      </c>
      <c r="AB905">
        <v>1246.58</v>
      </c>
      <c r="AC905">
        <v>334.03</v>
      </c>
      <c r="AD905">
        <v>360</v>
      </c>
      <c r="AE905">
        <v>247.47</v>
      </c>
      <c r="AF905">
        <v>4588.08</v>
      </c>
      <c r="AG905">
        <v>-914.34</v>
      </c>
      <c r="AH905">
        <v>-15.51</v>
      </c>
    </row>
    <row r="906" spans="1:34">
      <c r="A906" t="s">
        <v>1306</v>
      </c>
      <c r="B906" t="s">
        <v>258</v>
      </c>
      <c r="C906" t="b">
        <v>0</v>
      </c>
      <c r="D906" t="b">
        <v>0</v>
      </c>
      <c r="E906" t="s">
        <v>1472</v>
      </c>
      <c r="F906" t="s">
        <v>1474</v>
      </c>
      <c r="G906" t="s">
        <v>1501</v>
      </c>
      <c r="H906">
        <v>36.9</v>
      </c>
      <c r="I906">
        <v>27</v>
      </c>
      <c r="J906">
        <v>222</v>
      </c>
      <c r="K906">
        <v>6899.07</v>
      </c>
      <c r="L906">
        <v>514.14</v>
      </c>
      <c r="M906">
        <v>20</v>
      </c>
      <c r="N906">
        <v>6364.93</v>
      </c>
      <c r="O906">
        <v>2084.73</v>
      </c>
      <c r="P906">
        <v>4280.2</v>
      </c>
      <c r="Q906">
        <v>44.54</v>
      </c>
      <c r="R906">
        <v>404.22</v>
      </c>
      <c r="S906">
        <v>407</v>
      </c>
      <c r="T906">
        <v>157</v>
      </c>
      <c r="U906">
        <v>8</v>
      </c>
      <c r="V906">
        <v>65</v>
      </c>
      <c r="W906">
        <v>51</v>
      </c>
      <c r="X906">
        <v>28.67</v>
      </c>
      <c r="Y906">
        <v>1.83</v>
      </c>
      <c r="Z906">
        <v>67.25</v>
      </c>
      <c r="AA906">
        <v>2400</v>
      </c>
      <c r="AB906">
        <v>1246.58</v>
      </c>
      <c r="AC906">
        <v>383.57</v>
      </c>
      <c r="AD906">
        <v>360</v>
      </c>
      <c r="AE906">
        <v>197.2</v>
      </c>
      <c r="AF906">
        <v>4587.35</v>
      </c>
      <c r="AG906">
        <v>-755.91</v>
      </c>
      <c r="AH906">
        <v>-11.88</v>
      </c>
    </row>
    <row r="907" spans="1:34">
      <c r="A907" t="s">
        <v>1307</v>
      </c>
      <c r="B907" t="s">
        <v>259</v>
      </c>
      <c r="C907" t="b">
        <v>0</v>
      </c>
      <c r="D907" t="b">
        <v>0</v>
      </c>
      <c r="E907" t="s">
        <v>1472</v>
      </c>
      <c r="F907" t="s">
        <v>1474</v>
      </c>
      <c r="G907" t="s">
        <v>1501</v>
      </c>
      <c r="H907">
        <v>38.2</v>
      </c>
      <c r="I907">
        <v>28</v>
      </c>
      <c r="J907">
        <v>247</v>
      </c>
      <c r="K907">
        <v>7257.3</v>
      </c>
      <c r="L907">
        <v>426.11</v>
      </c>
      <c r="M907">
        <v>46.09</v>
      </c>
      <c r="N907">
        <v>6785.1</v>
      </c>
      <c r="O907">
        <v>2217.79</v>
      </c>
      <c r="P907">
        <v>4567.31</v>
      </c>
      <c r="Q907">
        <v>46.01</v>
      </c>
      <c r="R907">
        <v>349.55</v>
      </c>
      <c r="S907">
        <v>436</v>
      </c>
      <c r="T907">
        <v>194</v>
      </c>
      <c r="U907">
        <v>13</v>
      </c>
      <c r="V907">
        <v>53</v>
      </c>
      <c r="W907">
        <v>49</v>
      </c>
      <c r="X907">
        <v>27.47</v>
      </c>
      <c r="Y907">
        <v>1.77</v>
      </c>
      <c r="Z907">
        <v>67.31</v>
      </c>
      <c r="AA907">
        <v>2400</v>
      </c>
      <c r="AB907">
        <v>1246.58</v>
      </c>
      <c r="AC907">
        <v>355.37</v>
      </c>
      <c r="AD907">
        <v>360</v>
      </c>
      <c r="AE907">
        <v>209</v>
      </c>
      <c r="AF907">
        <v>4570.95</v>
      </c>
      <c r="AG907">
        <v>-399.2</v>
      </c>
      <c r="AH907">
        <v>-5.88</v>
      </c>
    </row>
    <row r="908" spans="1:34">
      <c r="A908" t="s">
        <v>1308</v>
      </c>
      <c r="B908" t="s">
        <v>260</v>
      </c>
      <c r="C908" t="b">
        <v>0</v>
      </c>
      <c r="D908" t="b">
        <v>0</v>
      </c>
      <c r="E908" t="s">
        <v>1472</v>
      </c>
      <c r="F908" t="s">
        <v>1474</v>
      </c>
      <c r="G908" t="s">
        <v>1501</v>
      </c>
      <c r="H908">
        <v>39.2</v>
      </c>
      <c r="I908">
        <v>29</v>
      </c>
      <c r="J908">
        <v>224</v>
      </c>
      <c r="K908">
        <v>6805.96</v>
      </c>
      <c r="L908">
        <v>622.1900000000001</v>
      </c>
      <c r="M908">
        <v>33.04</v>
      </c>
      <c r="N908">
        <v>6150.73</v>
      </c>
      <c r="O908">
        <v>2081.16</v>
      </c>
      <c r="P908">
        <v>4069.57</v>
      </c>
      <c r="Q908">
        <v>46.61</v>
      </c>
      <c r="R908">
        <v>288.38</v>
      </c>
      <c r="S908">
        <v>384</v>
      </c>
      <c r="T908">
        <v>180</v>
      </c>
      <c r="U908">
        <v>8</v>
      </c>
      <c r="V908">
        <v>44</v>
      </c>
      <c r="W908">
        <v>40</v>
      </c>
      <c r="X908">
        <v>27.46</v>
      </c>
      <c r="Y908">
        <v>1.71</v>
      </c>
      <c r="Z908">
        <v>66.16</v>
      </c>
      <c r="AA908">
        <v>2400</v>
      </c>
      <c r="AB908">
        <v>1246.58</v>
      </c>
      <c r="AC908">
        <v>402</v>
      </c>
      <c r="AD908">
        <v>360</v>
      </c>
      <c r="AE908">
        <v>184.65</v>
      </c>
      <c r="AF908">
        <v>4593.23</v>
      </c>
      <c r="AG908">
        <v>-858.65</v>
      </c>
      <c r="AH908">
        <v>-13.96</v>
      </c>
    </row>
    <row r="909" spans="1:34">
      <c r="A909" t="s">
        <v>1309</v>
      </c>
      <c r="B909" t="s">
        <v>261</v>
      </c>
      <c r="C909" t="b">
        <v>0</v>
      </c>
      <c r="D909" t="b">
        <v>0</v>
      </c>
      <c r="E909" t="s">
        <v>1472</v>
      </c>
      <c r="F909" t="s">
        <v>1474</v>
      </c>
      <c r="G909" t="s">
        <v>1500</v>
      </c>
      <c r="H909">
        <v>39</v>
      </c>
      <c r="I909">
        <v>0</v>
      </c>
      <c r="J909">
        <v>329</v>
      </c>
      <c r="K909">
        <v>11940.74</v>
      </c>
      <c r="L909">
        <v>617.02</v>
      </c>
      <c r="M909">
        <v>0</v>
      </c>
      <c r="N909">
        <v>11323.72</v>
      </c>
      <c r="O909">
        <v>3663.73</v>
      </c>
      <c r="P909">
        <v>7659.99</v>
      </c>
      <c r="Q909">
        <v>84.67</v>
      </c>
      <c r="R909">
        <v>536.3</v>
      </c>
      <c r="S909">
        <v>679</v>
      </c>
      <c r="T909">
        <v>242</v>
      </c>
      <c r="U909">
        <v>15</v>
      </c>
      <c r="V909">
        <v>87</v>
      </c>
      <c r="W909">
        <v>58</v>
      </c>
      <c r="X909">
        <v>34.42</v>
      </c>
      <c r="Y909">
        <v>2.06</v>
      </c>
      <c r="Z909">
        <v>67.65000000000001</v>
      </c>
      <c r="AA909">
        <v>2400</v>
      </c>
      <c r="AB909">
        <v>1246.58</v>
      </c>
      <c r="AC909">
        <v>386.1</v>
      </c>
      <c r="AD909">
        <v>360</v>
      </c>
      <c r="AE909">
        <v>158.08</v>
      </c>
      <c r="AF909">
        <v>4550.76</v>
      </c>
      <c r="AG909">
        <v>2488.26</v>
      </c>
      <c r="AH909">
        <v>21.97</v>
      </c>
    </row>
    <row r="910" spans="1:34">
      <c r="A910" t="s">
        <v>1310</v>
      </c>
      <c r="B910" t="s">
        <v>262</v>
      </c>
      <c r="C910" t="b">
        <v>1</v>
      </c>
      <c r="D910" t="b">
        <v>0</v>
      </c>
      <c r="E910" t="s">
        <v>1472</v>
      </c>
      <c r="F910" t="s">
        <v>1476</v>
      </c>
      <c r="G910" t="s">
        <v>1477</v>
      </c>
      <c r="H910">
        <v>37.5</v>
      </c>
      <c r="I910">
        <v>1</v>
      </c>
      <c r="J910">
        <v>219</v>
      </c>
      <c r="K910">
        <v>9463.41</v>
      </c>
      <c r="L910">
        <v>215.64</v>
      </c>
      <c r="M910">
        <v>20.87</v>
      </c>
      <c r="N910">
        <v>9226.9</v>
      </c>
      <c r="O910">
        <v>2967.11</v>
      </c>
      <c r="P910">
        <v>6259.79</v>
      </c>
      <c r="Q910">
        <v>56.81</v>
      </c>
      <c r="R910">
        <v>637.17</v>
      </c>
      <c r="S910">
        <v>526</v>
      </c>
      <c r="T910">
        <v>172</v>
      </c>
      <c r="U910">
        <v>10</v>
      </c>
      <c r="V910">
        <v>47</v>
      </c>
      <c r="W910">
        <v>67</v>
      </c>
      <c r="X910">
        <v>42.13</v>
      </c>
      <c r="Y910">
        <v>2.4</v>
      </c>
      <c r="Z910">
        <v>67.84</v>
      </c>
      <c r="AA910">
        <v>2400</v>
      </c>
      <c r="AB910">
        <v>1246.58</v>
      </c>
      <c r="AC910">
        <v>373.07</v>
      </c>
      <c r="AD910">
        <v>110</v>
      </c>
      <c r="AE910">
        <v>183.34</v>
      </c>
      <c r="AF910">
        <v>4312.99</v>
      </c>
      <c r="AG910">
        <v>1252.82</v>
      </c>
      <c r="AH910">
        <v>13.58</v>
      </c>
    </row>
    <row r="911" spans="1:34">
      <c r="A911" t="s">
        <v>1311</v>
      </c>
      <c r="B911" t="s">
        <v>263</v>
      </c>
      <c r="C911" t="b">
        <v>1</v>
      </c>
      <c r="D911" t="b">
        <v>0</v>
      </c>
      <c r="E911" t="s">
        <v>1472</v>
      </c>
      <c r="F911" t="s">
        <v>1476</v>
      </c>
      <c r="G911" t="s">
        <v>1477</v>
      </c>
      <c r="H911">
        <v>37.7</v>
      </c>
      <c r="I911">
        <v>2</v>
      </c>
      <c r="J911">
        <v>183</v>
      </c>
      <c r="K911">
        <v>7636.49</v>
      </c>
      <c r="L911">
        <v>243.47</v>
      </c>
      <c r="M911">
        <v>25.21</v>
      </c>
      <c r="N911">
        <v>7367.81</v>
      </c>
      <c r="O911">
        <v>2398.56</v>
      </c>
      <c r="P911">
        <v>4969.25</v>
      </c>
      <c r="Q911">
        <v>43.25</v>
      </c>
      <c r="R911">
        <v>573.89</v>
      </c>
      <c r="S911">
        <v>426</v>
      </c>
      <c r="T911">
        <v>144</v>
      </c>
      <c r="U911">
        <v>10</v>
      </c>
      <c r="V911">
        <v>39</v>
      </c>
      <c r="W911">
        <v>58</v>
      </c>
      <c r="X911">
        <v>40.26</v>
      </c>
      <c r="Y911">
        <v>2.33</v>
      </c>
      <c r="Z911">
        <v>67.45</v>
      </c>
      <c r="AA911">
        <v>2400</v>
      </c>
      <c r="AB911">
        <v>1246.58</v>
      </c>
      <c r="AC911">
        <v>367.01</v>
      </c>
      <c r="AD911">
        <v>110</v>
      </c>
      <c r="AE911">
        <v>183.73</v>
      </c>
      <c r="AF911">
        <v>4307.32</v>
      </c>
      <c r="AG911">
        <v>44.79</v>
      </c>
      <c r="AH911">
        <v>0.61</v>
      </c>
    </row>
    <row r="912" spans="1:34">
      <c r="A912" t="s">
        <v>495</v>
      </c>
      <c r="B912" t="s">
        <v>75</v>
      </c>
      <c r="C912" t="b">
        <v>0</v>
      </c>
      <c r="D912" t="b">
        <v>0</v>
      </c>
      <c r="E912" t="s">
        <v>1472</v>
      </c>
      <c r="F912" t="s">
        <v>1476</v>
      </c>
      <c r="G912" t="s">
        <v>1500</v>
      </c>
      <c r="H912">
        <v>38.4</v>
      </c>
      <c r="I912">
        <v>3</v>
      </c>
      <c r="J912">
        <v>180</v>
      </c>
      <c r="K912">
        <v>5615.63</v>
      </c>
      <c r="L912">
        <v>288.94</v>
      </c>
      <c r="M912">
        <v>33.7</v>
      </c>
      <c r="N912">
        <v>5292.99</v>
      </c>
      <c r="O912">
        <v>1746.8</v>
      </c>
      <c r="P912">
        <v>3546.19</v>
      </c>
      <c r="Q912">
        <v>39.02</v>
      </c>
      <c r="R912">
        <v>259.76</v>
      </c>
      <c r="S912">
        <v>323</v>
      </c>
      <c r="T912">
        <v>136</v>
      </c>
      <c r="U912">
        <v>7</v>
      </c>
      <c r="V912">
        <v>44</v>
      </c>
      <c r="W912">
        <v>30</v>
      </c>
      <c r="X912">
        <v>29.41</v>
      </c>
      <c r="Y912">
        <v>1.79</v>
      </c>
      <c r="Z912">
        <v>67</v>
      </c>
      <c r="AA912">
        <v>2400</v>
      </c>
      <c r="AB912">
        <v>1246.58</v>
      </c>
      <c r="AC912">
        <v>401.36</v>
      </c>
      <c r="AD912">
        <v>360</v>
      </c>
      <c r="AE912">
        <v>160.51</v>
      </c>
      <c r="AF912">
        <v>4568.45</v>
      </c>
      <c r="AG912">
        <v>-1321.04</v>
      </c>
      <c r="AH912">
        <v>-24.96</v>
      </c>
    </row>
    <row r="913" spans="1:34">
      <c r="A913" t="s">
        <v>1312</v>
      </c>
      <c r="B913" t="s">
        <v>258</v>
      </c>
      <c r="C913" t="b">
        <v>0</v>
      </c>
      <c r="D913" t="b">
        <v>0</v>
      </c>
      <c r="E913" t="s">
        <v>1472</v>
      </c>
      <c r="F913" t="s">
        <v>1476</v>
      </c>
      <c r="G913" t="s">
        <v>1500</v>
      </c>
      <c r="H913">
        <v>36.5</v>
      </c>
      <c r="I913">
        <v>4</v>
      </c>
      <c r="J913">
        <v>161</v>
      </c>
      <c r="K913">
        <v>5282.53</v>
      </c>
      <c r="L913">
        <v>345.66</v>
      </c>
      <c r="M913">
        <v>0</v>
      </c>
      <c r="N913">
        <v>4936.87</v>
      </c>
      <c r="O913">
        <v>1633.56</v>
      </c>
      <c r="P913">
        <v>3303.31</v>
      </c>
      <c r="Q913">
        <v>32.42</v>
      </c>
      <c r="R913">
        <v>277.55</v>
      </c>
      <c r="S913">
        <v>301</v>
      </c>
      <c r="T913">
        <v>123</v>
      </c>
      <c r="U913">
        <v>6</v>
      </c>
      <c r="V913">
        <v>38</v>
      </c>
      <c r="W913">
        <v>38</v>
      </c>
      <c r="X913">
        <v>30.66</v>
      </c>
      <c r="Y913">
        <v>1.87</v>
      </c>
      <c r="Z913">
        <v>66.91</v>
      </c>
      <c r="AA913">
        <v>2400</v>
      </c>
      <c r="AB913">
        <v>1246.58</v>
      </c>
      <c r="AC913">
        <v>372.66</v>
      </c>
      <c r="AD913">
        <v>360</v>
      </c>
      <c r="AE913">
        <v>216.22</v>
      </c>
      <c r="AF913">
        <v>4595.46</v>
      </c>
      <c r="AG913">
        <v>-1602.12</v>
      </c>
      <c r="AH913">
        <v>-32.45</v>
      </c>
    </row>
    <row r="914" spans="1:34">
      <c r="A914" t="s">
        <v>1313</v>
      </c>
      <c r="B914" t="s">
        <v>259</v>
      </c>
      <c r="C914" t="b">
        <v>0</v>
      </c>
      <c r="D914" t="b">
        <v>0</v>
      </c>
      <c r="E914" t="s">
        <v>1472</v>
      </c>
      <c r="F914" t="s">
        <v>1476</v>
      </c>
      <c r="G914" t="s">
        <v>1501</v>
      </c>
      <c r="H914">
        <v>35.2</v>
      </c>
      <c r="I914">
        <v>5</v>
      </c>
      <c r="J914">
        <v>212</v>
      </c>
      <c r="K914">
        <v>6608.6</v>
      </c>
      <c r="L914">
        <v>398.51</v>
      </c>
      <c r="M914">
        <v>59.78</v>
      </c>
      <c r="N914">
        <v>6150.31</v>
      </c>
      <c r="O914">
        <v>2021.07</v>
      </c>
      <c r="P914">
        <v>4129.24</v>
      </c>
      <c r="Q914">
        <v>40.54</v>
      </c>
      <c r="R914">
        <v>365.45</v>
      </c>
      <c r="S914">
        <v>387</v>
      </c>
      <c r="T914">
        <v>159</v>
      </c>
      <c r="U914">
        <v>10</v>
      </c>
      <c r="V914">
        <v>53</v>
      </c>
      <c r="W914">
        <v>46</v>
      </c>
      <c r="X914">
        <v>29.01</v>
      </c>
      <c r="Y914">
        <v>1.83</v>
      </c>
      <c r="Z914">
        <v>67.14</v>
      </c>
      <c r="AA914">
        <v>2322.58</v>
      </c>
      <c r="AB914">
        <v>1246.58</v>
      </c>
      <c r="AC914">
        <v>353.16</v>
      </c>
      <c r="AD914">
        <v>360</v>
      </c>
      <c r="AE914">
        <v>211.47</v>
      </c>
      <c r="AF914">
        <v>4493.79</v>
      </c>
      <c r="AG914">
        <v>-770.54</v>
      </c>
      <c r="AH914">
        <v>-12.53</v>
      </c>
    </row>
    <row r="915" spans="1:34">
      <c r="A915" t="s">
        <v>1314</v>
      </c>
      <c r="B915" t="s">
        <v>260</v>
      </c>
      <c r="C915" t="b">
        <v>0</v>
      </c>
      <c r="D915" t="b">
        <v>0</v>
      </c>
      <c r="E915" t="s">
        <v>1472</v>
      </c>
      <c r="F915" t="s">
        <v>1476</v>
      </c>
      <c r="G915" t="s">
        <v>1501</v>
      </c>
      <c r="H915">
        <v>37.5</v>
      </c>
      <c r="I915">
        <v>6</v>
      </c>
      <c r="J915">
        <v>226</v>
      </c>
      <c r="K915">
        <v>7234.7</v>
      </c>
      <c r="L915">
        <v>519.13</v>
      </c>
      <c r="M915">
        <v>24.35</v>
      </c>
      <c r="N915">
        <v>6691.22</v>
      </c>
      <c r="O915">
        <v>2230.9</v>
      </c>
      <c r="P915">
        <v>4460.32</v>
      </c>
      <c r="Q915">
        <v>44.31</v>
      </c>
      <c r="R915">
        <v>399.57</v>
      </c>
      <c r="S915">
        <v>410</v>
      </c>
      <c r="T915">
        <v>185</v>
      </c>
      <c r="U915">
        <v>10</v>
      </c>
      <c r="V915">
        <v>41</v>
      </c>
      <c r="W915">
        <v>52</v>
      </c>
      <c r="X915">
        <v>29.61</v>
      </c>
      <c r="Y915">
        <v>1.81</v>
      </c>
      <c r="Z915">
        <v>66.66</v>
      </c>
      <c r="AA915">
        <v>2322.58</v>
      </c>
      <c r="AB915">
        <v>1246.58</v>
      </c>
      <c r="AC915">
        <v>388.79</v>
      </c>
      <c r="AD915">
        <v>360</v>
      </c>
      <c r="AE915">
        <v>180.67</v>
      </c>
      <c r="AF915">
        <v>4498.62</v>
      </c>
      <c r="AG915">
        <v>-482.18</v>
      </c>
      <c r="AH915">
        <v>-7.21</v>
      </c>
    </row>
    <row r="916" spans="1:34">
      <c r="A916" t="s">
        <v>1315</v>
      </c>
      <c r="B916" t="s">
        <v>261</v>
      </c>
      <c r="C916" t="b">
        <v>0</v>
      </c>
      <c r="D916" t="b">
        <v>0</v>
      </c>
      <c r="E916" t="s">
        <v>1472</v>
      </c>
      <c r="F916" t="s">
        <v>1476</v>
      </c>
      <c r="G916" t="s">
        <v>1501</v>
      </c>
      <c r="H916">
        <v>37.2</v>
      </c>
      <c r="I916">
        <v>7</v>
      </c>
      <c r="J916">
        <v>273</v>
      </c>
      <c r="K916">
        <v>9840.74</v>
      </c>
      <c r="L916">
        <v>570.4299999999999</v>
      </c>
      <c r="M916">
        <v>31.31</v>
      </c>
      <c r="N916">
        <v>9239</v>
      </c>
      <c r="O916">
        <v>3001.48</v>
      </c>
      <c r="P916">
        <v>6237.52</v>
      </c>
      <c r="Q916">
        <v>66.09999999999999</v>
      </c>
      <c r="R916">
        <v>471.46</v>
      </c>
      <c r="S916">
        <v>557</v>
      </c>
      <c r="T916">
        <v>213</v>
      </c>
      <c r="U916">
        <v>19</v>
      </c>
      <c r="V916">
        <v>60</v>
      </c>
      <c r="W916">
        <v>53</v>
      </c>
      <c r="X916">
        <v>33.84</v>
      </c>
      <c r="Y916">
        <v>2.04</v>
      </c>
      <c r="Z916">
        <v>67.51000000000001</v>
      </c>
      <c r="AA916">
        <v>2322.58</v>
      </c>
      <c r="AB916">
        <v>1246.58</v>
      </c>
      <c r="AC916">
        <v>376.79</v>
      </c>
      <c r="AD916">
        <v>360</v>
      </c>
      <c r="AE916">
        <v>161.64</v>
      </c>
      <c r="AF916">
        <v>4467.59</v>
      </c>
      <c r="AG916">
        <v>1232.37</v>
      </c>
      <c r="AH916">
        <v>13.34</v>
      </c>
    </row>
    <row r="917" spans="1:34">
      <c r="A917" t="s">
        <v>1316</v>
      </c>
      <c r="B917" t="s">
        <v>262</v>
      </c>
      <c r="C917" t="b">
        <v>1</v>
      </c>
      <c r="D917" t="b">
        <v>0</v>
      </c>
      <c r="E917" t="s">
        <v>1472</v>
      </c>
      <c r="F917" t="s">
        <v>1476</v>
      </c>
      <c r="G917" t="s">
        <v>81</v>
      </c>
      <c r="H917">
        <v>36.2</v>
      </c>
      <c r="I917">
        <v>8</v>
      </c>
      <c r="J917">
        <v>189</v>
      </c>
      <c r="K917">
        <v>7506.06</v>
      </c>
      <c r="L917">
        <v>221.73</v>
      </c>
      <c r="M917">
        <v>13.91</v>
      </c>
      <c r="N917">
        <v>7270.42</v>
      </c>
      <c r="O917">
        <v>2314.72</v>
      </c>
      <c r="P917">
        <v>4955.7</v>
      </c>
      <c r="Q917">
        <v>51.22</v>
      </c>
      <c r="R917">
        <v>358.58</v>
      </c>
      <c r="S917">
        <v>424</v>
      </c>
      <c r="T917">
        <v>139</v>
      </c>
      <c r="U917">
        <v>10</v>
      </c>
      <c r="V917">
        <v>50</v>
      </c>
      <c r="W917">
        <v>46</v>
      </c>
      <c r="X917">
        <v>38.47</v>
      </c>
      <c r="Y917">
        <v>2.24</v>
      </c>
      <c r="Z917">
        <v>68.16</v>
      </c>
      <c r="AA917">
        <v>2322.58</v>
      </c>
      <c r="AB917">
        <v>1246.58</v>
      </c>
      <c r="AC917">
        <v>378.73</v>
      </c>
      <c r="AD917">
        <v>110</v>
      </c>
      <c r="AE917">
        <v>185.74</v>
      </c>
      <c r="AF917">
        <v>4243.63</v>
      </c>
      <c r="AG917">
        <v>302.27</v>
      </c>
      <c r="AH917">
        <v>4.16</v>
      </c>
    </row>
    <row r="918" spans="1:34">
      <c r="A918" t="s">
        <v>1317</v>
      </c>
      <c r="B918" t="s">
        <v>263</v>
      </c>
      <c r="C918" t="b">
        <v>1</v>
      </c>
      <c r="D918" t="b">
        <v>0</v>
      </c>
      <c r="E918" t="s">
        <v>1472</v>
      </c>
      <c r="F918" t="s">
        <v>1476</v>
      </c>
      <c r="G918" t="s">
        <v>81</v>
      </c>
      <c r="H918">
        <v>36</v>
      </c>
      <c r="I918">
        <v>9</v>
      </c>
      <c r="J918">
        <v>200</v>
      </c>
      <c r="K918">
        <v>8608.66</v>
      </c>
      <c r="L918">
        <v>241.72</v>
      </c>
      <c r="M918">
        <v>7.83</v>
      </c>
      <c r="N918">
        <v>8359.110000000001</v>
      </c>
      <c r="O918">
        <v>2645.67</v>
      </c>
      <c r="P918">
        <v>5713.44</v>
      </c>
      <c r="Q918">
        <v>57.97</v>
      </c>
      <c r="R918">
        <v>544.11</v>
      </c>
      <c r="S918">
        <v>491</v>
      </c>
      <c r="T918">
        <v>157</v>
      </c>
      <c r="U918">
        <v>11</v>
      </c>
      <c r="V918">
        <v>43</v>
      </c>
      <c r="W918">
        <v>54</v>
      </c>
      <c r="X918">
        <v>41.8</v>
      </c>
      <c r="Y918">
        <v>2.46</v>
      </c>
      <c r="Z918">
        <v>68.34999999999999</v>
      </c>
      <c r="AA918">
        <v>2322.58</v>
      </c>
      <c r="AB918">
        <v>1246.58</v>
      </c>
      <c r="AC918">
        <v>375.08</v>
      </c>
      <c r="AD918">
        <v>110</v>
      </c>
      <c r="AE918">
        <v>179.39</v>
      </c>
      <c r="AF918">
        <v>4233.63</v>
      </c>
      <c r="AG918">
        <v>877.73</v>
      </c>
      <c r="AH918">
        <v>10.5</v>
      </c>
    </row>
    <row r="919" spans="1:34">
      <c r="A919" t="s">
        <v>496</v>
      </c>
      <c r="B919" t="s">
        <v>75</v>
      </c>
      <c r="C919" t="b">
        <v>0</v>
      </c>
      <c r="D919" t="b">
        <v>0</v>
      </c>
      <c r="E919" t="s">
        <v>1472</v>
      </c>
      <c r="F919" t="s">
        <v>1476</v>
      </c>
      <c r="G919" t="s">
        <v>1501</v>
      </c>
      <c r="H919">
        <v>36.3</v>
      </c>
      <c r="I919">
        <v>10</v>
      </c>
      <c r="J919">
        <v>184</v>
      </c>
      <c r="K919">
        <v>5907.73</v>
      </c>
      <c r="L919">
        <v>341.52</v>
      </c>
      <c r="M919">
        <v>36.3</v>
      </c>
      <c r="N919">
        <v>5529.91</v>
      </c>
      <c r="O919">
        <v>1813.65</v>
      </c>
      <c r="P919">
        <v>3716.26</v>
      </c>
      <c r="Q919">
        <v>39.15</v>
      </c>
      <c r="R919">
        <v>316.98</v>
      </c>
      <c r="S919">
        <v>339</v>
      </c>
      <c r="T919">
        <v>138</v>
      </c>
      <c r="U919">
        <v>8</v>
      </c>
      <c r="V919">
        <v>46</v>
      </c>
      <c r="W919">
        <v>43</v>
      </c>
      <c r="X919">
        <v>30.05</v>
      </c>
      <c r="Y919">
        <v>1.84</v>
      </c>
      <c r="Z919">
        <v>67.2</v>
      </c>
      <c r="AA919">
        <v>2322.58</v>
      </c>
      <c r="AB919">
        <v>1246.58</v>
      </c>
      <c r="AC919">
        <v>377.79</v>
      </c>
      <c r="AD919">
        <v>360</v>
      </c>
      <c r="AE919">
        <v>171.61</v>
      </c>
      <c r="AF919">
        <v>4478.56</v>
      </c>
      <c r="AG919">
        <v>-1118.43</v>
      </c>
      <c r="AH919">
        <v>-20.23</v>
      </c>
    </row>
    <row r="920" spans="1:34">
      <c r="A920" t="s">
        <v>1318</v>
      </c>
      <c r="B920" t="s">
        <v>258</v>
      </c>
      <c r="C920" t="b">
        <v>0</v>
      </c>
      <c r="D920" t="b">
        <v>0</v>
      </c>
      <c r="E920" t="s">
        <v>1472</v>
      </c>
      <c r="F920" t="s">
        <v>1476</v>
      </c>
      <c r="G920" t="s">
        <v>1501</v>
      </c>
      <c r="H920">
        <v>36.1</v>
      </c>
      <c r="I920">
        <v>11</v>
      </c>
      <c r="J920">
        <v>180</v>
      </c>
      <c r="K920">
        <v>6011.22</v>
      </c>
      <c r="L920">
        <v>358.11</v>
      </c>
      <c r="M920">
        <v>46.96</v>
      </c>
      <c r="N920">
        <v>5606.15</v>
      </c>
      <c r="O920">
        <v>1871.65</v>
      </c>
      <c r="P920">
        <v>3734.5</v>
      </c>
      <c r="Q920">
        <v>38.23</v>
      </c>
      <c r="R920">
        <v>354.83</v>
      </c>
      <c r="S920">
        <v>355</v>
      </c>
      <c r="T920">
        <v>134</v>
      </c>
      <c r="U920">
        <v>7</v>
      </c>
      <c r="V920">
        <v>46</v>
      </c>
      <c r="W920">
        <v>41</v>
      </c>
      <c r="X920">
        <v>31.15</v>
      </c>
      <c r="Y920">
        <v>1.97</v>
      </c>
      <c r="Z920">
        <v>66.61</v>
      </c>
      <c r="AA920">
        <v>2322.58</v>
      </c>
      <c r="AB920">
        <v>1246.58</v>
      </c>
      <c r="AC920">
        <v>359.04</v>
      </c>
      <c r="AD920">
        <v>360</v>
      </c>
      <c r="AE920">
        <v>217.35</v>
      </c>
      <c r="AF920">
        <v>4505.55</v>
      </c>
      <c r="AG920">
        <v>-1164.11</v>
      </c>
      <c r="AH920">
        <v>-20.76</v>
      </c>
    </row>
    <row r="921" spans="1:34">
      <c r="A921" t="s">
        <v>1319</v>
      </c>
      <c r="B921" t="s">
        <v>259</v>
      </c>
      <c r="C921" t="b">
        <v>0</v>
      </c>
      <c r="D921" t="b">
        <v>0</v>
      </c>
      <c r="E921" t="s">
        <v>1472</v>
      </c>
      <c r="F921" t="s">
        <v>1476</v>
      </c>
      <c r="G921" t="s">
        <v>1501</v>
      </c>
      <c r="H921">
        <v>36.6</v>
      </c>
      <c r="I921">
        <v>12</v>
      </c>
      <c r="J921">
        <v>155</v>
      </c>
      <c r="K921">
        <v>4731.26</v>
      </c>
      <c r="L921">
        <v>279.34</v>
      </c>
      <c r="M921">
        <v>0</v>
      </c>
      <c r="N921">
        <v>4451.92</v>
      </c>
      <c r="O921">
        <v>1437.63</v>
      </c>
      <c r="P921">
        <v>3014.29</v>
      </c>
      <c r="Q921">
        <v>35.91</v>
      </c>
      <c r="R921">
        <v>161.93</v>
      </c>
      <c r="S921">
        <v>270</v>
      </c>
      <c r="T921">
        <v>118</v>
      </c>
      <c r="U921">
        <v>11</v>
      </c>
      <c r="V921">
        <v>37</v>
      </c>
      <c r="W921">
        <v>23</v>
      </c>
      <c r="X921">
        <v>28.72</v>
      </c>
      <c r="Y921">
        <v>1.74</v>
      </c>
      <c r="Z921">
        <v>67.70999999999999</v>
      </c>
      <c r="AA921">
        <v>2322.58</v>
      </c>
      <c r="AB921">
        <v>1246.58</v>
      </c>
      <c r="AC921">
        <v>380.8</v>
      </c>
      <c r="AD921">
        <v>360</v>
      </c>
      <c r="AE921">
        <v>151.2</v>
      </c>
      <c r="AF921">
        <v>4461.16</v>
      </c>
      <c r="AG921">
        <v>-1644.71</v>
      </c>
      <c r="AH921">
        <v>-36.94</v>
      </c>
    </row>
    <row r="922" spans="1:34">
      <c r="A922" t="s">
        <v>1320</v>
      </c>
      <c r="B922" t="s">
        <v>260</v>
      </c>
      <c r="C922" t="b">
        <v>0</v>
      </c>
      <c r="D922" t="b">
        <v>0</v>
      </c>
      <c r="E922" t="s">
        <v>1472</v>
      </c>
      <c r="F922" t="s">
        <v>1476</v>
      </c>
      <c r="G922" t="s">
        <v>1501</v>
      </c>
      <c r="H922">
        <v>37.7</v>
      </c>
      <c r="I922">
        <v>13</v>
      </c>
      <c r="J922">
        <v>179</v>
      </c>
      <c r="K922">
        <v>5885.12</v>
      </c>
      <c r="L922">
        <v>300.21</v>
      </c>
      <c r="M922">
        <v>20</v>
      </c>
      <c r="N922">
        <v>5564.91</v>
      </c>
      <c r="O922">
        <v>1772.71</v>
      </c>
      <c r="P922">
        <v>3792.2</v>
      </c>
      <c r="Q922">
        <v>42.54</v>
      </c>
      <c r="R922">
        <v>275.82</v>
      </c>
      <c r="S922">
        <v>340</v>
      </c>
      <c r="T922">
        <v>138</v>
      </c>
      <c r="U922">
        <v>6</v>
      </c>
      <c r="V922">
        <v>41</v>
      </c>
      <c r="W922">
        <v>33</v>
      </c>
      <c r="X922">
        <v>31.09</v>
      </c>
      <c r="Y922">
        <v>1.9</v>
      </c>
      <c r="Z922">
        <v>68.14</v>
      </c>
      <c r="AA922">
        <v>2322.58</v>
      </c>
      <c r="AB922">
        <v>1246.58</v>
      </c>
      <c r="AC922">
        <v>381.53</v>
      </c>
      <c r="AD922">
        <v>360</v>
      </c>
      <c r="AE922">
        <v>228.11</v>
      </c>
      <c r="AF922">
        <v>4538.8</v>
      </c>
      <c r="AG922">
        <v>-1064.96</v>
      </c>
      <c r="AH922">
        <v>-19.14</v>
      </c>
    </row>
    <row r="923" spans="1:34">
      <c r="A923" t="s">
        <v>1321</v>
      </c>
      <c r="B923" t="s">
        <v>261</v>
      </c>
      <c r="C923" t="b">
        <v>0</v>
      </c>
      <c r="D923" t="b">
        <v>0</v>
      </c>
      <c r="E923" t="s">
        <v>1472</v>
      </c>
      <c r="F923" t="s">
        <v>1476</v>
      </c>
      <c r="G923" t="s">
        <v>1501</v>
      </c>
      <c r="H923">
        <v>37.2</v>
      </c>
      <c r="I923">
        <v>14</v>
      </c>
      <c r="J923">
        <v>226</v>
      </c>
      <c r="K923">
        <v>7789.49</v>
      </c>
      <c r="L923">
        <v>528.24</v>
      </c>
      <c r="M923">
        <v>60.22</v>
      </c>
      <c r="N923">
        <v>7201.03</v>
      </c>
      <c r="O923">
        <v>2446.48</v>
      </c>
      <c r="P923">
        <v>4754.55</v>
      </c>
      <c r="Q923">
        <v>45.09</v>
      </c>
      <c r="R923">
        <v>442.59</v>
      </c>
      <c r="S923">
        <v>445</v>
      </c>
      <c r="T923">
        <v>180</v>
      </c>
      <c r="U923">
        <v>10</v>
      </c>
      <c r="V923">
        <v>46</v>
      </c>
      <c r="W923">
        <v>53</v>
      </c>
      <c r="X923">
        <v>31.86</v>
      </c>
      <c r="Y923">
        <v>1.97</v>
      </c>
      <c r="Z923">
        <v>66.03</v>
      </c>
      <c r="AA923">
        <v>2322.58</v>
      </c>
      <c r="AB923">
        <v>1246.58</v>
      </c>
      <c r="AC923">
        <v>392.39</v>
      </c>
      <c r="AD923">
        <v>360</v>
      </c>
      <c r="AE923">
        <v>199.26</v>
      </c>
      <c r="AF923">
        <v>4520.81</v>
      </c>
      <c r="AG923">
        <v>-253.94</v>
      </c>
      <c r="AH923">
        <v>-3.53</v>
      </c>
    </row>
    <row r="924" spans="1:34">
      <c r="A924" t="s">
        <v>1322</v>
      </c>
      <c r="B924" t="s">
        <v>262</v>
      </c>
      <c r="C924" t="b">
        <v>1</v>
      </c>
      <c r="D924" t="b">
        <v>0</v>
      </c>
      <c r="E924" t="s">
        <v>1472</v>
      </c>
      <c r="F924" t="s">
        <v>1476</v>
      </c>
      <c r="G924" t="s">
        <v>81</v>
      </c>
      <c r="H924">
        <v>35.7</v>
      </c>
      <c r="I924">
        <v>15</v>
      </c>
      <c r="J924">
        <v>217</v>
      </c>
      <c r="K924">
        <v>8805.17</v>
      </c>
      <c r="L924">
        <v>221.72</v>
      </c>
      <c r="M924">
        <v>18.26</v>
      </c>
      <c r="N924">
        <v>8565.190000000001</v>
      </c>
      <c r="O924">
        <v>2729.68</v>
      </c>
      <c r="P924">
        <v>5835.51</v>
      </c>
      <c r="Q924">
        <v>64.02</v>
      </c>
      <c r="R924">
        <v>343.45</v>
      </c>
      <c r="S924">
        <v>504</v>
      </c>
      <c r="T924">
        <v>172</v>
      </c>
      <c r="U924">
        <v>17</v>
      </c>
      <c r="V924">
        <v>45</v>
      </c>
      <c r="W924">
        <v>47</v>
      </c>
      <c r="X924">
        <v>39.47</v>
      </c>
      <c r="Y924">
        <v>2.32</v>
      </c>
      <c r="Z924">
        <v>68.13</v>
      </c>
      <c r="AA924">
        <v>2322.58</v>
      </c>
      <c r="AB924">
        <v>1246.58</v>
      </c>
      <c r="AC924">
        <v>365.12</v>
      </c>
      <c r="AD924">
        <v>110</v>
      </c>
      <c r="AE924">
        <v>156.83</v>
      </c>
      <c r="AF924">
        <v>4201.11</v>
      </c>
      <c r="AG924">
        <v>1226.93</v>
      </c>
      <c r="AH924">
        <v>14.32</v>
      </c>
    </row>
    <row r="925" spans="1:34">
      <c r="A925" t="s">
        <v>1323</v>
      </c>
      <c r="B925" t="s">
        <v>263</v>
      </c>
      <c r="C925" t="b">
        <v>1</v>
      </c>
      <c r="D925" t="b">
        <v>0</v>
      </c>
      <c r="E925" t="s">
        <v>1472</v>
      </c>
      <c r="F925" t="s">
        <v>1476</v>
      </c>
      <c r="G925" t="s">
        <v>81</v>
      </c>
      <c r="H925">
        <v>37.7</v>
      </c>
      <c r="I925">
        <v>16</v>
      </c>
      <c r="J925">
        <v>183</v>
      </c>
      <c r="K925">
        <v>7701.72</v>
      </c>
      <c r="L925">
        <v>282.59</v>
      </c>
      <c r="M925">
        <v>18.26</v>
      </c>
      <c r="N925">
        <v>7400.87</v>
      </c>
      <c r="O925">
        <v>2372.64</v>
      </c>
      <c r="P925">
        <v>5028.23</v>
      </c>
      <c r="Q925">
        <v>55.08</v>
      </c>
      <c r="R925">
        <v>359.78</v>
      </c>
      <c r="S925">
        <v>444</v>
      </c>
      <c r="T925">
        <v>139</v>
      </c>
      <c r="U925">
        <v>7</v>
      </c>
      <c r="V925">
        <v>44</v>
      </c>
      <c r="W925">
        <v>39</v>
      </c>
      <c r="X925">
        <v>40.44</v>
      </c>
      <c r="Y925">
        <v>2.43</v>
      </c>
      <c r="Z925">
        <v>67.94</v>
      </c>
      <c r="AA925">
        <v>2322.58</v>
      </c>
      <c r="AB925">
        <v>1246.58</v>
      </c>
      <c r="AC925">
        <v>397.19</v>
      </c>
      <c r="AD925">
        <v>110</v>
      </c>
      <c r="AE925">
        <v>177.39</v>
      </c>
      <c r="AF925">
        <v>4253.74</v>
      </c>
      <c r="AG925">
        <v>359.63</v>
      </c>
      <c r="AH925">
        <v>4.86</v>
      </c>
    </row>
    <row r="926" spans="1:34">
      <c r="A926" t="s">
        <v>497</v>
      </c>
      <c r="B926" t="s">
        <v>75</v>
      </c>
      <c r="C926" t="b">
        <v>0</v>
      </c>
      <c r="D926" t="b">
        <v>0</v>
      </c>
      <c r="E926" t="s">
        <v>1472</v>
      </c>
      <c r="F926" t="s">
        <v>1476</v>
      </c>
      <c r="G926" t="s">
        <v>1501</v>
      </c>
      <c r="H926">
        <v>38.3</v>
      </c>
      <c r="I926">
        <v>17</v>
      </c>
      <c r="J926">
        <v>169</v>
      </c>
      <c r="K926">
        <v>5052.99</v>
      </c>
      <c r="L926">
        <v>310.89</v>
      </c>
      <c r="M926">
        <v>0</v>
      </c>
      <c r="N926">
        <v>4742.1</v>
      </c>
      <c r="O926">
        <v>1547.28</v>
      </c>
      <c r="P926">
        <v>3194.82</v>
      </c>
      <c r="Q926">
        <v>32.59</v>
      </c>
      <c r="R926">
        <v>288.71</v>
      </c>
      <c r="S926">
        <v>300</v>
      </c>
      <c r="T926">
        <v>129</v>
      </c>
      <c r="U926">
        <v>5</v>
      </c>
      <c r="V926">
        <v>40</v>
      </c>
      <c r="W926">
        <v>40</v>
      </c>
      <c r="X926">
        <v>28.06</v>
      </c>
      <c r="Y926">
        <v>1.78</v>
      </c>
      <c r="Z926">
        <v>67.37</v>
      </c>
      <c r="AA926">
        <v>2322.58</v>
      </c>
      <c r="AB926">
        <v>1246.58</v>
      </c>
      <c r="AC926">
        <v>395.38</v>
      </c>
      <c r="AD926">
        <v>360</v>
      </c>
      <c r="AE926">
        <v>194.75</v>
      </c>
      <c r="AF926">
        <v>4519.29</v>
      </c>
      <c r="AG926">
        <v>-1645.77</v>
      </c>
      <c r="AH926">
        <v>-34.71</v>
      </c>
    </row>
    <row r="927" spans="1:34">
      <c r="A927" t="s">
        <v>1324</v>
      </c>
      <c r="B927" t="s">
        <v>258</v>
      </c>
      <c r="C927" t="b">
        <v>0</v>
      </c>
      <c r="D927" t="b">
        <v>0</v>
      </c>
      <c r="E927" t="s">
        <v>1472</v>
      </c>
      <c r="F927" t="s">
        <v>1476</v>
      </c>
      <c r="G927" t="s">
        <v>1501</v>
      </c>
      <c r="H927">
        <v>37.1</v>
      </c>
      <c r="I927">
        <v>18</v>
      </c>
      <c r="J927">
        <v>173</v>
      </c>
      <c r="K927">
        <v>5439.96</v>
      </c>
      <c r="L927">
        <v>329.36</v>
      </c>
      <c r="M927">
        <v>0</v>
      </c>
      <c r="N927">
        <v>5110.6</v>
      </c>
      <c r="O927">
        <v>1710.44</v>
      </c>
      <c r="P927">
        <v>3400.16</v>
      </c>
      <c r="Q927">
        <v>36.2</v>
      </c>
      <c r="R927">
        <v>231.07</v>
      </c>
      <c r="S927">
        <v>315</v>
      </c>
      <c r="T927">
        <v>133</v>
      </c>
      <c r="U927">
        <v>8</v>
      </c>
      <c r="V927">
        <v>40</v>
      </c>
      <c r="W927">
        <v>33</v>
      </c>
      <c r="X927">
        <v>29.54</v>
      </c>
      <c r="Y927">
        <v>1.82</v>
      </c>
      <c r="Z927">
        <v>66.53</v>
      </c>
      <c r="AA927">
        <v>2322.58</v>
      </c>
      <c r="AB927">
        <v>1246.58</v>
      </c>
      <c r="AC927">
        <v>396.55</v>
      </c>
      <c r="AD927">
        <v>360</v>
      </c>
      <c r="AE927">
        <v>212.75</v>
      </c>
      <c r="AF927">
        <v>4538.46</v>
      </c>
      <c r="AG927">
        <v>-1405.57</v>
      </c>
      <c r="AH927">
        <v>-27.5</v>
      </c>
    </row>
    <row r="928" spans="1:34">
      <c r="A928" t="s">
        <v>1325</v>
      </c>
      <c r="B928" t="s">
        <v>259</v>
      </c>
      <c r="C928" t="b">
        <v>0</v>
      </c>
      <c r="D928" t="b">
        <v>0</v>
      </c>
      <c r="E928" t="s">
        <v>1472</v>
      </c>
      <c r="F928" t="s">
        <v>1476</v>
      </c>
      <c r="G928" t="s">
        <v>1501</v>
      </c>
      <c r="H928">
        <v>37.9</v>
      </c>
      <c r="I928">
        <v>19</v>
      </c>
      <c r="J928">
        <v>190</v>
      </c>
      <c r="K928">
        <v>5868.65</v>
      </c>
      <c r="L928">
        <v>350.9</v>
      </c>
      <c r="M928">
        <v>0</v>
      </c>
      <c r="N928">
        <v>5517.75</v>
      </c>
      <c r="O928">
        <v>1787.48</v>
      </c>
      <c r="P928">
        <v>3730.27</v>
      </c>
      <c r="Q928">
        <v>38</v>
      </c>
      <c r="R928">
        <v>286.33</v>
      </c>
      <c r="S928">
        <v>339</v>
      </c>
      <c r="T928">
        <v>149</v>
      </c>
      <c r="U928">
        <v>20</v>
      </c>
      <c r="V928">
        <v>41</v>
      </c>
      <c r="W928">
        <v>40</v>
      </c>
      <c r="X928">
        <v>29.04</v>
      </c>
      <c r="Y928">
        <v>1.78</v>
      </c>
      <c r="Z928">
        <v>67.59999999999999</v>
      </c>
      <c r="AA928">
        <v>2322.58</v>
      </c>
      <c r="AB928">
        <v>1246.58</v>
      </c>
      <c r="AC928">
        <v>388.08</v>
      </c>
      <c r="AD928">
        <v>360</v>
      </c>
      <c r="AE928">
        <v>219.55</v>
      </c>
      <c r="AF928">
        <v>4536.79</v>
      </c>
      <c r="AG928">
        <v>-1130.85</v>
      </c>
      <c r="AH928">
        <v>-20.49</v>
      </c>
    </row>
    <row r="929" spans="1:34">
      <c r="A929" t="s">
        <v>1326</v>
      </c>
      <c r="B929" t="s">
        <v>260</v>
      </c>
      <c r="C929" t="b">
        <v>0</v>
      </c>
      <c r="D929" t="b">
        <v>0</v>
      </c>
      <c r="E929" t="s">
        <v>1472</v>
      </c>
      <c r="F929" t="s">
        <v>1476</v>
      </c>
      <c r="G929" t="s">
        <v>1501</v>
      </c>
      <c r="H929">
        <v>38.8</v>
      </c>
      <c r="I929">
        <v>20</v>
      </c>
      <c r="J929">
        <v>201</v>
      </c>
      <c r="K929">
        <v>6741.73</v>
      </c>
      <c r="L929">
        <v>393.99</v>
      </c>
      <c r="M929">
        <v>0</v>
      </c>
      <c r="N929">
        <v>6347.74</v>
      </c>
      <c r="O929">
        <v>2111.64</v>
      </c>
      <c r="P929">
        <v>4236.1</v>
      </c>
      <c r="Q929">
        <v>47.71</v>
      </c>
      <c r="R929">
        <v>301.17</v>
      </c>
      <c r="S929">
        <v>386</v>
      </c>
      <c r="T929">
        <v>152</v>
      </c>
      <c r="U929">
        <v>8</v>
      </c>
      <c r="V929">
        <v>49</v>
      </c>
      <c r="W929">
        <v>40</v>
      </c>
      <c r="X929">
        <v>31.58</v>
      </c>
      <c r="Y929">
        <v>1.92</v>
      </c>
      <c r="Z929">
        <v>66.73</v>
      </c>
      <c r="AA929">
        <v>2322.58</v>
      </c>
      <c r="AB929">
        <v>1246.58</v>
      </c>
      <c r="AC929">
        <v>402.08</v>
      </c>
      <c r="AD929">
        <v>360</v>
      </c>
      <c r="AE929">
        <v>200.58</v>
      </c>
      <c r="AF929">
        <v>4531.82</v>
      </c>
      <c r="AG929">
        <v>-644.6</v>
      </c>
      <c r="AH929">
        <v>-10.15</v>
      </c>
    </row>
    <row r="930" spans="1:34">
      <c r="A930" t="s">
        <v>1327</v>
      </c>
      <c r="B930" t="s">
        <v>261</v>
      </c>
      <c r="C930" t="b">
        <v>0</v>
      </c>
      <c r="D930" t="b">
        <v>0</v>
      </c>
      <c r="E930" t="s">
        <v>1472</v>
      </c>
      <c r="F930" t="s">
        <v>1476</v>
      </c>
      <c r="G930" t="s">
        <v>1501</v>
      </c>
      <c r="H930">
        <v>39.1</v>
      </c>
      <c r="I930">
        <v>21</v>
      </c>
      <c r="J930">
        <v>221</v>
      </c>
      <c r="K930">
        <v>7389.55</v>
      </c>
      <c r="L930">
        <v>439.57</v>
      </c>
      <c r="M930">
        <v>0</v>
      </c>
      <c r="N930">
        <v>6949.98</v>
      </c>
      <c r="O930">
        <v>2242.89</v>
      </c>
      <c r="P930">
        <v>4707.09</v>
      </c>
      <c r="Q930">
        <v>42.98</v>
      </c>
      <c r="R930">
        <v>527.87</v>
      </c>
      <c r="S930">
        <v>424</v>
      </c>
      <c r="T930">
        <v>177</v>
      </c>
      <c r="U930">
        <v>14</v>
      </c>
      <c r="V930">
        <v>44</v>
      </c>
      <c r="W930">
        <v>60</v>
      </c>
      <c r="X930">
        <v>31.45</v>
      </c>
      <c r="Y930">
        <v>1.92</v>
      </c>
      <c r="Z930">
        <v>67.73</v>
      </c>
      <c r="AA930">
        <v>2322.58</v>
      </c>
      <c r="AB930">
        <v>1246.58</v>
      </c>
      <c r="AC930">
        <v>387.27</v>
      </c>
      <c r="AD930">
        <v>360</v>
      </c>
      <c r="AE930">
        <v>208.29</v>
      </c>
      <c r="AF930">
        <v>4524.72</v>
      </c>
      <c r="AG930">
        <v>-388.48</v>
      </c>
      <c r="AH930">
        <v>-5.59</v>
      </c>
    </row>
    <row r="931" spans="1:34">
      <c r="A931" t="s">
        <v>1328</v>
      </c>
      <c r="B931" t="s">
        <v>262</v>
      </c>
      <c r="C931" t="b">
        <v>1</v>
      </c>
      <c r="D931" t="b">
        <v>0</v>
      </c>
      <c r="E931" t="s">
        <v>1472</v>
      </c>
      <c r="F931" t="s">
        <v>1476</v>
      </c>
      <c r="G931" t="s">
        <v>81</v>
      </c>
      <c r="H931">
        <v>39.4</v>
      </c>
      <c r="I931">
        <v>22</v>
      </c>
      <c r="J931">
        <v>188</v>
      </c>
      <c r="K931">
        <v>7217.37</v>
      </c>
      <c r="L931">
        <v>179.12</v>
      </c>
      <c r="M931">
        <v>18.26</v>
      </c>
      <c r="N931">
        <v>7019.99</v>
      </c>
      <c r="O931">
        <v>2268.55</v>
      </c>
      <c r="P931">
        <v>4751.44</v>
      </c>
      <c r="Q931">
        <v>48.51</v>
      </c>
      <c r="R931">
        <v>454.78</v>
      </c>
      <c r="S931">
        <v>415</v>
      </c>
      <c r="T931">
        <v>137</v>
      </c>
      <c r="U931">
        <v>9</v>
      </c>
      <c r="V931">
        <v>51</v>
      </c>
      <c r="W931">
        <v>56</v>
      </c>
      <c r="X931">
        <v>37.34</v>
      </c>
      <c r="Y931">
        <v>2.21</v>
      </c>
      <c r="Z931">
        <v>67.68000000000001</v>
      </c>
      <c r="AA931">
        <v>2322.58</v>
      </c>
      <c r="AB931">
        <v>1246.58</v>
      </c>
      <c r="AC931">
        <v>366.45</v>
      </c>
      <c r="AD931">
        <v>110</v>
      </c>
      <c r="AE931">
        <v>171.66</v>
      </c>
      <c r="AF931">
        <v>4217.27</v>
      </c>
      <c r="AG931">
        <v>30.88</v>
      </c>
      <c r="AH931">
        <v>0.44</v>
      </c>
    </row>
    <row r="932" spans="1:34">
      <c r="A932" t="s">
        <v>1329</v>
      </c>
      <c r="B932" t="s">
        <v>263</v>
      </c>
      <c r="C932" t="b">
        <v>1</v>
      </c>
      <c r="D932" t="b">
        <v>0</v>
      </c>
      <c r="E932" t="s">
        <v>1472</v>
      </c>
      <c r="F932" t="s">
        <v>1476</v>
      </c>
      <c r="G932" t="s">
        <v>81</v>
      </c>
      <c r="H932">
        <v>40</v>
      </c>
      <c r="I932">
        <v>23</v>
      </c>
      <c r="J932">
        <v>185</v>
      </c>
      <c r="K932">
        <v>7099.05</v>
      </c>
      <c r="L932">
        <v>220</v>
      </c>
      <c r="M932">
        <v>7.83</v>
      </c>
      <c r="N932">
        <v>6871.22</v>
      </c>
      <c r="O932">
        <v>2237.28</v>
      </c>
      <c r="P932">
        <v>4633.94</v>
      </c>
      <c r="Q932">
        <v>43.18</v>
      </c>
      <c r="R932">
        <v>387.46</v>
      </c>
      <c r="S932">
        <v>410</v>
      </c>
      <c r="T932">
        <v>140</v>
      </c>
      <c r="U932">
        <v>11</v>
      </c>
      <c r="V932">
        <v>45</v>
      </c>
      <c r="W932">
        <v>44</v>
      </c>
      <c r="X932">
        <v>37.14</v>
      </c>
      <c r="Y932">
        <v>2.22</v>
      </c>
      <c r="Z932">
        <v>67.44</v>
      </c>
      <c r="AA932">
        <v>2322.58</v>
      </c>
      <c r="AB932">
        <v>1246.58</v>
      </c>
      <c r="AC932">
        <v>409.17</v>
      </c>
      <c r="AD932">
        <v>110</v>
      </c>
      <c r="AE932">
        <v>191.22</v>
      </c>
      <c r="AF932">
        <v>4279.55</v>
      </c>
      <c r="AG932">
        <v>-76.25</v>
      </c>
      <c r="AH932">
        <v>-1.11</v>
      </c>
    </row>
    <row r="933" spans="1:34">
      <c r="A933" t="s">
        <v>498</v>
      </c>
      <c r="B933" t="s">
        <v>75</v>
      </c>
      <c r="C933" t="b">
        <v>0</v>
      </c>
      <c r="D933" t="b">
        <v>0</v>
      </c>
      <c r="E933" t="s">
        <v>1472</v>
      </c>
      <c r="F933" t="s">
        <v>1476</v>
      </c>
      <c r="G933" t="s">
        <v>1501</v>
      </c>
      <c r="H933">
        <v>40.1</v>
      </c>
      <c r="I933">
        <v>24</v>
      </c>
      <c r="J933">
        <v>181</v>
      </c>
      <c r="K933">
        <v>5773.77</v>
      </c>
      <c r="L933">
        <v>322.83</v>
      </c>
      <c r="M933">
        <v>0</v>
      </c>
      <c r="N933">
        <v>5450.94</v>
      </c>
      <c r="O933">
        <v>1788.96</v>
      </c>
      <c r="P933">
        <v>3661.98</v>
      </c>
      <c r="Q933">
        <v>37.68</v>
      </c>
      <c r="R933">
        <v>287.98</v>
      </c>
      <c r="S933">
        <v>334</v>
      </c>
      <c r="T933">
        <v>144</v>
      </c>
      <c r="U933">
        <v>13</v>
      </c>
      <c r="V933">
        <v>37</v>
      </c>
      <c r="W933">
        <v>37</v>
      </c>
      <c r="X933">
        <v>30.12</v>
      </c>
      <c r="Y933">
        <v>1.85</v>
      </c>
      <c r="Z933">
        <v>67.18000000000001</v>
      </c>
      <c r="AA933">
        <v>2322.58</v>
      </c>
      <c r="AB933">
        <v>1246.58</v>
      </c>
      <c r="AC933">
        <v>423.49</v>
      </c>
      <c r="AD933">
        <v>360</v>
      </c>
      <c r="AE933">
        <v>211.37</v>
      </c>
      <c r="AF933">
        <v>4564.02</v>
      </c>
      <c r="AG933">
        <v>-1227.7</v>
      </c>
      <c r="AH933">
        <v>-22.52</v>
      </c>
    </row>
    <row r="934" spans="1:34">
      <c r="A934" t="s">
        <v>1330</v>
      </c>
      <c r="B934" t="s">
        <v>258</v>
      </c>
      <c r="C934" t="b">
        <v>0</v>
      </c>
      <c r="D934" t="b">
        <v>0</v>
      </c>
      <c r="E934" t="s">
        <v>1472</v>
      </c>
      <c r="F934" t="s">
        <v>1476</v>
      </c>
      <c r="G934" t="s">
        <v>1501</v>
      </c>
      <c r="H934">
        <v>38.7</v>
      </c>
      <c r="I934">
        <v>25</v>
      </c>
      <c r="J934">
        <v>186</v>
      </c>
      <c r="K934">
        <v>5815.6</v>
      </c>
      <c r="L934">
        <v>400.44</v>
      </c>
      <c r="M934">
        <v>53.91</v>
      </c>
      <c r="N934">
        <v>5361.25</v>
      </c>
      <c r="O934">
        <v>1762.62</v>
      </c>
      <c r="P934">
        <v>3598.63</v>
      </c>
      <c r="Q934">
        <v>31.66</v>
      </c>
      <c r="R934">
        <v>424.72</v>
      </c>
      <c r="S934">
        <v>336</v>
      </c>
      <c r="T934">
        <v>153</v>
      </c>
      <c r="U934">
        <v>5</v>
      </c>
      <c r="V934">
        <v>33</v>
      </c>
      <c r="W934">
        <v>56</v>
      </c>
      <c r="X934">
        <v>28.82</v>
      </c>
      <c r="Y934">
        <v>1.81</v>
      </c>
      <c r="Z934">
        <v>67.12</v>
      </c>
      <c r="AA934">
        <v>2322.58</v>
      </c>
      <c r="AB934">
        <v>1246.58</v>
      </c>
      <c r="AC934">
        <v>408.75</v>
      </c>
      <c r="AD934">
        <v>360</v>
      </c>
      <c r="AE934">
        <v>186.87</v>
      </c>
      <c r="AF934">
        <v>4524.78</v>
      </c>
      <c r="AG934">
        <v>-1382.53</v>
      </c>
      <c r="AH934">
        <v>-25.79</v>
      </c>
    </row>
    <row r="935" spans="1:34">
      <c r="A935" t="s">
        <v>1331</v>
      </c>
      <c r="B935" t="s">
        <v>259</v>
      </c>
      <c r="C935" t="b">
        <v>0</v>
      </c>
      <c r="D935" t="b">
        <v>0</v>
      </c>
      <c r="E935" t="s">
        <v>1472</v>
      </c>
      <c r="F935" t="s">
        <v>1476</v>
      </c>
      <c r="G935" t="s">
        <v>1501</v>
      </c>
      <c r="H935">
        <v>37.7</v>
      </c>
      <c r="I935">
        <v>26</v>
      </c>
      <c r="J935">
        <v>151</v>
      </c>
      <c r="K935">
        <v>4499.96</v>
      </c>
      <c r="L935">
        <v>219.14</v>
      </c>
      <c r="M935">
        <v>0</v>
      </c>
      <c r="N935">
        <v>4280.82</v>
      </c>
      <c r="O935">
        <v>1378.81</v>
      </c>
      <c r="P935">
        <v>2902.01</v>
      </c>
      <c r="Q935">
        <v>29.15</v>
      </c>
      <c r="R935">
        <v>250.11</v>
      </c>
      <c r="S935">
        <v>264</v>
      </c>
      <c r="T935">
        <v>118</v>
      </c>
      <c r="U935">
        <v>6</v>
      </c>
      <c r="V935">
        <v>33</v>
      </c>
      <c r="W935">
        <v>30</v>
      </c>
      <c r="X935">
        <v>28.35</v>
      </c>
      <c r="Y935">
        <v>1.75</v>
      </c>
      <c r="Z935">
        <v>67.79000000000001</v>
      </c>
      <c r="AA935">
        <v>2322.58</v>
      </c>
      <c r="AB935">
        <v>1246.58</v>
      </c>
      <c r="AC935">
        <v>395.63</v>
      </c>
      <c r="AD935">
        <v>360</v>
      </c>
      <c r="AE935">
        <v>188.01</v>
      </c>
      <c r="AF935">
        <v>4512.8</v>
      </c>
      <c r="AG935">
        <v>-1890.05</v>
      </c>
      <c r="AH935">
        <v>-44.15</v>
      </c>
    </row>
    <row r="936" spans="1:34">
      <c r="A936" t="s">
        <v>1332</v>
      </c>
      <c r="B936" t="s">
        <v>260</v>
      </c>
      <c r="C936" t="b">
        <v>0</v>
      </c>
      <c r="D936" t="b">
        <v>0</v>
      </c>
      <c r="E936" t="s">
        <v>1472</v>
      </c>
      <c r="F936" t="s">
        <v>1476</v>
      </c>
      <c r="G936" t="s">
        <v>1501</v>
      </c>
      <c r="H936">
        <v>39.7</v>
      </c>
      <c r="I936">
        <v>27</v>
      </c>
      <c r="J936">
        <v>213</v>
      </c>
      <c r="K936">
        <v>7342.45</v>
      </c>
      <c r="L936">
        <v>369.15</v>
      </c>
      <c r="M936">
        <v>0</v>
      </c>
      <c r="N936">
        <v>6973.3</v>
      </c>
      <c r="O936">
        <v>2261.48</v>
      </c>
      <c r="P936">
        <v>4711.82</v>
      </c>
      <c r="Q936">
        <v>48.95</v>
      </c>
      <c r="R936">
        <v>429.44</v>
      </c>
      <c r="S936">
        <v>420</v>
      </c>
      <c r="T936">
        <v>164</v>
      </c>
      <c r="U936">
        <v>8</v>
      </c>
      <c r="V936">
        <v>49</v>
      </c>
      <c r="W936">
        <v>53</v>
      </c>
      <c r="X936">
        <v>32.74</v>
      </c>
      <c r="Y936">
        <v>1.97</v>
      </c>
      <c r="Z936">
        <v>67.56999999999999</v>
      </c>
      <c r="AA936">
        <v>2322.58</v>
      </c>
      <c r="AB936">
        <v>1246.58</v>
      </c>
      <c r="AC936">
        <v>393.35</v>
      </c>
      <c r="AD936">
        <v>360</v>
      </c>
      <c r="AE936">
        <v>176.7</v>
      </c>
      <c r="AF936">
        <v>4499.21</v>
      </c>
      <c r="AG936">
        <v>-265.78</v>
      </c>
      <c r="AH936">
        <v>-3.81</v>
      </c>
    </row>
    <row r="937" spans="1:34">
      <c r="A937" t="s">
        <v>1333</v>
      </c>
      <c r="B937" t="s">
        <v>261</v>
      </c>
      <c r="C937" t="b">
        <v>0</v>
      </c>
      <c r="D937" t="b">
        <v>0</v>
      </c>
      <c r="E937" t="s">
        <v>1472</v>
      </c>
      <c r="F937" t="s">
        <v>1476</v>
      </c>
      <c r="G937" t="s">
        <v>1501</v>
      </c>
      <c r="H937">
        <v>37.7</v>
      </c>
      <c r="I937">
        <v>28</v>
      </c>
      <c r="J937">
        <v>270</v>
      </c>
      <c r="K937">
        <v>9319.799999999999</v>
      </c>
      <c r="L937">
        <v>539.77</v>
      </c>
      <c r="M937">
        <v>0</v>
      </c>
      <c r="N937">
        <v>8780.030000000001</v>
      </c>
      <c r="O937">
        <v>2781.65</v>
      </c>
      <c r="P937">
        <v>5998.38</v>
      </c>
      <c r="Q937">
        <v>65.78</v>
      </c>
      <c r="R937">
        <v>387.74</v>
      </c>
      <c r="S937">
        <v>529</v>
      </c>
      <c r="T937">
        <v>199</v>
      </c>
      <c r="U937">
        <v>14</v>
      </c>
      <c r="V937">
        <v>71</v>
      </c>
      <c r="W937">
        <v>49</v>
      </c>
      <c r="X937">
        <v>32.52</v>
      </c>
      <c r="Y937">
        <v>1.96</v>
      </c>
      <c r="Z937">
        <v>68.31999999999999</v>
      </c>
      <c r="AA937">
        <v>2322.58</v>
      </c>
      <c r="AB937">
        <v>1246.58</v>
      </c>
      <c r="AC937">
        <v>378.48</v>
      </c>
      <c r="AD937">
        <v>360</v>
      </c>
      <c r="AE937">
        <v>192.48</v>
      </c>
      <c r="AF937">
        <v>4500.12</v>
      </c>
      <c r="AG937">
        <v>1044.74</v>
      </c>
      <c r="AH937">
        <v>11.9</v>
      </c>
    </row>
    <row r="938" spans="1:34">
      <c r="A938" t="s">
        <v>1334</v>
      </c>
      <c r="B938" t="s">
        <v>262</v>
      </c>
      <c r="C938" t="b">
        <v>1</v>
      </c>
      <c r="D938" t="b">
        <v>0</v>
      </c>
      <c r="E938" t="s">
        <v>1472</v>
      </c>
      <c r="F938" t="s">
        <v>1476</v>
      </c>
      <c r="G938" t="s">
        <v>81</v>
      </c>
      <c r="H938">
        <v>37.5</v>
      </c>
      <c r="I938">
        <v>29</v>
      </c>
      <c r="J938">
        <v>185</v>
      </c>
      <c r="K938">
        <v>7583.5</v>
      </c>
      <c r="L938">
        <v>253.03</v>
      </c>
      <c r="M938">
        <v>0</v>
      </c>
      <c r="N938">
        <v>7330.47</v>
      </c>
      <c r="O938">
        <v>2384.31</v>
      </c>
      <c r="P938">
        <v>4946.16</v>
      </c>
      <c r="Q938">
        <v>47.78</v>
      </c>
      <c r="R938">
        <v>398.93</v>
      </c>
      <c r="S938">
        <v>437</v>
      </c>
      <c r="T938">
        <v>156</v>
      </c>
      <c r="U938">
        <v>5</v>
      </c>
      <c r="V938">
        <v>29</v>
      </c>
      <c r="W938">
        <v>45</v>
      </c>
      <c r="X938">
        <v>39.62</v>
      </c>
      <c r="Y938">
        <v>2.36</v>
      </c>
      <c r="Z938">
        <v>67.47</v>
      </c>
      <c r="AA938">
        <v>2322.58</v>
      </c>
      <c r="AB938">
        <v>1246.58</v>
      </c>
      <c r="AC938">
        <v>370.3</v>
      </c>
      <c r="AD938">
        <v>110</v>
      </c>
      <c r="AE938">
        <v>201.09</v>
      </c>
      <c r="AF938">
        <v>4250.55</v>
      </c>
      <c r="AG938">
        <v>248.9</v>
      </c>
      <c r="AH938">
        <v>3.4</v>
      </c>
    </row>
    <row r="939" spans="1:34">
      <c r="A939" t="s">
        <v>1335</v>
      </c>
      <c r="B939" t="s">
        <v>263</v>
      </c>
      <c r="C939" t="b">
        <v>1</v>
      </c>
      <c r="D939" t="b">
        <v>0</v>
      </c>
      <c r="E939" t="s">
        <v>1472</v>
      </c>
      <c r="F939" t="s">
        <v>1476</v>
      </c>
      <c r="G939" t="s">
        <v>81</v>
      </c>
      <c r="H939">
        <v>36.8</v>
      </c>
      <c r="I939">
        <v>30</v>
      </c>
      <c r="J939">
        <v>168</v>
      </c>
      <c r="K939">
        <v>6696.44</v>
      </c>
      <c r="L939">
        <v>219.11</v>
      </c>
      <c r="M939">
        <v>17.39</v>
      </c>
      <c r="N939">
        <v>6459.94</v>
      </c>
      <c r="O939">
        <v>2021.76</v>
      </c>
      <c r="P939">
        <v>4438.18</v>
      </c>
      <c r="Q939">
        <v>47.01</v>
      </c>
      <c r="R939">
        <v>325.49</v>
      </c>
      <c r="S939">
        <v>392</v>
      </c>
      <c r="T939">
        <v>132</v>
      </c>
      <c r="U939">
        <v>13</v>
      </c>
      <c r="V939">
        <v>36</v>
      </c>
      <c r="W939">
        <v>41</v>
      </c>
      <c r="X939">
        <v>38.45</v>
      </c>
      <c r="Y939">
        <v>2.33</v>
      </c>
      <c r="Z939">
        <v>68.7</v>
      </c>
      <c r="AA939">
        <v>2322.58</v>
      </c>
      <c r="AB939">
        <v>1246.58</v>
      </c>
      <c r="AC939">
        <v>369.84</v>
      </c>
      <c r="AD939">
        <v>110</v>
      </c>
      <c r="AE939">
        <v>203.28</v>
      </c>
      <c r="AF939">
        <v>4252.28</v>
      </c>
      <c r="AG939">
        <v>-186.6</v>
      </c>
      <c r="AH939">
        <v>-2.89</v>
      </c>
    </row>
    <row r="940" spans="1:34">
      <c r="A940" t="s">
        <v>499</v>
      </c>
      <c r="B940" t="s">
        <v>75</v>
      </c>
      <c r="C940" t="b">
        <v>0</v>
      </c>
      <c r="D940" t="b">
        <v>0</v>
      </c>
      <c r="E940" t="s">
        <v>1472</v>
      </c>
      <c r="F940" t="s">
        <v>1476</v>
      </c>
      <c r="G940" t="s">
        <v>1500</v>
      </c>
      <c r="H940">
        <v>37</v>
      </c>
      <c r="I940">
        <v>0</v>
      </c>
      <c r="J940">
        <v>198</v>
      </c>
      <c r="K940">
        <v>6755.61</v>
      </c>
      <c r="L940">
        <v>538.7</v>
      </c>
      <c r="M940">
        <v>17.39</v>
      </c>
      <c r="N940">
        <v>6199.52</v>
      </c>
      <c r="O940">
        <v>2113.82</v>
      </c>
      <c r="P940">
        <v>4085.7</v>
      </c>
      <c r="Q940">
        <v>41.4</v>
      </c>
      <c r="R940">
        <v>349.93</v>
      </c>
      <c r="S940">
        <v>383</v>
      </c>
      <c r="T940">
        <v>152</v>
      </c>
      <c r="U940">
        <v>11</v>
      </c>
      <c r="V940">
        <v>46</v>
      </c>
      <c r="W940">
        <v>41</v>
      </c>
      <c r="X940">
        <v>31.31</v>
      </c>
      <c r="Y940">
        <v>1.93</v>
      </c>
      <c r="Z940">
        <v>65.90000000000001</v>
      </c>
      <c r="AA940">
        <v>2322.58</v>
      </c>
      <c r="AB940">
        <v>1246.58</v>
      </c>
      <c r="AC940">
        <v>360.74</v>
      </c>
      <c r="AD940">
        <v>360</v>
      </c>
      <c r="AE940">
        <v>192.48</v>
      </c>
      <c r="AF940">
        <v>4482.38</v>
      </c>
      <c r="AG940">
        <v>-788.01</v>
      </c>
      <c r="AH940">
        <v>-12.71</v>
      </c>
    </row>
    <row r="941" spans="1:34">
      <c r="A941" t="s">
        <v>1336</v>
      </c>
      <c r="B941" t="s">
        <v>258</v>
      </c>
      <c r="C941" t="b">
        <v>0</v>
      </c>
      <c r="D941" t="b">
        <v>0</v>
      </c>
      <c r="E941" t="s">
        <v>1472</v>
      </c>
      <c r="F941" t="s">
        <v>1476</v>
      </c>
      <c r="G941" t="s">
        <v>1500</v>
      </c>
      <c r="H941">
        <v>36.6</v>
      </c>
      <c r="I941">
        <v>1</v>
      </c>
      <c r="J941">
        <v>175</v>
      </c>
      <c r="K941">
        <v>6088.66</v>
      </c>
      <c r="L941">
        <v>379.58</v>
      </c>
      <c r="M941">
        <v>20.87</v>
      </c>
      <c r="N941">
        <v>5688.21</v>
      </c>
      <c r="O941">
        <v>1939.81</v>
      </c>
      <c r="P941">
        <v>3748.4</v>
      </c>
      <c r="Q941">
        <v>32.91</v>
      </c>
      <c r="R941">
        <v>423.8</v>
      </c>
      <c r="S941">
        <v>347</v>
      </c>
      <c r="T941">
        <v>139</v>
      </c>
      <c r="U941">
        <v>8</v>
      </c>
      <c r="V941">
        <v>36</v>
      </c>
      <c r="W941">
        <v>48</v>
      </c>
      <c r="X941">
        <v>32.5</v>
      </c>
      <c r="Y941">
        <v>1.98</v>
      </c>
      <c r="Z941">
        <v>65.90000000000001</v>
      </c>
      <c r="AA941">
        <v>2322.58</v>
      </c>
      <c r="AB941">
        <v>1246.58</v>
      </c>
      <c r="AC941">
        <v>374.07</v>
      </c>
      <c r="AD941">
        <v>360</v>
      </c>
      <c r="AE941">
        <v>177.64</v>
      </c>
      <c r="AF941">
        <v>4480.87</v>
      </c>
      <c r="AG941">
        <v>-1189.18</v>
      </c>
      <c r="AH941">
        <v>-20.91</v>
      </c>
    </row>
    <row r="942" spans="1:34">
      <c r="A942" t="s">
        <v>1337</v>
      </c>
      <c r="B942" t="s">
        <v>259</v>
      </c>
      <c r="C942" t="b">
        <v>0</v>
      </c>
      <c r="D942" t="b">
        <v>0</v>
      </c>
      <c r="E942" t="s">
        <v>1472</v>
      </c>
      <c r="F942" t="s">
        <v>1476</v>
      </c>
      <c r="G942" t="s">
        <v>1500</v>
      </c>
      <c r="H942">
        <v>37</v>
      </c>
      <c r="I942">
        <v>2</v>
      </c>
      <c r="J942">
        <v>222</v>
      </c>
      <c r="K942">
        <v>7142.51</v>
      </c>
      <c r="L942">
        <v>525.21</v>
      </c>
      <c r="M942">
        <v>33.04</v>
      </c>
      <c r="N942">
        <v>6584.26</v>
      </c>
      <c r="O942">
        <v>2214.73</v>
      </c>
      <c r="P942">
        <v>4369.53</v>
      </c>
      <c r="Q942">
        <v>45.01</v>
      </c>
      <c r="R942">
        <v>417.75</v>
      </c>
      <c r="S942">
        <v>414</v>
      </c>
      <c r="T942">
        <v>167</v>
      </c>
      <c r="U942">
        <v>12</v>
      </c>
      <c r="V942">
        <v>55</v>
      </c>
      <c r="W942">
        <v>51</v>
      </c>
      <c r="X942">
        <v>29.66</v>
      </c>
      <c r="Y942">
        <v>1.86</v>
      </c>
      <c r="Z942">
        <v>66.36</v>
      </c>
      <c r="AA942">
        <v>2322.58</v>
      </c>
      <c r="AB942">
        <v>1246.58</v>
      </c>
      <c r="AC942">
        <v>373.88</v>
      </c>
      <c r="AD942">
        <v>360</v>
      </c>
      <c r="AE942">
        <v>167.38</v>
      </c>
      <c r="AF942">
        <v>4470.42</v>
      </c>
      <c r="AG942">
        <v>-563.65</v>
      </c>
      <c r="AH942">
        <v>-8.56</v>
      </c>
    </row>
    <row r="943" spans="1:34">
      <c r="A943" t="s">
        <v>1338</v>
      </c>
      <c r="B943" t="s">
        <v>260</v>
      </c>
      <c r="C943" t="b">
        <v>0</v>
      </c>
      <c r="D943" t="b">
        <v>0</v>
      </c>
      <c r="E943" t="s">
        <v>1472</v>
      </c>
      <c r="F943" t="s">
        <v>1476</v>
      </c>
      <c r="G943" t="s">
        <v>1500</v>
      </c>
      <c r="H943">
        <v>38.4</v>
      </c>
      <c r="I943">
        <v>3</v>
      </c>
      <c r="J943">
        <v>223</v>
      </c>
      <c r="K943">
        <v>7220.8</v>
      </c>
      <c r="L943">
        <v>425.24</v>
      </c>
      <c r="M943">
        <v>74.78</v>
      </c>
      <c r="N943">
        <v>6720.78</v>
      </c>
      <c r="O943">
        <v>2187.65</v>
      </c>
      <c r="P943">
        <v>4533.13</v>
      </c>
      <c r="Q943">
        <v>45.59</v>
      </c>
      <c r="R943">
        <v>401.53</v>
      </c>
      <c r="S943">
        <v>411</v>
      </c>
      <c r="T943">
        <v>178</v>
      </c>
      <c r="U943">
        <v>14</v>
      </c>
      <c r="V943">
        <v>45</v>
      </c>
      <c r="W943">
        <v>54</v>
      </c>
      <c r="X943">
        <v>30.14</v>
      </c>
      <c r="Y943">
        <v>1.84</v>
      </c>
      <c r="Z943">
        <v>67.45</v>
      </c>
      <c r="AA943">
        <v>2322.58</v>
      </c>
      <c r="AB943">
        <v>1246.58</v>
      </c>
      <c r="AC943">
        <v>379.45</v>
      </c>
      <c r="AD943">
        <v>360</v>
      </c>
      <c r="AE943">
        <v>199.43</v>
      </c>
      <c r="AF943">
        <v>4508.04</v>
      </c>
      <c r="AG943">
        <v>-422.03</v>
      </c>
      <c r="AH943">
        <v>-6.28</v>
      </c>
    </row>
    <row r="944" spans="1:34">
      <c r="A944" t="s">
        <v>1339</v>
      </c>
      <c r="B944" t="s">
        <v>261</v>
      </c>
      <c r="C944" t="b">
        <v>0</v>
      </c>
      <c r="D944" t="b">
        <v>0</v>
      </c>
      <c r="E944" t="s">
        <v>1472</v>
      </c>
      <c r="F944" t="s">
        <v>1476</v>
      </c>
      <c r="G944" t="s">
        <v>1500</v>
      </c>
      <c r="H944">
        <v>38.2</v>
      </c>
      <c r="I944">
        <v>4</v>
      </c>
      <c r="J944">
        <v>245</v>
      </c>
      <c r="K944">
        <v>8765.139999999999</v>
      </c>
      <c r="L944">
        <v>393.49</v>
      </c>
      <c r="M944">
        <v>52.17</v>
      </c>
      <c r="N944">
        <v>8319.48</v>
      </c>
      <c r="O944">
        <v>2751.13</v>
      </c>
      <c r="P944">
        <v>5568.35</v>
      </c>
      <c r="Q944">
        <v>60.32</v>
      </c>
      <c r="R944">
        <v>444.62</v>
      </c>
      <c r="S944">
        <v>500</v>
      </c>
      <c r="T944">
        <v>197</v>
      </c>
      <c r="U944">
        <v>12</v>
      </c>
      <c r="V944">
        <v>48</v>
      </c>
      <c r="W944">
        <v>54</v>
      </c>
      <c r="X944">
        <v>33.96</v>
      </c>
      <c r="Y944">
        <v>2.04</v>
      </c>
      <c r="Z944">
        <v>66.93000000000001</v>
      </c>
      <c r="AA944">
        <v>2322.58</v>
      </c>
      <c r="AB944">
        <v>1246.58</v>
      </c>
      <c r="AC944">
        <v>365.35</v>
      </c>
      <c r="AD944">
        <v>360</v>
      </c>
      <c r="AE944">
        <v>161.04</v>
      </c>
      <c r="AF944">
        <v>4455.55</v>
      </c>
      <c r="AG944">
        <v>607.86</v>
      </c>
      <c r="AH944">
        <v>7.31</v>
      </c>
    </row>
    <row r="945" spans="1:34">
      <c r="A945" t="s">
        <v>1340</v>
      </c>
      <c r="B945" t="s">
        <v>262</v>
      </c>
      <c r="C945" t="b">
        <v>1</v>
      </c>
      <c r="D945" t="b">
        <v>0</v>
      </c>
      <c r="E945" t="s">
        <v>1472</v>
      </c>
      <c r="F945" t="s">
        <v>1476</v>
      </c>
      <c r="G945" t="s">
        <v>81</v>
      </c>
      <c r="H945">
        <v>38</v>
      </c>
      <c r="I945">
        <v>5</v>
      </c>
      <c r="J945">
        <v>169</v>
      </c>
      <c r="K945">
        <v>6506.91</v>
      </c>
      <c r="L945">
        <v>222.59</v>
      </c>
      <c r="M945">
        <v>40</v>
      </c>
      <c r="N945">
        <v>6244.32</v>
      </c>
      <c r="O945">
        <v>2067</v>
      </c>
      <c r="P945">
        <v>4177.32</v>
      </c>
      <c r="Q945">
        <v>38.18</v>
      </c>
      <c r="R945">
        <v>380.8</v>
      </c>
      <c r="S945">
        <v>367</v>
      </c>
      <c r="T945">
        <v>133</v>
      </c>
      <c r="U945">
        <v>8</v>
      </c>
      <c r="V945">
        <v>36</v>
      </c>
      <c r="W945">
        <v>48</v>
      </c>
      <c r="X945">
        <v>36.95</v>
      </c>
      <c r="Y945">
        <v>2.17</v>
      </c>
      <c r="Z945">
        <v>66.90000000000001</v>
      </c>
      <c r="AA945">
        <v>2322.58</v>
      </c>
      <c r="AB945">
        <v>1246.58</v>
      </c>
      <c r="AC945">
        <v>366.39</v>
      </c>
      <c r="AD945">
        <v>110</v>
      </c>
      <c r="AE945">
        <v>217.11</v>
      </c>
      <c r="AF945">
        <v>4262.66</v>
      </c>
      <c r="AG945">
        <v>-504.32</v>
      </c>
      <c r="AH945">
        <v>-8.08</v>
      </c>
    </row>
    <row r="946" spans="1:34">
      <c r="A946" t="s">
        <v>1341</v>
      </c>
      <c r="B946" t="s">
        <v>263</v>
      </c>
      <c r="C946" t="b">
        <v>1</v>
      </c>
      <c r="D946" t="b">
        <v>0</v>
      </c>
      <c r="E946" t="s">
        <v>1472</v>
      </c>
      <c r="F946" t="s">
        <v>1476</v>
      </c>
      <c r="G946" t="s">
        <v>81</v>
      </c>
      <c r="H946">
        <v>34.3</v>
      </c>
      <c r="I946">
        <v>6</v>
      </c>
      <c r="J946">
        <v>167</v>
      </c>
      <c r="K946">
        <v>6679.08</v>
      </c>
      <c r="L946">
        <v>196.52</v>
      </c>
      <c r="M946">
        <v>34.78</v>
      </c>
      <c r="N946">
        <v>6447.78</v>
      </c>
      <c r="O946">
        <v>2093.54</v>
      </c>
      <c r="P946">
        <v>4354.24</v>
      </c>
      <c r="Q946">
        <v>43.29</v>
      </c>
      <c r="R946">
        <v>379.99</v>
      </c>
      <c r="S946">
        <v>371</v>
      </c>
      <c r="T946">
        <v>124</v>
      </c>
      <c r="U946">
        <v>7</v>
      </c>
      <c r="V946">
        <v>43</v>
      </c>
      <c r="W946">
        <v>42</v>
      </c>
      <c r="X946">
        <v>38.61</v>
      </c>
      <c r="Y946">
        <v>2.22</v>
      </c>
      <c r="Z946">
        <v>67.53</v>
      </c>
      <c r="AA946">
        <v>2322.58</v>
      </c>
      <c r="AB946">
        <v>1246.58</v>
      </c>
      <c r="AC946">
        <v>367.35</v>
      </c>
      <c r="AD946">
        <v>110</v>
      </c>
      <c r="AE946">
        <v>216.37</v>
      </c>
      <c r="AF946">
        <v>4262.88</v>
      </c>
      <c r="AG946">
        <v>-331.92</v>
      </c>
      <c r="AH946">
        <v>-5.15</v>
      </c>
    </row>
    <row r="947" spans="1:34">
      <c r="A947" t="s">
        <v>500</v>
      </c>
      <c r="B947" t="s">
        <v>75</v>
      </c>
      <c r="C947" t="b">
        <v>0</v>
      </c>
      <c r="D947" t="b">
        <v>0</v>
      </c>
      <c r="E947" t="s">
        <v>1472</v>
      </c>
      <c r="F947" t="s">
        <v>1476</v>
      </c>
      <c r="G947" t="s">
        <v>1501</v>
      </c>
      <c r="H947">
        <v>34.2</v>
      </c>
      <c r="I947">
        <v>7</v>
      </c>
      <c r="J947">
        <v>179</v>
      </c>
      <c r="K947">
        <v>5744.29</v>
      </c>
      <c r="L947">
        <v>408.92</v>
      </c>
      <c r="M947">
        <v>23.48</v>
      </c>
      <c r="N947">
        <v>5311.89</v>
      </c>
      <c r="O947">
        <v>1772.7</v>
      </c>
      <c r="P947">
        <v>3539.19</v>
      </c>
      <c r="Q947">
        <v>38.91</v>
      </c>
      <c r="R947">
        <v>302.07</v>
      </c>
      <c r="S947">
        <v>331</v>
      </c>
      <c r="T947">
        <v>136</v>
      </c>
      <c r="U947">
        <v>7</v>
      </c>
      <c r="V947">
        <v>43</v>
      </c>
      <c r="W947">
        <v>40</v>
      </c>
      <c r="X947">
        <v>29.68</v>
      </c>
      <c r="Y947">
        <v>1.85</v>
      </c>
      <c r="Z947">
        <v>66.63</v>
      </c>
      <c r="AA947">
        <v>2322.58</v>
      </c>
      <c r="AB947">
        <v>1246.58</v>
      </c>
      <c r="AC947">
        <v>350.6</v>
      </c>
      <c r="AD947">
        <v>360</v>
      </c>
      <c r="AE947">
        <v>194.29</v>
      </c>
      <c r="AF947">
        <v>4474.05</v>
      </c>
      <c r="AG947">
        <v>-1275.84</v>
      </c>
      <c r="AH947">
        <v>-24.02</v>
      </c>
    </row>
    <row r="948" spans="1:34">
      <c r="A948" t="s">
        <v>1342</v>
      </c>
      <c r="B948" t="s">
        <v>258</v>
      </c>
      <c r="C948" t="b">
        <v>0</v>
      </c>
      <c r="D948" t="b">
        <v>0</v>
      </c>
      <c r="E948" t="s">
        <v>1472</v>
      </c>
      <c r="F948" t="s">
        <v>1476</v>
      </c>
      <c r="G948" t="s">
        <v>1501</v>
      </c>
      <c r="H948">
        <v>36.1</v>
      </c>
      <c r="I948">
        <v>8</v>
      </c>
      <c r="J948">
        <v>136</v>
      </c>
      <c r="K948">
        <v>4822.53</v>
      </c>
      <c r="L948">
        <v>264.11</v>
      </c>
      <c r="M948">
        <v>0</v>
      </c>
      <c r="N948">
        <v>4558.42</v>
      </c>
      <c r="O948">
        <v>1516.48</v>
      </c>
      <c r="P948">
        <v>3041.94</v>
      </c>
      <c r="Q948">
        <v>29.02</v>
      </c>
      <c r="R948">
        <v>344.4</v>
      </c>
      <c r="S948">
        <v>271</v>
      </c>
      <c r="T948">
        <v>103</v>
      </c>
      <c r="U948">
        <v>6</v>
      </c>
      <c r="V948">
        <v>33</v>
      </c>
      <c r="W948">
        <v>36</v>
      </c>
      <c r="X948">
        <v>33.52</v>
      </c>
      <c r="Y948">
        <v>1.99</v>
      </c>
      <c r="Z948">
        <v>66.73</v>
      </c>
      <c r="AA948">
        <v>2322.58</v>
      </c>
      <c r="AB948">
        <v>1246.58</v>
      </c>
      <c r="AC948">
        <v>363.87</v>
      </c>
      <c r="AD948">
        <v>360</v>
      </c>
      <c r="AE948">
        <v>194.14</v>
      </c>
      <c r="AF948">
        <v>4487.17</v>
      </c>
      <c r="AG948">
        <v>-1818.65</v>
      </c>
      <c r="AH948">
        <v>-39.9</v>
      </c>
    </row>
    <row r="949" spans="1:34">
      <c r="A949" t="s">
        <v>1343</v>
      </c>
      <c r="B949" t="s">
        <v>259</v>
      </c>
      <c r="C949" t="b">
        <v>0</v>
      </c>
      <c r="D949" t="b">
        <v>0</v>
      </c>
      <c r="E949" t="s">
        <v>1472</v>
      </c>
      <c r="F949" t="s">
        <v>1476</v>
      </c>
      <c r="G949" t="s">
        <v>1501</v>
      </c>
      <c r="H949">
        <v>38.4</v>
      </c>
      <c r="I949">
        <v>9</v>
      </c>
      <c r="J949">
        <v>147</v>
      </c>
      <c r="K949">
        <v>4912.97</v>
      </c>
      <c r="L949">
        <v>359.8</v>
      </c>
      <c r="M949">
        <v>8.699999999999999</v>
      </c>
      <c r="N949">
        <v>4544.47</v>
      </c>
      <c r="O949">
        <v>1474.26</v>
      </c>
      <c r="P949">
        <v>3070.21</v>
      </c>
      <c r="Q949">
        <v>28.5</v>
      </c>
      <c r="R949">
        <v>364.98</v>
      </c>
      <c r="S949">
        <v>291</v>
      </c>
      <c r="T949">
        <v>115</v>
      </c>
      <c r="U949">
        <v>8</v>
      </c>
      <c r="V949">
        <v>32</v>
      </c>
      <c r="W949">
        <v>44</v>
      </c>
      <c r="X949">
        <v>30.91</v>
      </c>
      <c r="Y949">
        <v>1.98</v>
      </c>
      <c r="Z949">
        <v>67.56</v>
      </c>
      <c r="AA949">
        <v>2322.58</v>
      </c>
      <c r="AB949">
        <v>1246.58</v>
      </c>
      <c r="AC949">
        <v>381.9</v>
      </c>
      <c r="AD949">
        <v>360</v>
      </c>
      <c r="AE949">
        <v>207.37</v>
      </c>
      <c r="AF949">
        <v>4518.43</v>
      </c>
      <c r="AG949">
        <v>-1841.7</v>
      </c>
      <c r="AH949">
        <v>-40.53</v>
      </c>
    </row>
    <row r="950" spans="1:34">
      <c r="A950" t="s">
        <v>1344</v>
      </c>
      <c r="B950" t="s">
        <v>260</v>
      </c>
      <c r="C950" t="b">
        <v>0</v>
      </c>
      <c r="D950" t="b">
        <v>0</v>
      </c>
      <c r="E950" t="s">
        <v>1472</v>
      </c>
      <c r="F950" t="s">
        <v>1476</v>
      </c>
      <c r="G950" t="s">
        <v>1501</v>
      </c>
      <c r="H950">
        <v>35.6</v>
      </c>
      <c r="I950">
        <v>10</v>
      </c>
      <c r="J950">
        <v>169</v>
      </c>
      <c r="K950">
        <v>5374.78</v>
      </c>
      <c r="L950">
        <v>328.7</v>
      </c>
      <c r="M950">
        <v>20</v>
      </c>
      <c r="N950">
        <v>5026.08</v>
      </c>
      <c r="O950">
        <v>1694.18</v>
      </c>
      <c r="P950">
        <v>3331.9</v>
      </c>
      <c r="Q950">
        <v>37.05</v>
      </c>
      <c r="R950">
        <v>224.4</v>
      </c>
      <c r="S950">
        <v>313</v>
      </c>
      <c r="T950">
        <v>125</v>
      </c>
      <c r="U950">
        <v>5</v>
      </c>
      <c r="V950">
        <v>44</v>
      </c>
      <c r="W950">
        <v>30</v>
      </c>
      <c r="X950">
        <v>29.74</v>
      </c>
      <c r="Y950">
        <v>1.85</v>
      </c>
      <c r="Z950">
        <v>66.29000000000001</v>
      </c>
      <c r="AA950">
        <v>2322.58</v>
      </c>
      <c r="AB950">
        <v>1246.58</v>
      </c>
      <c r="AC950">
        <v>359.52</v>
      </c>
      <c r="AD950">
        <v>360</v>
      </c>
      <c r="AE950">
        <v>188.35</v>
      </c>
      <c r="AF950">
        <v>4477.03</v>
      </c>
      <c r="AG950">
        <v>-1406.58</v>
      </c>
      <c r="AH950">
        <v>-27.99</v>
      </c>
    </row>
    <row r="951" spans="1:34">
      <c r="A951" t="s">
        <v>1345</v>
      </c>
      <c r="B951" t="s">
        <v>261</v>
      </c>
      <c r="C951" t="b">
        <v>0</v>
      </c>
      <c r="D951" t="b">
        <v>0</v>
      </c>
      <c r="E951" t="s">
        <v>1472</v>
      </c>
      <c r="F951" t="s">
        <v>1476</v>
      </c>
      <c r="G951" t="s">
        <v>1501</v>
      </c>
      <c r="H951">
        <v>34.4</v>
      </c>
      <c r="I951">
        <v>11</v>
      </c>
      <c r="J951">
        <v>274</v>
      </c>
      <c r="K951">
        <v>9537.299999999999</v>
      </c>
      <c r="L951">
        <v>553.5</v>
      </c>
      <c r="M951">
        <v>80.87</v>
      </c>
      <c r="N951">
        <v>8902.93</v>
      </c>
      <c r="O951">
        <v>2957.22</v>
      </c>
      <c r="P951">
        <v>5945.71</v>
      </c>
      <c r="Q951">
        <v>54.07</v>
      </c>
      <c r="R951">
        <v>657.84</v>
      </c>
      <c r="S951">
        <v>545</v>
      </c>
      <c r="T951">
        <v>224</v>
      </c>
      <c r="U951">
        <v>13</v>
      </c>
      <c r="V951">
        <v>50</v>
      </c>
      <c r="W951">
        <v>76</v>
      </c>
      <c r="X951">
        <v>32.49</v>
      </c>
      <c r="Y951">
        <v>1.99</v>
      </c>
      <c r="Z951">
        <v>66.78</v>
      </c>
      <c r="AA951">
        <v>2322.58</v>
      </c>
      <c r="AB951">
        <v>1246.58</v>
      </c>
      <c r="AC951">
        <v>343.3</v>
      </c>
      <c r="AD951">
        <v>360</v>
      </c>
      <c r="AE951">
        <v>182.07</v>
      </c>
      <c r="AF951">
        <v>4454.53</v>
      </c>
      <c r="AG951">
        <v>779.27</v>
      </c>
      <c r="AH951">
        <v>8.75</v>
      </c>
    </row>
    <row r="952" spans="1:34">
      <c r="A952" t="s">
        <v>1346</v>
      </c>
      <c r="B952" t="s">
        <v>262</v>
      </c>
      <c r="C952" t="b">
        <v>1</v>
      </c>
      <c r="D952" t="b">
        <v>0</v>
      </c>
      <c r="E952" t="s">
        <v>1472</v>
      </c>
      <c r="F952" t="s">
        <v>1476</v>
      </c>
      <c r="G952" t="s">
        <v>81</v>
      </c>
      <c r="H952">
        <v>34.9</v>
      </c>
      <c r="I952">
        <v>12</v>
      </c>
      <c r="J952">
        <v>173</v>
      </c>
      <c r="K952">
        <v>7226.06</v>
      </c>
      <c r="L952">
        <v>206.95</v>
      </c>
      <c r="M952">
        <v>18.26</v>
      </c>
      <c r="N952">
        <v>7000.85</v>
      </c>
      <c r="O952">
        <v>2229.55</v>
      </c>
      <c r="P952">
        <v>4771.3</v>
      </c>
      <c r="Q952">
        <v>57.4</v>
      </c>
      <c r="R952">
        <v>218.61</v>
      </c>
      <c r="S952">
        <v>407</v>
      </c>
      <c r="T952">
        <v>135</v>
      </c>
      <c r="U952">
        <v>5</v>
      </c>
      <c r="V952">
        <v>38</v>
      </c>
      <c r="W952">
        <v>29</v>
      </c>
      <c r="X952">
        <v>40.47</v>
      </c>
      <c r="Y952">
        <v>2.35</v>
      </c>
      <c r="Z952">
        <v>68.15000000000001</v>
      </c>
      <c r="AA952">
        <v>2322.58</v>
      </c>
      <c r="AB952">
        <v>1246.58</v>
      </c>
      <c r="AC952">
        <v>347.93</v>
      </c>
      <c r="AD952">
        <v>110</v>
      </c>
      <c r="AE952">
        <v>186.25</v>
      </c>
      <c r="AF952">
        <v>4213.34</v>
      </c>
      <c r="AG952">
        <v>281.95</v>
      </c>
      <c r="AH952">
        <v>4.03</v>
      </c>
    </row>
    <row r="953" spans="1:34">
      <c r="A953" t="s">
        <v>1347</v>
      </c>
      <c r="B953" t="s">
        <v>263</v>
      </c>
      <c r="C953" t="b">
        <v>1</v>
      </c>
      <c r="D953" t="b">
        <v>0</v>
      </c>
      <c r="E953" t="s">
        <v>1472</v>
      </c>
      <c r="F953" t="s">
        <v>1476</v>
      </c>
      <c r="G953" t="s">
        <v>81</v>
      </c>
      <c r="H953">
        <v>36.6</v>
      </c>
      <c r="I953">
        <v>13</v>
      </c>
      <c r="J953">
        <v>171</v>
      </c>
      <c r="K953">
        <v>6690.43</v>
      </c>
      <c r="L953">
        <v>150.43</v>
      </c>
      <c r="M953">
        <v>0</v>
      </c>
      <c r="N953">
        <v>6540</v>
      </c>
      <c r="O953">
        <v>2067.86</v>
      </c>
      <c r="P953">
        <v>4472.14</v>
      </c>
      <c r="Q953">
        <v>42.17</v>
      </c>
      <c r="R953">
        <v>421.42</v>
      </c>
      <c r="S953">
        <v>383</v>
      </c>
      <c r="T953">
        <v>134</v>
      </c>
      <c r="U953">
        <v>5</v>
      </c>
      <c r="V953">
        <v>37</v>
      </c>
      <c r="W953">
        <v>52</v>
      </c>
      <c r="X953">
        <v>38.25</v>
      </c>
      <c r="Y953">
        <v>2.24</v>
      </c>
      <c r="Z953">
        <v>68.38</v>
      </c>
      <c r="AA953">
        <v>2322.58</v>
      </c>
      <c r="AB953">
        <v>1246.58</v>
      </c>
      <c r="AC953">
        <v>389.02</v>
      </c>
      <c r="AD953">
        <v>110</v>
      </c>
      <c r="AE953">
        <v>185.44</v>
      </c>
      <c r="AF953">
        <v>4253.62</v>
      </c>
      <c r="AG953">
        <v>-245.07</v>
      </c>
      <c r="AH953">
        <v>-3.75</v>
      </c>
    </row>
    <row r="954" spans="1:34">
      <c r="A954" t="s">
        <v>501</v>
      </c>
      <c r="B954" t="s">
        <v>75</v>
      </c>
      <c r="C954" t="b">
        <v>0</v>
      </c>
      <c r="D954" t="b">
        <v>0</v>
      </c>
      <c r="E954" t="s">
        <v>1472</v>
      </c>
      <c r="F954" t="s">
        <v>1476</v>
      </c>
      <c r="G954" t="s">
        <v>1501</v>
      </c>
      <c r="H954">
        <v>38.6</v>
      </c>
      <c r="I954">
        <v>14</v>
      </c>
      <c r="J954">
        <v>159</v>
      </c>
      <c r="K954">
        <v>5106.02</v>
      </c>
      <c r="L954">
        <v>381.74</v>
      </c>
      <c r="M954">
        <v>13.91</v>
      </c>
      <c r="N954">
        <v>4710.37</v>
      </c>
      <c r="O954">
        <v>1543.69</v>
      </c>
      <c r="P954">
        <v>3166.68</v>
      </c>
      <c r="Q954">
        <v>28.27</v>
      </c>
      <c r="R954">
        <v>335.01</v>
      </c>
      <c r="S954">
        <v>299</v>
      </c>
      <c r="T954">
        <v>127</v>
      </c>
      <c r="U954">
        <v>9</v>
      </c>
      <c r="V954">
        <v>32</v>
      </c>
      <c r="W954">
        <v>46</v>
      </c>
      <c r="X954">
        <v>29.62</v>
      </c>
      <c r="Y954">
        <v>1.88</v>
      </c>
      <c r="Z954">
        <v>67.23</v>
      </c>
      <c r="AA954">
        <v>2322.58</v>
      </c>
      <c r="AB954">
        <v>1246.58</v>
      </c>
      <c r="AC954">
        <v>394.97</v>
      </c>
      <c r="AD954">
        <v>360</v>
      </c>
      <c r="AE954">
        <v>177.9</v>
      </c>
      <c r="AF954">
        <v>4502.03</v>
      </c>
      <c r="AG954">
        <v>-1698.63</v>
      </c>
      <c r="AH954">
        <v>-36.06</v>
      </c>
    </row>
    <row r="955" spans="1:34">
      <c r="A955" t="s">
        <v>1348</v>
      </c>
      <c r="B955" t="s">
        <v>258</v>
      </c>
      <c r="C955" t="b">
        <v>0</v>
      </c>
      <c r="D955" t="b">
        <v>0</v>
      </c>
      <c r="E955" t="s">
        <v>1472</v>
      </c>
      <c r="F955" t="s">
        <v>1476</v>
      </c>
      <c r="G955" t="s">
        <v>1501</v>
      </c>
      <c r="H955">
        <v>36.3</v>
      </c>
      <c r="I955">
        <v>15</v>
      </c>
      <c r="J955">
        <v>156</v>
      </c>
      <c r="K955">
        <v>4946.07</v>
      </c>
      <c r="L955">
        <v>275.22</v>
      </c>
      <c r="M955">
        <v>18.26</v>
      </c>
      <c r="N955">
        <v>4652.59</v>
      </c>
      <c r="O955">
        <v>1480.05</v>
      </c>
      <c r="P955">
        <v>3172.54</v>
      </c>
      <c r="Q955">
        <v>28.52</v>
      </c>
      <c r="R955">
        <v>326.18</v>
      </c>
      <c r="S955">
        <v>288</v>
      </c>
      <c r="T955">
        <v>125</v>
      </c>
      <c r="U955">
        <v>14</v>
      </c>
      <c r="V955">
        <v>31</v>
      </c>
      <c r="W955">
        <v>42</v>
      </c>
      <c r="X955">
        <v>29.82</v>
      </c>
      <c r="Y955">
        <v>1.85</v>
      </c>
      <c r="Z955">
        <v>68.19</v>
      </c>
      <c r="AA955">
        <v>2322.58</v>
      </c>
      <c r="AB955">
        <v>1246.58</v>
      </c>
      <c r="AC955">
        <v>339.1</v>
      </c>
      <c r="AD955">
        <v>360</v>
      </c>
      <c r="AE955">
        <v>167.12</v>
      </c>
      <c r="AF955">
        <v>4435.38</v>
      </c>
      <c r="AG955">
        <v>-1617.54</v>
      </c>
      <c r="AH955">
        <v>-34.77</v>
      </c>
    </row>
    <row r="956" spans="1:34">
      <c r="A956" t="s">
        <v>1349</v>
      </c>
      <c r="B956" t="s">
        <v>259</v>
      </c>
      <c r="C956" t="b">
        <v>0</v>
      </c>
      <c r="D956" t="b">
        <v>0</v>
      </c>
      <c r="E956" t="s">
        <v>1472</v>
      </c>
      <c r="F956" t="s">
        <v>1476</v>
      </c>
      <c r="G956" t="s">
        <v>1501</v>
      </c>
      <c r="H956">
        <v>37.6</v>
      </c>
      <c r="I956">
        <v>16</v>
      </c>
      <c r="J956">
        <v>154</v>
      </c>
      <c r="K956">
        <v>5129.52</v>
      </c>
      <c r="L956">
        <v>395.88</v>
      </c>
      <c r="M956">
        <v>34.78</v>
      </c>
      <c r="N956">
        <v>4698.86</v>
      </c>
      <c r="O956">
        <v>1581.57</v>
      </c>
      <c r="P956">
        <v>3117.29</v>
      </c>
      <c r="Q956">
        <v>28.24</v>
      </c>
      <c r="R956">
        <v>324.81</v>
      </c>
      <c r="S956">
        <v>298</v>
      </c>
      <c r="T956">
        <v>124</v>
      </c>
      <c r="U956">
        <v>9</v>
      </c>
      <c r="V956">
        <v>30</v>
      </c>
      <c r="W956">
        <v>43</v>
      </c>
      <c r="X956">
        <v>30.51</v>
      </c>
      <c r="Y956">
        <v>1.94</v>
      </c>
      <c r="Z956">
        <v>66.34</v>
      </c>
      <c r="AA956">
        <v>2322.58</v>
      </c>
      <c r="AB956">
        <v>1246.58</v>
      </c>
      <c r="AC956">
        <v>357.23</v>
      </c>
      <c r="AD956">
        <v>360</v>
      </c>
      <c r="AE956">
        <v>182.34</v>
      </c>
      <c r="AF956">
        <v>4468.73</v>
      </c>
      <c r="AG956">
        <v>-1704.49</v>
      </c>
      <c r="AH956">
        <v>-36.27</v>
      </c>
    </row>
    <row r="957" spans="1:34">
      <c r="A957" t="s">
        <v>1350</v>
      </c>
      <c r="B957" t="s">
        <v>260</v>
      </c>
      <c r="C957" t="b">
        <v>0</v>
      </c>
      <c r="D957" t="b">
        <v>0</v>
      </c>
      <c r="E957" t="s">
        <v>1472</v>
      </c>
      <c r="F957" t="s">
        <v>1476</v>
      </c>
      <c r="G957" t="s">
        <v>1501</v>
      </c>
      <c r="H957">
        <v>38.6</v>
      </c>
      <c r="I957">
        <v>17</v>
      </c>
      <c r="J957">
        <v>172</v>
      </c>
      <c r="K957">
        <v>6141.67</v>
      </c>
      <c r="L957">
        <v>393.71</v>
      </c>
      <c r="M957">
        <v>0</v>
      </c>
      <c r="N957">
        <v>5747.96</v>
      </c>
      <c r="O957">
        <v>1913.25</v>
      </c>
      <c r="P957">
        <v>3834.71</v>
      </c>
      <c r="Q957">
        <v>36.55</v>
      </c>
      <c r="R957">
        <v>366.27</v>
      </c>
      <c r="S957">
        <v>351</v>
      </c>
      <c r="T957">
        <v>143</v>
      </c>
      <c r="U957">
        <v>8</v>
      </c>
      <c r="V957">
        <v>29</v>
      </c>
      <c r="W957">
        <v>43</v>
      </c>
      <c r="X957">
        <v>33.42</v>
      </c>
      <c r="Y957">
        <v>2.04</v>
      </c>
      <c r="Z957">
        <v>66.70999999999999</v>
      </c>
      <c r="AA957">
        <v>2322.58</v>
      </c>
      <c r="AB957">
        <v>1246.58</v>
      </c>
      <c r="AC957">
        <v>405.85</v>
      </c>
      <c r="AD957">
        <v>360</v>
      </c>
      <c r="AE957">
        <v>199.28</v>
      </c>
      <c r="AF957">
        <v>4534.29</v>
      </c>
      <c r="AG957">
        <v>-1102.4</v>
      </c>
      <c r="AH957">
        <v>-19.18</v>
      </c>
    </row>
    <row r="958" spans="1:34">
      <c r="A958" t="s">
        <v>1351</v>
      </c>
      <c r="B958" t="s">
        <v>261</v>
      </c>
      <c r="C958" t="b">
        <v>0</v>
      </c>
      <c r="D958" t="b">
        <v>0</v>
      </c>
      <c r="E958" t="s">
        <v>1472</v>
      </c>
      <c r="F958" t="s">
        <v>1476</v>
      </c>
      <c r="G958" t="s">
        <v>1501</v>
      </c>
      <c r="H958">
        <v>38.3</v>
      </c>
      <c r="I958">
        <v>18</v>
      </c>
      <c r="J958">
        <v>193</v>
      </c>
      <c r="K958">
        <v>6746.03</v>
      </c>
      <c r="L958">
        <v>396.11</v>
      </c>
      <c r="M958">
        <v>35</v>
      </c>
      <c r="N958">
        <v>6314.92</v>
      </c>
      <c r="O958">
        <v>2070.18</v>
      </c>
      <c r="P958">
        <v>4244.74</v>
      </c>
      <c r="Q958">
        <v>47.03</v>
      </c>
      <c r="R958">
        <v>295.79</v>
      </c>
      <c r="S958">
        <v>379</v>
      </c>
      <c r="T958">
        <v>156</v>
      </c>
      <c r="U958">
        <v>7</v>
      </c>
      <c r="V958">
        <v>37</v>
      </c>
      <c r="W958">
        <v>40</v>
      </c>
      <c r="X958">
        <v>32.72</v>
      </c>
      <c r="Y958">
        <v>1.96</v>
      </c>
      <c r="Z958">
        <v>67.22</v>
      </c>
      <c r="AA958">
        <v>2322.58</v>
      </c>
      <c r="AB958">
        <v>1246.58</v>
      </c>
      <c r="AC958">
        <v>383.49</v>
      </c>
      <c r="AD958">
        <v>360</v>
      </c>
      <c r="AE958">
        <v>222.29</v>
      </c>
      <c r="AF958">
        <v>4534.94</v>
      </c>
      <c r="AG958">
        <v>-633.02</v>
      </c>
      <c r="AH958">
        <v>-10.02</v>
      </c>
    </row>
    <row r="959" spans="1:34">
      <c r="A959" t="s">
        <v>1352</v>
      </c>
      <c r="B959" t="s">
        <v>262</v>
      </c>
      <c r="C959" t="b">
        <v>1</v>
      </c>
      <c r="D959" t="b">
        <v>0</v>
      </c>
      <c r="E959" t="s">
        <v>1472</v>
      </c>
      <c r="F959" t="s">
        <v>1476</v>
      </c>
      <c r="G959" t="s">
        <v>81</v>
      </c>
      <c r="H959">
        <v>38.2</v>
      </c>
      <c r="I959">
        <v>19</v>
      </c>
      <c r="J959">
        <v>171</v>
      </c>
      <c r="K959">
        <v>6530.38</v>
      </c>
      <c r="L959">
        <v>333.03</v>
      </c>
      <c r="M959">
        <v>26.96</v>
      </c>
      <c r="N959">
        <v>6170.39</v>
      </c>
      <c r="O959">
        <v>1982.04</v>
      </c>
      <c r="P959">
        <v>4188.35</v>
      </c>
      <c r="Q959">
        <v>36.44</v>
      </c>
      <c r="R959">
        <v>451.26</v>
      </c>
      <c r="S959">
        <v>365</v>
      </c>
      <c r="T959">
        <v>134</v>
      </c>
      <c r="U959">
        <v>4</v>
      </c>
      <c r="V959">
        <v>37</v>
      </c>
      <c r="W959">
        <v>51</v>
      </c>
      <c r="X959">
        <v>36.08</v>
      </c>
      <c r="Y959">
        <v>2.13</v>
      </c>
      <c r="Z959">
        <v>67.88</v>
      </c>
      <c r="AA959">
        <v>2322.58</v>
      </c>
      <c r="AB959">
        <v>1246.58</v>
      </c>
      <c r="AC959">
        <v>383.14</v>
      </c>
      <c r="AD959">
        <v>110</v>
      </c>
      <c r="AE959">
        <v>208.6</v>
      </c>
      <c r="AF959">
        <v>4270.9</v>
      </c>
      <c r="AG959">
        <v>-570.25</v>
      </c>
      <c r="AH959">
        <v>-9.24</v>
      </c>
    </row>
    <row r="960" spans="1:34">
      <c r="A960" t="s">
        <v>1353</v>
      </c>
      <c r="B960" t="s">
        <v>263</v>
      </c>
      <c r="C960" t="b">
        <v>1</v>
      </c>
      <c r="D960" t="b">
        <v>0</v>
      </c>
      <c r="E960" t="s">
        <v>1472</v>
      </c>
      <c r="F960" t="s">
        <v>1476</v>
      </c>
      <c r="G960" t="s">
        <v>81</v>
      </c>
      <c r="H960">
        <v>36.5</v>
      </c>
      <c r="I960">
        <v>20</v>
      </c>
      <c r="J960">
        <v>139</v>
      </c>
      <c r="K960">
        <v>5307.81</v>
      </c>
      <c r="L960">
        <v>74.78</v>
      </c>
      <c r="M960">
        <v>37.39</v>
      </c>
      <c r="N960">
        <v>5195.64</v>
      </c>
      <c r="O960">
        <v>1641.66</v>
      </c>
      <c r="P960">
        <v>3553.98</v>
      </c>
      <c r="Q960">
        <v>35.62</v>
      </c>
      <c r="R960">
        <v>295.83</v>
      </c>
      <c r="S960">
        <v>306</v>
      </c>
      <c r="T960">
        <v>109</v>
      </c>
      <c r="U960">
        <v>10</v>
      </c>
      <c r="V960">
        <v>30</v>
      </c>
      <c r="W960">
        <v>36</v>
      </c>
      <c r="X960">
        <v>37.38</v>
      </c>
      <c r="Y960">
        <v>2.2</v>
      </c>
      <c r="Z960">
        <v>68.40000000000001</v>
      </c>
      <c r="AA960">
        <v>2322.58</v>
      </c>
      <c r="AB960">
        <v>1246.58</v>
      </c>
      <c r="AC960">
        <v>363.64</v>
      </c>
      <c r="AD960">
        <v>110</v>
      </c>
      <c r="AE960">
        <v>219.62</v>
      </c>
      <c r="AF960">
        <v>4262.42</v>
      </c>
      <c r="AG960">
        <v>-1039.89</v>
      </c>
      <c r="AH960">
        <v>-20.01</v>
      </c>
    </row>
    <row r="961" spans="1:34">
      <c r="A961" t="s">
        <v>502</v>
      </c>
      <c r="B961" t="s">
        <v>75</v>
      </c>
      <c r="C961" t="b">
        <v>0</v>
      </c>
      <c r="D961" t="b">
        <v>0</v>
      </c>
      <c r="E961" t="s">
        <v>1472</v>
      </c>
      <c r="F961" t="s">
        <v>1476</v>
      </c>
      <c r="G961" t="s">
        <v>1501</v>
      </c>
      <c r="H961">
        <v>36.6</v>
      </c>
      <c r="I961">
        <v>21</v>
      </c>
      <c r="J961">
        <v>172</v>
      </c>
      <c r="K961">
        <v>5545.99</v>
      </c>
      <c r="L961">
        <v>430.62</v>
      </c>
      <c r="M961">
        <v>18.26</v>
      </c>
      <c r="N961">
        <v>5097.11</v>
      </c>
      <c r="O961">
        <v>1703.65</v>
      </c>
      <c r="P961">
        <v>3393.46</v>
      </c>
      <c r="Q961">
        <v>32.97</v>
      </c>
      <c r="R961">
        <v>329.03</v>
      </c>
      <c r="S961">
        <v>336</v>
      </c>
      <c r="T961">
        <v>150</v>
      </c>
      <c r="U961">
        <v>8</v>
      </c>
      <c r="V961">
        <v>22</v>
      </c>
      <c r="W961">
        <v>42</v>
      </c>
      <c r="X961">
        <v>29.63</v>
      </c>
      <c r="Y961">
        <v>1.95</v>
      </c>
      <c r="Z961">
        <v>66.58</v>
      </c>
      <c r="AA961">
        <v>2322.58</v>
      </c>
      <c r="AB961">
        <v>1246.58</v>
      </c>
      <c r="AC961">
        <v>375.24</v>
      </c>
      <c r="AD961">
        <v>360</v>
      </c>
      <c r="AE961">
        <v>213.33</v>
      </c>
      <c r="AF961">
        <v>4517.73</v>
      </c>
      <c r="AG961">
        <v>-1486.27</v>
      </c>
      <c r="AH961">
        <v>-29.16</v>
      </c>
    </row>
    <row r="962" spans="1:34">
      <c r="A962" t="s">
        <v>1354</v>
      </c>
      <c r="B962" t="s">
        <v>258</v>
      </c>
      <c r="C962" t="b">
        <v>0</v>
      </c>
      <c r="D962" t="b">
        <v>0</v>
      </c>
      <c r="E962" t="s">
        <v>1472</v>
      </c>
      <c r="F962" t="s">
        <v>1476</v>
      </c>
      <c r="G962" t="s">
        <v>1501</v>
      </c>
      <c r="H962">
        <v>36.6</v>
      </c>
      <c r="I962">
        <v>22</v>
      </c>
      <c r="J962">
        <v>139</v>
      </c>
      <c r="K962">
        <v>4298.14</v>
      </c>
      <c r="L962">
        <v>270.85</v>
      </c>
      <c r="M962">
        <v>24.34</v>
      </c>
      <c r="N962">
        <v>4002.95</v>
      </c>
      <c r="O962">
        <v>1288.57</v>
      </c>
      <c r="P962">
        <v>2714.38</v>
      </c>
      <c r="Q962">
        <v>27.56</v>
      </c>
      <c r="R962">
        <v>310.01</v>
      </c>
      <c r="S962">
        <v>249</v>
      </c>
      <c r="T962">
        <v>114</v>
      </c>
      <c r="U962">
        <v>9</v>
      </c>
      <c r="V962">
        <v>25</v>
      </c>
      <c r="W962">
        <v>39</v>
      </c>
      <c r="X962">
        <v>28.8</v>
      </c>
      <c r="Y962">
        <v>1.79</v>
      </c>
      <c r="Z962">
        <v>67.81</v>
      </c>
      <c r="AA962">
        <v>2322.58</v>
      </c>
      <c r="AB962">
        <v>1246.58</v>
      </c>
      <c r="AC962">
        <v>384.43</v>
      </c>
      <c r="AD962">
        <v>360</v>
      </c>
      <c r="AE962">
        <v>142.8</v>
      </c>
      <c r="AF962">
        <v>4456.39</v>
      </c>
      <c r="AG962">
        <v>-2079.58</v>
      </c>
      <c r="AH962">
        <v>-51.95</v>
      </c>
    </row>
    <row r="963" spans="1:34">
      <c r="A963" t="s">
        <v>1355</v>
      </c>
      <c r="B963" t="s">
        <v>259</v>
      </c>
      <c r="C963" t="b">
        <v>0</v>
      </c>
      <c r="D963" t="b">
        <v>0</v>
      </c>
      <c r="E963" t="s">
        <v>1472</v>
      </c>
      <c r="F963" t="s">
        <v>1476</v>
      </c>
      <c r="G963" t="s">
        <v>1501</v>
      </c>
      <c r="H963">
        <v>35.2</v>
      </c>
      <c r="I963">
        <v>23</v>
      </c>
      <c r="J963">
        <v>177</v>
      </c>
      <c r="K963">
        <v>5859.89</v>
      </c>
      <c r="L963">
        <v>463.09</v>
      </c>
      <c r="M963">
        <v>21.74</v>
      </c>
      <c r="N963">
        <v>5375.06</v>
      </c>
      <c r="O963">
        <v>1840.24</v>
      </c>
      <c r="P963">
        <v>3534.82</v>
      </c>
      <c r="Q963">
        <v>36.94</v>
      </c>
      <c r="R963">
        <v>290.49</v>
      </c>
      <c r="S963">
        <v>342</v>
      </c>
      <c r="T963">
        <v>128</v>
      </c>
      <c r="U963">
        <v>9</v>
      </c>
      <c r="V963">
        <v>49</v>
      </c>
      <c r="W963">
        <v>33</v>
      </c>
      <c r="X963">
        <v>30.37</v>
      </c>
      <c r="Y963">
        <v>1.93</v>
      </c>
      <c r="Z963">
        <v>65.76000000000001</v>
      </c>
      <c r="AA963">
        <v>2322.58</v>
      </c>
      <c r="AB963">
        <v>1246.58</v>
      </c>
      <c r="AC963">
        <v>345.79</v>
      </c>
      <c r="AD963">
        <v>360</v>
      </c>
      <c r="AE963">
        <v>203.84</v>
      </c>
      <c r="AF963">
        <v>4478.79</v>
      </c>
      <c r="AG963">
        <v>-1271.4</v>
      </c>
      <c r="AH963">
        <v>-23.65</v>
      </c>
    </row>
    <row r="964" spans="1:34">
      <c r="A964" t="s">
        <v>1356</v>
      </c>
      <c r="B964" t="s">
        <v>260</v>
      </c>
      <c r="C964" t="b">
        <v>0</v>
      </c>
      <c r="D964" t="b">
        <v>0</v>
      </c>
      <c r="E964" t="s">
        <v>1472</v>
      </c>
      <c r="F964" t="s">
        <v>1476</v>
      </c>
      <c r="G964" t="s">
        <v>1501</v>
      </c>
      <c r="H964">
        <v>35.2</v>
      </c>
      <c r="I964">
        <v>24</v>
      </c>
      <c r="J964">
        <v>191</v>
      </c>
      <c r="K964">
        <v>6147.82</v>
      </c>
      <c r="L964">
        <v>365.25</v>
      </c>
      <c r="M964">
        <v>18.26</v>
      </c>
      <c r="N964">
        <v>5764.31</v>
      </c>
      <c r="O964">
        <v>1925.66</v>
      </c>
      <c r="P964">
        <v>3838.65</v>
      </c>
      <c r="Q964">
        <v>40.31</v>
      </c>
      <c r="R964">
        <v>286.75</v>
      </c>
      <c r="S964">
        <v>349</v>
      </c>
      <c r="T964">
        <v>151</v>
      </c>
      <c r="U964">
        <v>8</v>
      </c>
      <c r="V964">
        <v>40</v>
      </c>
      <c r="W964">
        <v>39</v>
      </c>
      <c r="X964">
        <v>30.18</v>
      </c>
      <c r="Y964">
        <v>1.83</v>
      </c>
      <c r="Z964">
        <v>66.59</v>
      </c>
      <c r="AA964">
        <v>2322.58</v>
      </c>
      <c r="AB964">
        <v>1246.58</v>
      </c>
      <c r="AC964">
        <v>355.7</v>
      </c>
      <c r="AD964">
        <v>360</v>
      </c>
      <c r="AE964">
        <v>203.88</v>
      </c>
      <c r="AF964">
        <v>4488.74</v>
      </c>
      <c r="AG964">
        <v>-977.15</v>
      </c>
      <c r="AH964">
        <v>-16.95</v>
      </c>
    </row>
    <row r="965" spans="1:34">
      <c r="A965" t="s">
        <v>1357</v>
      </c>
      <c r="B965" t="s">
        <v>261</v>
      </c>
      <c r="C965" t="b">
        <v>0</v>
      </c>
      <c r="D965" t="b">
        <v>0</v>
      </c>
      <c r="E965" t="s">
        <v>1472</v>
      </c>
      <c r="F965" t="s">
        <v>1476</v>
      </c>
      <c r="G965" t="s">
        <v>1501</v>
      </c>
      <c r="H965">
        <v>34.9</v>
      </c>
      <c r="I965">
        <v>25</v>
      </c>
      <c r="J965">
        <v>236</v>
      </c>
      <c r="K965">
        <v>8231.200000000001</v>
      </c>
      <c r="L965">
        <v>580.5</v>
      </c>
      <c r="M965">
        <v>41.53</v>
      </c>
      <c r="N965">
        <v>7609.17</v>
      </c>
      <c r="O965">
        <v>2444.15</v>
      </c>
      <c r="P965">
        <v>5165.02</v>
      </c>
      <c r="Q965">
        <v>48.62</v>
      </c>
      <c r="R965">
        <v>475.26</v>
      </c>
      <c r="S965">
        <v>482</v>
      </c>
      <c r="T965">
        <v>196</v>
      </c>
      <c r="U965">
        <v>11</v>
      </c>
      <c r="V965">
        <v>40</v>
      </c>
      <c r="W965">
        <v>56</v>
      </c>
      <c r="X965">
        <v>32.24</v>
      </c>
      <c r="Y965">
        <v>2.04</v>
      </c>
      <c r="Z965">
        <v>67.88</v>
      </c>
      <c r="AA965">
        <v>2322.58</v>
      </c>
      <c r="AB965">
        <v>1246.58</v>
      </c>
      <c r="AC965">
        <v>336.87</v>
      </c>
      <c r="AD965">
        <v>360</v>
      </c>
      <c r="AE965">
        <v>190.9</v>
      </c>
      <c r="AF965">
        <v>4456.93</v>
      </c>
      <c r="AG965">
        <v>184.21</v>
      </c>
      <c r="AH965">
        <v>2.42</v>
      </c>
    </row>
    <row r="966" spans="1:34">
      <c r="A966" t="s">
        <v>1358</v>
      </c>
      <c r="B966" t="s">
        <v>262</v>
      </c>
      <c r="C966" t="b">
        <v>1</v>
      </c>
      <c r="D966" t="b">
        <v>0</v>
      </c>
      <c r="E966" t="s">
        <v>1472</v>
      </c>
      <c r="F966" t="s">
        <v>1476</v>
      </c>
      <c r="G966" t="s">
        <v>81</v>
      </c>
      <c r="H966">
        <v>34.7</v>
      </c>
      <c r="I966">
        <v>26</v>
      </c>
      <c r="J966">
        <v>136</v>
      </c>
      <c r="K966">
        <v>5189.46</v>
      </c>
      <c r="L966">
        <v>114.77</v>
      </c>
      <c r="M966">
        <v>73.04000000000001</v>
      </c>
      <c r="N966">
        <v>5001.65</v>
      </c>
      <c r="O966">
        <v>1579.09</v>
      </c>
      <c r="P966">
        <v>3422.56</v>
      </c>
      <c r="Q966">
        <v>34.66</v>
      </c>
      <c r="R966">
        <v>305.53</v>
      </c>
      <c r="S966">
        <v>298</v>
      </c>
      <c r="T966">
        <v>106</v>
      </c>
      <c r="U966">
        <v>7</v>
      </c>
      <c r="V966">
        <v>30</v>
      </c>
      <c r="W966">
        <v>33</v>
      </c>
      <c r="X966">
        <v>36.78</v>
      </c>
      <c r="Y966">
        <v>2.19</v>
      </c>
      <c r="Z966">
        <v>68.43000000000001</v>
      </c>
      <c r="AA966">
        <v>2322.58</v>
      </c>
      <c r="AB966">
        <v>1246.58</v>
      </c>
      <c r="AC966">
        <v>384.3</v>
      </c>
      <c r="AD966">
        <v>110</v>
      </c>
      <c r="AE966">
        <v>181.81</v>
      </c>
      <c r="AF966">
        <v>4245.27</v>
      </c>
      <c r="AG966">
        <v>-1162.9</v>
      </c>
      <c r="AH966">
        <v>-23.25</v>
      </c>
    </row>
    <row r="967" spans="1:34">
      <c r="A967" t="s">
        <v>1359</v>
      </c>
      <c r="B967" t="s">
        <v>263</v>
      </c>
      <c r="C967" t="b">
        <v>1</v>
      </c>
      <c r="D967" t="b">
        <v>0</v>
      </c>
      <c r="E967" t="s">
        <v>1472</v>
      </c>
      <c r="F967" t="s">
        <v>1476</v>
      </c>
      <c r="G967" t="s">
        <v>81</v>
      </c>
      <c r="H967">
        <v>35</v>
      </c>
      <c r="I967">
        <v>27</v>
      </c>
      <c r="J967">
        <v>186</v>
      </c>
      <c r="K967">
        <v>7754.8</v>
      </c>
      <c r="L967">
        <v>196.51</v>
      </c>
      <c r="M967">
        <v>20</v>
      </c>
      <c r="N967">
        <v>7538.29</v>
      </c>
      <c r="O967">
        <v>2446.95</v>
      </c>
      <c r="P967">
        <v>5091.34</v>
      </c>
      <c r="Q967">
        <v>46.93</v>
      </c>
      <c r="R967">
        <v>542.38</v>
      </c>
      <c r="S967">
        <v>452</v>
      </c>
      <c r="T967">
        <v>147</v>
      </c>
      <c r="U967">
        <v>8</v>
      </c>
      <c r="V967">
        <v>39</v>
      </c>
      <c r="W967">
        <v>54</v>
      </c>
      <c r="X967">
        <v>40.53</v>
      </c>
      <c r="Y967">
        <v>2.43</v>
      </c>
      <c r="Z967">
        <v>67.54000000000001</v>
      </c>
      <c r="AA967">
        <v>2322.58</v>
      </c>
      <c r="AB967">
        <v>1246.58</v>
      </c>
      <c r="AC967">
        <v>355.59</v>
      </c>
      <c r="AD967">
        <v>110</v>
      </c>
      <c r="AE967">
        <v>214.64</v>
      </c>
      <c r="AF967">
        <v>4249.39</v>
      </c>
      <c r="AG967">
        <v>252.64</v>
      </c>
      <c r="AH967">
        <v>3.35</v>
      </c>
    </row>
    <row r="968" spans="1:34">
      <c r="A968" t="s">
        <v>503</v>
      </c>
      <c r="B968" t="s">
        <v>75</v>
      </c>
      <c r="C968" t="b">
        <v>0</v>
      </c>
      <c r="D968" t="b">
        <v>0</v>
      </c>
      <c r="E968" t="s">
        <v>1472</v>
      </c>
      <c r="F968" t="s">
        <v>82</v>
      </c>
      <c r="G968" t="s">
        <v>1502</v>
      </c>
      <c r="H968">
        <v>35.8</v>
      </c>
      <c r="I968">
        <v>28</v>
      </c>
      <c r="J968">
        <v>218</v>
      </c>
      <c r="K968">
        <v>6593.88</v>
      </c>
      <c r="L968">
        <v>588.8</v>
      </c>
      <c r="M968">
        <v>17.74</v>
      </c>
      <c r="N968">
        <v>5987.34</v>
      </c>
      <c r="O968">
        <v>2043.37</v>
      </c>
      <c r="P968">
        <v>3943.97</v>
      </c>
      <c r="Q968">
        <v>44.62</v>
      </c>
      <c r="R968">
        <v>198.44</v>
      </c>
      <c r="S968">
        <v>376</v>
      </c>
      <c r="T968">
        <v>168</v>
      </c>
      <c r="U968">
        <v>20</v>
      </c>
      <c r="V968">
        <v>50</v>
      </c>
      <c r="W968">
        <v>33</v>
      </c>
      <c r="X968">
        <v>27.46</v>
      </c>
      <c r="Y968">
        <v>1.72</v>
      </c>
      <c r="Z968">
        <v>65.87</v>
      </c>
      <c r="AA968">
        <v>2322.58</v>
      </c>
      <c r="AB968">
        <v>1246.58</v>
      </c>
      <c r="AC968">
        <v>328.1</v>
      </c>
      <c r="AD968">
        <v>660</v>
      </c>
      <c r="AE968">
        <v>201.58</v>
      </c>
      <c r="AF968">
        <v>4758.84</v>
      </c>
      <c r="AG968">
        <v>-1057.93</v>
      </c>
      <c r="AH968">
        <v>-17.67</v>
      </c>
    </row>
    <row r="969" spans="1:34">
      <c r="A969" t="s">
        <v>1360</v>
      </c>
      <c r="B969" t="s">
        <v>258</v>
      </c>
      <c r="C969" t="b">
        <v>0</v>
      </c>
      <c r="D969" t="b">
        <v>0</v>
      </c>
      <c r="E969" t="s">
        <v>1472</v>
      </c>
      <c r="F969" t="s">
        <v>82</v>
      </c>
      <c r="G969" t="s">
        <v>1502</v>
      </c>
      <c r="H969">
        <v>35.7</v>
      </c>
      <c r="I969">
        <v>29</v>
      </c>
      <c r="J969">
        <v>219</v>
      </c>
      <c r="K969">
        <v>6504.2</v>
      </c>
      <c r="L969">
        <v>579.33</v>
      </c>
      <c r="M969">
        <v>0</v>
      </c>
      <c r="N969">
        <v>5924.87</v>
      </c>
      <c r="O969">
        <v>1990.51</v>
      </c>
      <c r="P969">
        <v>3934.36</v>
      </c>
      <c r="Q969">
        <v>39.56</v>
      </c>
      <c r="R969">
        <v>322.37</v>
      </c>
      <c r="S969">
        <v>389</v>
      </c>
      <c r="T969">
        <v>159</v>
      </c>
      <c r="U969">
        <v>23</v>
      </c>
      <c r="V969">
        <v>60</v>
      </c>
      <c r="W969">
        <v>39</v>
      </c>
      <c r="X969">
        <v>27.05</v>
      </c>
      <c r="Y969">
        <v>1.78</v>
      </c>
      <c r="Z969">
        <v>66.40000000000001</v>
      </c>
      <c r="AA969">
        <v>2322.58</v>
      </c>
      <c r="AB969">
        <v>1246.58</v>
      </c>
      <c r="AC969">
        <v>354.06</v>
      </c>
      <c r="AD969">
        <v>660</v>
      </c>
      <c r="AE969">
        <v>200.35</v>
      </c>
      <c r="AF969">
        <v>4783.57</v>
      </c>
      <c r="AG969">
        <v>-1211.14</v>
      </c>
      <c r="AH969">
        <v>-20.44</v>
      </c>
    </row>
    <row r="970" spans="1:34">
      <c r="A970" t="s">
        <v>1361</v>
      </c>
      <c r="B970" t="s">
        <v>259</v>
      </c>
      <c r="C970" t="b">
        <v>0</v>
      </c>
      <c r="D970" t="b">
        <v>0</v>
      </c>
      <c r="E970" t="s">
        <v>1472</v>
      </c>
      <c r="F970" t="s">
        <v>82</v>
      </c>
      <c r="G970" t="s">
        <v>1502</v>
      </c>
      <c r="H970">
        <v>35.1</v>
      </c>
      <c r="I970">
        <v>30</v>
      </c>
      <c r="J970">
        <v>184</v>
      </c>
      <c r="K970">
        <v>5785.18</v>
      </c>
      <c r="L970">
        <v>594.26</v>
      </c>
      <c r="M970">
        <v>18.26</v>
      </c>
      <c r="N970">
        <v>5172.66</v>
      </c>
      <c r="O970">
        <v>1842.89</v>
      </c>
      <c r="P970">
        <v>3329.77</v>
      </c>
      <c r="Q970">
        <v>36.36</v>
      </c>
      <c r="R970">
        <v>216.1</v>
      </c>
      <c r="S970">
        <v>333</v>
      </c>
      <c r="T970">
        <v>140</v>
      </c>
      <c r="U970">
        <v>11</v>
      </c>
      <c r="V970">
        <v>44</v>
      </c>
      <c r="W970">
        <v>29</v>
      </c>
      <c r="X970">
        <v>28.11</v>
      </c>
      <c r="Y970">
        <v>1.81</v>
      </c>
      <c r="Z970">
        <v>64.37</v>
      </c>
      <c r="AA970">
        <v>2322.58</v>
      </c>
      <c r="AB970">
        <v>1246.58</v>
      </c>
      <c r="AC970">
        <v>351.44</v>
      </c>
      <c r="AD970">
        <v>660</v>
      </c>
      <c r="AE970">
        <v>185.78</v>
      </c>
      <c r="AF970">
        <v>4766.38</v>
      </c>
      <c r="AG970">
        <v>-1689.07</v>
      </c>
      <c r="AH970">
        <v>-32.65</v>
      </c>
    </row>
    <row r="971" spans="1:34">
      <c r="A971" t="s">
        <v>1362</v>
      </c>
      <c r="B971" t="s">
        <v>260</v>
      </c>
      <c r="C971" t="b">
        <v>0</v>
      </c>
      <c r="D971" t="b">
        <v>0</v>
      </c>
      <c r="E971" t="s">
        <v>1472</v>
      </c>
      <c r="F971" t="s">
        <v>82</v>
      </c>
      <c r="G971" t="s">
        <v>1503</v>
      </c>
      <c r="H971">
        <v>33.5</v>
      </c>
      <c r="I971">
        <v>0</v>
      </c>
      <c r="J971">
        <v>272</v>
      </c>
      <c r="K971">
        <v>8518.07</v>
      </c>
      <c r="L971">
        <v>724.65</v>
      </c>
      <c r="M971">
        <v>0</v>
      </c>
      <c r="N971">
        <v>7793.42</v>
      </c>
      <c r="O971">
        <v>2575.74</v>
      </c>
      <c r="P971">
        <v>5217.68</v>
      </c>
      <c r="Q971">
        <v>59.86</v>
      </c>
      <c r="R971">
        <v>335.78</v>
      </c>
      <c r="S971">
        <v>489</v>
      </c>
      <c r="T971">
        <v>222</v>
      </c>
      <c r="U971">
        <v>16</v>
      </c>
      <c r="V971">
        <v>50</v>
      </c>
      <c r="W971">
        <v>49</v>
      </c>
      <c r="X971">
        <v>28.65</v>
      </c>
      <c r="Y971">
        <v>1.8</v>
      </c>
      <c r="Z971">
        <v>66.95</v>
      </c>
      <c r="AA971">
        <v>2322.58</v>
      </c>
      <c r="AB971">
        <v>1246.58</v>
      </c>
      <c r="AC971">
        <v>332.49</v>
      </c>
      <c r="AD971">
        <v>660</v>
      </c>
      <c r="AE971">
        <v>158.94</v>
      </c>
      <c r="AF971">
        <v>4720.59</v>
      </c>
      <c r="AG971">
        <v>101.45</v>
      </c>
      <c r="AH971">
        <v>1.3</v>
      </c>
    </row>
    <row r="972" spans="1:34">
      <c r="A972" t="s">
        <v>1363</v>
      </c>
      <c r="B972" t="s">
        <v>261</v>
      </c>
      <c r="C972" t="b">
        <v>0</v>
      </c>
      <c r="D972" t="b">
        <v>0</v>
      </c>
      <c r="E972" t="s">
        <v>1472</v>
      </c>
      <c r="F972" t="s">
        <v>82</v>
      </c>
      <c r="G972" t="s">
        <v>1503</v>
      </c>
      <c r="H972">
        <v>31.5</v>
      </c>
      <c r="I972">
        <v>1</v>
      </c>
      <c r="J972">
        <v>311</v>
      </c>
      <c r="K972">
        <v>10608.67</v>
      </c>
      <c r="L972">
        <v>827.6900000000001</v>
      </c>
      <c r="M972">
        <v>0</v>
      </c>
      <c r="N972">
        <v>9780.98</v>
      </c>
      <c r="O972">
        <v>3244.85</v>
      </c>
      <c r="P972">
        <v>6536.13</v>
      </c>
      <c r="Q972">
        <v>77.90000000000001</v>
      </c>
      <c r="R972">
        <v>370.08</v>
      </c>
      <c r="S972">
        <v>599</v>
      </c>
      <c r="T972">
        <v>239</v>
      </c>
      <c r="U972">
        <v>26</v>
      </c>
      <c r="V972">
        <v>72</v>
      </c>
      <c r="W972">
        <v>42</v>
      </c>
      <c r="X972">
        <v>31.45</v>
      </c>
      <c r="Y972">
        <v>1.93</v>
      </c>
      <c r="Z972">
        <v>66.81999999999999</v>
      </c>
      <c r="AA972">
        <v>2322.58</v>
      </c>
      <c r="AB972">
        <v>1246.58</v>
      </c>
      <c r="AC972">
        <v>323.35</v>
      </c>
      <c r="AD972">
        <v>660</v>
      </c>
      <c r="AE972">
        <v>158.22</v>
      </c>
      <c r="AF972">
        <v>4710.73</v>
      </c>
      <c r="AG972">
        <v>1377.42</v>
      </c>
      <c r="AH972">
        <v>14.08</v>
      </c>
    </row>
    <row r="973" spans="1:34">
      <c r="A973" t="s">
        <v>1364</v>
      </c>
      <c r="B973" t="s">
        <v>262</v>
      </c>
      <c r="C973" t="b">
        <v>1</v>
      </c>
      <c r="D973" t="b">
        <v>0</v>
      </c>
      <c r="E973" t="s">
        <v>1472</v>
      </c>
      <c r="F973" t="s">
        <v>82</v>
      </c>
      <c r="G973" t="s">
        <v>1504</v>
      </c>
      <c r="H973">
        <v>32.5</v>
      </c>
      <c r="I973">
        <v>2</v>
      </c>
      <c r="J973">
        <v>220</v>
      </c>
      <c r="K973">
        <v>8633.83</v>
      </c>
      <c r="L973">
        <v>286.26</v>
      </c>
      <c r="M973">
        <v>14.04</v>
      </c>
      <c r="N973">
        <v>8333.530000000001</v>
      </c>
      <c r="O973">
        <v>2677</v>
      </c>
      <c r="P973">
        <v>5656.53</v>
      </c>
      <c r="Q973">
        <v>62.08</v>
      </c>
      <c r="R973">
        <v>439.12</v>
      </c>
      <c r="S973">
        <v>498</v>
      </c>
      <c r="T973">
        <v>161</v>
      </c>
      <c r="U973">
        <v>17</v>
      </c>
      <c r="V973">
        <v>59</v>
      </c>
      <c r="W973">
        <v>45</v>
      </c>
      <c r="X973">
        <v>37.88</v>
      </c>
      <c r="Y973">
        <v>2.26</v>
      </c>
      <c r="Z973">
        <v>67.88</v>
      </c>
      <c r="AA973">
        <v>2322.58</v>
      </c>
      <c r="AB973">
        <v>1246.58</v>
      </c>
      <c r="AC973">
        <v>319.23</v>
      </c>
      <c r="AD973">
        <v>410</v>
      </c>
      <c r="AE973">
        <v>193.26</v>
      </c>
      <c r="AF973">
        <v>4491.65</v>
      </c>
      <c r="AG973">
        <v>663.6799999999999</v>
      </c>
      <c r="AH973">
        <v>7.96</v>
      </c>
    </row>
    <row r="974" spans="1:34">
      <c r="A974" t="s">
        <v>1365</v>
      </c>
      <c r="B974" t="s">
        <v>263</v>
      </c>
      <c r="C974" t="b">
        <v>1</v>
      </c>
      <c r="D974" t="b">
        <v>0</v>
      </c>
      <c r="E974" t="s">
        <v>1472</v>
      </c>
      <c r="F974" t="s">
        <v>82</v>
      </c>
      <c r="G974" t="s">
        <v>1504</v>
      </c>
      <c r="H974">
        <v>35.2</v>
      </c>
      <c r="I974">
        <v>3</v>
      </c>
      <c r="J974">
        <v>201</v>
      </c>
      <c r="K974">
        <v>7839.1</v>
      </c>
      <c r="L974">
        <v>328.89</v>
      </c>
      <c r="M974">
        <v>21.26</v>
      </c>
      <c r="N974">
        <v>7488.95</v>
      </c>
      <c r="O974">
        <v>2385.7</v>
      </c>
      <c r="P974">
        <v>5103.25</v>
      </c>
      <c r="Q974">
        <v>58.73</v>
      </c>
      <c r="R974">
        <v>299.08</v>
      </c>
      <c r="S974">
        <v>453</v>
      </c>
      <c r="T974">
        <v>147</v>
      </c>
      <c r="U974">
        <v>16</v>
      </c>
      <c r="V974">
        <v>54</v>
      </c>
      <c r="W974">
        <v>38</v>
      </c>
      <c r="X974">
        <v>37.26</v>
      </c>
      <c r="Y974">
        <v>2.25</v>
      </c>
      <c r="Z974">
        <v>68.14</v>
      </c>
      <c r="AA974">
        <v>2322.58</v>
      </c>
      <c r="AB974">
        <v>1246.58</v>
      </c>
      <c r="AC974">
        <v>357.14</v>
      </c>
      <c r="AD974">
        <v>410</v>
      </c>
      <c r="AE974">
        <v>181.9</v>
      </c>
      <c r="AF974">
        <v>4518.2</v>
      </c>
      <c r="AG974">
        <v>227.24</v>
      </c>
      <c r="AH974">
        <v>3.03</v>
      </c>
    </row>
    <row r="975" spans="1:34">
      <c r="A975" t="s">
        <v>504</v>
      </c>
      <c r="B975" t="s">
        <v>75</v>
      </c>
      <c r="C975" t="b">
        <v>0</v>
      </c>
      <c r="D975" t="b">
        <v>0</v>
      </c>
      <c r="E975" t="s">
        <v>1472</v>
      </c>
      <c r="F975" t="s">
        <v>82</v>
      </c>
      <c r="G975" t="s">
        <v>1503</v>
      </c>
      <c r="H975">
        <v>34</v>
      </c>
      <c r="I975">
        <v>4</v>
      </c>
      <c r="J975">
        <v>218</v>
      </c>
      <c r="K975">
        <v>6792.02</v>
      </c>
      <c r="L975">
        <v>464.13</v>
      </c>
      <c r="M975">
        <v>41.74</v>
      </c>
      <c r="N975">
        <v>6286.15</v>
      </c>
      <c r="O975">
        <v>2104.94</v>
      </c>
      <c r="P975">
        <v>4181.21</v>
      </c>
      <c r="Q975">
        <v>48.14</v>
      </c>
      <c r="R975">
        <v>239.16</v>
      </c>
      <c r="S975">
        <v>396</v>
      </c>
      <c r="T975">
        <v>173</v>
      </c>
      <c r="U975">
        <v>17</v>
      </c>
      <c r="V975">
        <v>45</v>
      </c>
      <c r="W975">
        <v>32</v>
      </c>
      <c r="X975">
        <v>28.84</v>
      </c>
      <c r="Y975">
        <v>1.82</v>
      </c>
      <c r="Z975">
        <v>66.51000000000001</v>
      </c>
      <c r="AA975">
        <v>2322.58</v>
      </c>
      <c r="AB975">
        <v>1246.58</v>
      </c>
      <c r="AC975">
        <v>366.11</v>
      </c>
      <c r="AD975">
        <v>660</v>
      </c>
      <c r="AE975">
        <v>206.64</v>
      </c>
      <c r="AF975">
        <v>4801.91</v>
      </c>
      <c r="AG975">
        <v>-908</v>
      </c>
      <c r="AH975">
        <v>-14.44</v>
      </c>
    </row>
    <row r="976" spans="1:34">
      <c r="A976" t="s">
        <v>1366</v>
      </c>
      <c r="B976" t="s">
        <v>258</v>
      </c>
      <c r="C976" t="b">
        <v>0</v>
      </c>
      <c r="D976" t="b">
        <v>0</v>
      </c>
      <c r="E976" t="s">
        <v>1473</v>
      </c>
      <c r="F976" t="s">
        <v>82</v>
      </c>
      <c r="G976" t="s">
        <v>306</v>
      </c>
      <c r="H976">
        <v>35.4</v>
      </c>
      <c r="I976">
        <v>5</v>
      </c>
      <c r="J976">
        <v>213</v>
      </c>
      <c r="K976">
        <v>6951.26</v>
      </c>
      <c r="L976">
        <v>268.56</v>
      </c>
      <c r="M976">
        <v>0</v>
      </c>
      <c r="N976">
        <v>6682.7</v>
      </c>
      <c r="O976">
        <v>2158.67</v>
      </c>
      <c r="P976">
        <v>4524.03</v>
      </c>
      <c r="Q976">
        <v>47.95</v>
      </c>
      <c r="R976">
        <v>280</v>
      </c>
      <c r="S976">
        <v>396</v>
      </c>
      <c r="T976">
        <v>159</v>
      </c>
      <c r="U976">
        <v>15</v>
      </c>
      <c r="V976">
        <v>54</v>
      </c>
      <c r="W976">
        <v>34</v>
      </c>
      <c r="X976">
        <v>31.37</v>
      </c>
      <c r="Y976">
        <v>1.86</v>
      </c>
      <c r="Z976">
        <v>67.7</v>
      </c>
      <c r="AA976">
        <v>2400</v>
      </c>
      <c r="AB976">
        <v>1246.58</v>
      </c>
      <c r="AC976">
        <v>355.53</v>
      </c>
      <c r="AD976">
        <v>410</v>
      </c>
      <c r="AE976">
        <v>211.7</v>
      </c>
      <c r="AF976">
        <v>4623.81</v>
      </c>
      <c r="AG976">
        <v>-427.73</v>
      </c>
      <c r="AH976">
        <v>-6.4</v>
      </c>
    </row>
    <row r="977" spans="1:34">
      <c r="A977" t="s">
        <v>1367</v>
      </c>
      <c r="B977" t="s">
        <v>259</v>
      </c>
      <c r="C977" t="b">
        <v>0</v>
      </c>
      <c r="D977" t="b">
        <v>0</v>
      </c>
      <c r="E977" t="s">
        <v>1473</v>
      </c>
      <c r="F977" t="s">
        <v>82</v>
      </c>
      <c r="G977" t="s">
        <v>306</v>
      </c>
      <c r="H977">
        <v>35.3</v>
      </c>
      <c r="I977">
        <v>6</v>
      </c>
      <c r="J977">
        <v>202</v>
      </c>
      <c r="K977">
        <v>6225.15</v>
      </c>
      <c r="L977">
        <v>285.05</v>
      </c>
      <c r="M977">
        <v>8.699999999999999</v>
      </c>
      <c r="N977">
        <v>5931.4</v>
      </c>
      <c r="O977">
        <v>1844.37</v>
      </c>
      <c r="P977">
        <v>4087.03</v>
      </c>
      <c r="Q977">
        <v>39.6</v>
      </c>
      <c r="R977">
        <v>333.72</v>
      </c>
      <c r="S977">
        <v>369</v>
      </c>
      <c r="T977">
        <v>156</v>
      </c>
      <c r="U977">
        <v>11</v>
      </c>
      <c r="V977">
        <v>46</v>
      </c>
      <c r="W977">
        <v>38</v>
      </c>
      <c r="X977">
        <v>29.36</v>
      </c>
      <c r="Y977">
        <v>1.83</v>
      </c>
      <c r="Z977">
        <v>68.90000000000001</v>
      </c>
      <c r="AA977">
        <v>2400</v>
      </c>
      <c r="AB977">
        <v>1246.58</v>
      </c>
      <c r="AC977">
        <v>343.77</v>
      </c>
      <c r="AD977">
        <v>410</v>
      </c>
      <c r="AE977">
        <v>195.03</v>
      </c>
      <c r="AF977">
        <v>4595.38</v>
      </c>
      <c r="AG977">
        <v>-881.67</v>
      </c>
      <c r="AH977">
        <v>-14.86</v>
      </c>
    </row>
    <row r="978" spans="1:34">
      <c r="A978" t="s">
        <v>1368</v>
      </c>
      <c r="B978" t="s">
        <v>260</v>
      </c>
      <c r="C978" t="b">
        <v>0</v>
      </c>
      <c r="D978" t="b">
        <v>0</v>
      </c>
      <c r="E978" t="s">
        <v>1473</v>
      </c>
      <c r="F978" t="s">
        <v>82</v>
      </c>
      <c r="G978" t="s">
        <v>306</v>
      </c>
      <c r="H978">
        <v>33.8</v>
      </c>
      <c r="I978">
        <v>7</v>
      </c>
      <c r="J978">
        <v>249</v>
      </c>
      <c r="K978">
        <v>7919.86</v>
      </c>
      <c r="L978">
        <v>624.53</v>
      </c>
      <c r="M978">
        <v>34.65</v>
      </c>
      <c r="N978">
        <v>7260.68</v>
      </c>
      <c r="O978">
        <v>2352.59</v>
      </c>
      <c r="P978">
        <v>4908.09</v>
      </c>
      <c r="Q978">
        <v>53.89</v>
      </c>
      <c r="R978">
        <v>324.89</v>
      </c>
      <c r="S978">
        <v>453</v>
      </c>
      <c r="T978">
        <v>202</v>
      </c>
      <c r="U978">
        <v>10</v>
      </c>
      <c r="V978">
        <v>47</v>
      </c>
      <c r="W978">
        <v>38</v>
      </c>
      <c r="X978">
        <v>29.16</v>
      </c>
      <c r="Y978">
        <v>1.82</v>
      </c>
      <c r="Z978">
        <v>67.59999999999999</v>
      </c>
      <c r="AA978">
        <v>2400</v>
      </c>
      <c r="AB978">
        <v>1246.58</v>
      </c>
      <c r="AC978">
        <v>336.37</v>
      </c>
      <c r="AD978">
        <v>410</v>
      </c>
      <c r="AE978">
        <v>185.68</v>
      </c>
      <c r="AF978">
        <v>4578.63</v>
      </c>
      <c r="AG978">
        <v>-49.32</v>
      </c>
      <c r="AH978">
        <v>-0.68</v>
      </c>
    </row>
    <row r="979" spans="1:34">
      <c r="A979" t="s">
        <v>1369</v>
      </c>
      <c r="B979" t="s">
        <v>261</v>
      </c>
      <c r="C979" t="b">
        <v>0</v>
      </c>
      <c r="D979" t="b">
        <v>0</v>
      </c>
      <c r="E979" t="s">
        <v>1473</v>
      </c>
      <c r="F979" t="s">
        <v>82</v>
      </c>
      <c r="G979" t="s">
        <v>306</v>
      </c>
      <c r="H979">
        <v>32.9</v>
      </c>
      <c r="I979">
        <v>8</v>
      </c>
      <c r="J979">
        <v>308</v>
      </c>
      <c r="K979">
        <v>10252.15</v>
      </c>
      <c r="L979">
        <v>600.46</v>
      </c>
      <c r="M979">
        <v>54.78</v>
      </c>
      <c r="N979">
        <v>9596.91</v>
      </c>
      <c r="O979">
        <v>3109.84</v>
      </c>
      <c r="P979">
        <v>6487.07</v>
      </c>
      <c r="Q979">
        <v>71.59999999999999</v>
      </c>
      <c r="R979">
        <v>424.73</v>
      </c>
      <c r="S979">
        <v>602</v>
      </c>
      <c r="T979">
        <v>249</v>
      </c>
      <c r="U979">
        <v>25</v>
      </c>
      <c r="V979">
        <v>59</v>
      </c>
      <c r="W979">
        <v>53</v>
      </c>
      <c r="X979">
        <v>31.16</v>
      </c>
      <c r="Y979">
        <v>1.95</v>
      </c>
      <c r="Z979">
        <v>67.59999999999999</v>
      </c>
      <c r="AA979">
        <v>2400</v>
      </c>
      <c r="AB979">
        <v>1246.58</v>
      </c>
      <c r="AC979">
        <v>325.15</v>
      </c>
      <c r="AD979">
        <v>410</v>
      </c>
      <c r="AE979">
        <v>190.48</v>
      </c>
      <c r="AF979">
        <v>4572.21</v>
      </c>
      <c r="AG979">
        <v>1418.53</v>
      </c>
      <c r="AH979">
        <v>14.78</v>
      </c>
    </row>
    <row r="980" spans="1:34">
      <c r="A980" t="s">
        <v>1370</v>
      </c>
      <c r="B980" t="s">
        <v>262</v>
      </c>
      <c r="C980" t="b">
        <v>1</v>
      </c>
      <c r="D980" t="b">
        <v>0</v>
      </c>
      <c r="E980" t="s">
        <v>1473</v>
      </c>
      <c r="F980" t="s">
        <v>82</v>
      </c>
      <c r="G980" t="s">
        <v>306</v>
      </c>
      <c r="H980">
        <v>35.3</v>
      </c>
      <c r="I980">
        <v>9</v>
      </c>
      <c r="J980">
        <v>242</v>
      </c>
      <c r="K980">
        <v>9766.040000000001</v>
      </c>
      <c r="L980">
        <v>410.6</v>
      </c>
      <c r="M980">
        <v>93.04000000000001</v>
      </c>
      <c r="N980">
        <v>9262.4</v>
      </c>
      <c r="O980">
        <v>2992.45</v>
      </c>
      <c r="P980">
        <v>6269.95</v>
      </c>
      <c r="Q980">
        <v>70.11</v>
      </c>
      <c r="R980">
        <v>423.82</v>
      </c>
      <c r="S980">
        <v>555</v>
      </c>
      <c r="T980">
        <v>169</v>
      </c>
      <c r="U980">
        <v>10</v>
      </c>
      <c r="V980">
        <v>73</v>
      </c>
      <c r="W980">
        <v>49</v>
      </c>
      <c r="X980">
        <v>38.27</v>
      </c>
      <c r="Y980">
        <v>2.29</v>
      </c>
      <c r="Z980">
        <v>67.69</v>
      </c>
      <c r="AA980">
        <v>2400</v>
      </c>
      <c r="AB980">
        <v>1246.58</v>
      </c>
      <c r="AC980">
        <v>342.37</v>
      </c>
      <c r="AD980">
        <v>410</v>
      </c>
      <c r="AE980">
        <v>203.2</v>
      </c>
      <c r="AF980">
        <v>4602.15</v>
      </c>
      <c r="AG980">
        <v>1173.87</v>
      </c>
      <c r="AH980">
        <v>12.67</v>
      </c>
    </row>
    <row r="981" spans="1:34">
      <c r="A981" t="s">
        <v>1371</v>
      </c>
      <c r="B981" t="s">
        <v>263</v>
      </c>
      <c r="C981" t="b">
        <v>1</v>
      </c>
      <c r="D981" t="b">
        <v>0</v>
      </c>
      <c r="E981" t="s">
        <v>1473</v>
      </c>
      <c r="F981" t="s">
        <v>82</v>
      </c>
      <c r="G981" t="s">
        <v>306</v>
      </c>
      <c r="H981">
        <v>34</v>
      </c>
      <c r="I981">
        <v>10</v>
      </c>
      <c r="J981">
        <v>209</v>
      </c>
      <c r="K981">
        <v>8086.06</v>
      </c>
      <c r="L981">
        <v>288.27</v>
      </c>
      <c r="M981">
        <v>20</v>
      </c>
      <c r="N981">
        <v>7777.79</v>
      </c>
      <c r="O981">
        <v>2438.26</v>
      </c>
      <c r="P981">
        <v>5339.53</v>
      </c>
      <c r="Q981">
        <v>60.31</v>
      </c>
      <c r="R981">
        <v>302.43</v>
      </c>
      <c r="S981">
        <v>475</v>
      </c>
      <c r="T981">
        <v>151</v>
      </c>
      <c r="U981">
        <v>13</v>
      </c>
      <c r="V981">
        <v>58</v>
      </c>
      <c r="W981">
        <v>35</v>
      </c>
      <c r="X981">
        <v>37.21</v>
      </c>
      <c r="Y981">
        <v>2.27</v>
      </c>
      <c r="Z981">
        <v>68.65000000000001</v>
      </c>
      <c r="AA981">
        <v>2400</v>
      </c>
      <c r="AB981">
        <v>1246.58</v>
      </c>
      <c r="AC981">
        <v>339.13</v>
      </c>
      <c r="AD981">
        <v>410</v>
      </c>
      <c r="AE981">
        <v>136.96</v>
      </c>
      <c r="AF981">
        <v>4532.67</v>
      </c>
      <c r="AG981">
        <v>444.12</v>
      </c>
      <c r="AH981">
        <v>5.71</v>
      </c>
    </row>
    <row r="982" spans="1:34">
      <c r="A982" t="s">
        <v>505</v>
      </c>
      <c r="B982" t="s">
        <v>75</v>
      </c>
      <c r="C982" t="b">
        <v>0</v>
      </c>
      <c r="D982" t="b">
        <v>0</v>
      </c>
      <c r="E982" t="s">
        <v>1473</v>
      </c>
      <c r="F982" t="s">
        <v>82</v>
      </c>
      <c r="G982" t="s">
        <v>81</v>
      </c>
      <c r="H982">
        <v>32.4</v>
      </c>
      <c r="I982">
        <v>11</v>
      </c>
      <c r="J982">
        <v>267</v>
      </c>
      <c r="K982">
        <v>7533.84</v>
      </c>
      <c r="L982">
        <v>166.95</v>
      </c>
      <c r="M982">
        <v>20</v>
      </c>
      <c r="N982">
        <v>7346.89</v>
      </c>
      <c r="O982">
        <v>2297.75</v>
      </c>
      <c r="P982">
        <v>5049.14</v>
      </c>
      <c r="Q982">
        <v>54.06</v>
      </c>
      <c r="R982">
        <v>279.1</v>
      </c>
      <c r="S982">
        <v>445</v>
      </c>
      <c r="T982">
        <v>213</v>
      </c>
      <c r="U982">
        <v>10</v>
      </c>
      <c r="V982">
        <v>54</v>
      </c>
      <c r="W982">
        <v>37</v>
      </c>
      <c r="X982">
        <v>27.52</v>
      </c>
      <c r="Y982">
        <v>1.67</v>
      </c>
      <c r="Z982">
        <v>68.72</v>
      </c>
      <c r="AA982">
        <v>2400</v>
      </c>
      <c r="AB982">
        <v>1246.58</v>
      </c>
      <c r="AC982">
        <v>325.51</v>
      </c>
      <c r="AD982">
        <v>110</v>
      </c>
      <c r="AE982">
        <v>220.3</v>
      </c>
      <c r="AF982">
        <v>4302.39</v>
      </c>
      <c r="AG982">
        <v>413.59</v>
      </c>
      <c r="AH982">
        <v>5.63</v>
      </c>
    </row>
    <row r="983" spans="1:34">
      <c r="A983" t="s">
        <v>1372</v>
      </c>
      <c r="B983" t="s">
        <v>258</v>
      </c>
      <c r="C983" t="b">
        <v>0</v>
      </c>
      <c r="D983" t="b">
        <v>0</v>
      </c>
      <c r="E983" t="s">
        <v>1473</v>
      </c>
      <c r="F983" t="s">
        <v>82</v>
      </c>
      <c r="G983" t="s">
        <v>81</v>
      </c>
      <c r="H983">
        <v>33.5</v>
      </c>
      <c r="I983">
        <v>12</v>
      </c>
      <c r="J983">
        <v>244</v>
      </c>
      <c r="K983">
        <v>7252.89</v>
      </c>
      <c r="L983">
        <v>130.43</v>
      </c>
      <c r="M983">
        <v>27.82</v>
      </c>
      <c r="N983">
        <v>7094.64</v>
      </c>
      <c r="O983">
        <v>2131.7</v>
      </c>
      <c r="P983">
        <v>4962.94</v>
      </c>
      <c r="Q983">
        <v>54.47</v>
      </c>
      <c r="R983">
        <v>307.12</v>
      </c>
      <c r="S983">
        <v>427</v>
      </c>
      <c r="T983">
        <v>191</v>
      </c>
      <c r="U983">
        <v>5</v>
      </c>
      <c r="V983">
        <v>53</v>
      </c>
      <c r="W983">
        <v>44</v>
      </c>
      <c r="X983">
        <v>29.08</v>
      </c>
      <c r="Y983">
        <v>1.75</v>
      </c>
      <c r="Z983">
        <v>69.95</v>
      </c>
      <c r="AA983">
        <v>2400</v>
      </c>
      <c r="AB983">
        <v>1246.58</v>
      </c>
      <c r="AC983">
        <v>337.2</v>
      </c>
      <c r="AD983">
        <v>110</v>
      </c>
      <c r="AE983">
        <v>187.37</v>
      </c>
      <c r="AF983">
        <v>4281.15</v>
      </c>
      <c r="AG983">
        <v>320.2</v>
      </c>
      <c r="AH983">
        <v>4.51</v>
      </c>
    </row>
    <row r="984" spans="1:34">
      <c r="A984" t="s">
        <v>1373</v>
      </c>
      <c r="B984" t="s">
        <v>259</v>
      </c>
      <c r="C984" t="b">
        <v>0</v>
      </c>
      <c r="D984" t="b">
        <v>0</v>
      </c>
      <c r="E984" t="s">
        <v>1473</v>
      </c>
      <c r="F984" t="s">
        <v>82</v>
      </c>
      <c r="G984" t="s">
        <v>81</v>
      </c>
      <c r="H984">
        <v>31.6</v>
      </c>
      <c r="I984">
        <v>13</v>
      </c>
      <c r="J984">
        <v>245</v>
      </c>
      <c r="K984">
        <v>8933.75</v>
      </c>
      <c r="L984">
        <v>403.89</v>
      </c>
      <c r="M984">
        <v>0</v>
      </c>
      <c r="N984">
        <v>8529.860000000001</v>
      </c>
      <c r="O984">
        <v>2665.81</v>
      </c>
      <c r="P984">
        <v>5864.05</v>
      </c>
      <c r="Q984">
        <v>56.93</v>
      </c>
      <c r="R984">
        <v>304.49</v>
      </c>
      <c r="S984">
        <v>518</v>
      </c>
      <c r="T984">
        <v>179</v>
      </c>
      <c r="U984">
        <v>10</v>
      </c>
      <c r="V984">
        <v>66</v>
      </c>
      <c r="W984">
        <v>37</v>
      </c>
      <c r="X984">
        <v>34.82</v>
      </c>
      <c r="Y984">
        <v>2.11</v>
      </c>
      <c r="Z984">
        <v>68.75</v>
      </c>
      <c r="AA984">
        <v>2400</v>
      </c>
      <c r="AB984">
        <v>1246.58</v>
      </c>
      <c r="AC984">
        <v>303.1</v>
      </c>
      <c r="AD984">
        <v>110</v>
      </c>
      <c r="AE984">
        <v>223.96</v>
      </c>
      <c r="AF984">
        <v>4283.64</v>
      </c>
      <c r="AG984">
        <v>1218.99</v>
      </c>
      <c r="AH984">
        <v>14.29</v>
      </c>
    </row>
    <row r="985" spans="1:34">
      <c r="A985" t="s">
        <v>1374</v>
      </c>
      <c r="B985" t="s">
        <v>260</v>
      </c>
      <c r="C985" t="b">
        <v>0</v>
      </c>
      <c r="D985" t="b">
        <v>0</v>
      </c>
      <c r="E985" t="s">
        <v>1473</v>
      </c>
      <c r="F985" t="s">
        <v>82</v>
      </c>
      <c r="G985" t="s">
        <v>81</v>
      </c>
      <c r="H985">
        <v>32.7</v>
      </c>
      <c r="I985">
        <v>14</v>
      </c>
      <c r="J985">
        <v>259</v>
      </c>
      <c r="K985">
        <v>8171.23</v>
      </c>
      <c r="L985">
        <v>215.63</v>
      </c>
      <c r="M985">
        <v>20</v>
      </c>
      <c r="N985">
        <v>7935.6</v>
      </c>
      <c r="O985">
        <v>2479.86</v>
      </c>
      <c r="P985">
        <v>5455.74</v>
      </c>
      <c r="Q985">
        <v>54.09</v>
      </c>
      <c r="R985">
        <v>394.73</v>
      </c>
      <c r="S985">
        <v>464</v>
      </c>
      <c r="T985">
        <v>199</v>
      </c>
      <c r="U985">
        <v>12</v>
      </c>
      <c r="V985">
        <v>60</v>
      </c>
      <c r="W985">
        <v>41</v>
      </c>
      <c r="X985">
        <v>30.64</v>
      </c>
      <c r="Y985">
        <v>1.79</v>
      </c>
      <c r="Z985">
        <v>68.75</v>
      </c>
      <c r="AA985">
        <v>2400</v>
      </c>
      <c r="AB985">
        <v>1246.58</v>
      </c>
      <c r="AC985">
        <v>339.23</v>
      </c>
      <c r="AD985">
        <v>110</v>
      </c>
      <c r="AE985">
        <v>183.79</v>
      </c>
      <c r="AF985">
        <v>4279.6</v>
      </c>
      <c r="AG985">
        <v>727.3200000000001</v>
      </c>
      <c r="AH985">
        <v>9.17</v>
      </c>
    </row>
    <row r="986" spans="1:34">
      <c r="A986" t="s">
        <v>1375</v>
      </c>
      <c r="B986" t="s">
        <v>261</v>
      </c>
      <c r="C986" t="b">
        <v>0</v>
      </c>
      <c r="D986" t="b">
        <v>0</v>
      </c>
      <c r="E986" t="s">
        <v>1473</v>
      </c>
      <c r="F986" t="s">
        <v>82</v>
      </c>
      <c r="G986" t="s">
        <v>81</v>
      </c>
      <c r="H986">
        <v>32.6</v>
      </c>
      <c r="I986">
        <v>15</v>
      </c>
      <c r="J986">
        <v>274</v>
      </c>
      <c r="K986">
        <v>9198.23</v>
      </c>
      <c r="L986">
        <v>272.17</v>
      </c>
      <c r="M986">
        <v>0</v>
      </c>
      <c r="N986">
        <v>8926.059999999999</v>
      </c>
      <c r="O986">
        <v>2757.23</v>
      </c>
      <c r="P986">
        <v>6168.83</v>
      </c>
      <c r="Q986">
        <v>63.89</v>
      </c>
      <c r="R986">
        <v>441.91</v>
      </c>
      <c r="S986">
        <v>529</v>
      </c>
      <c r="T986">
        <v>206</v>
      </c>
      <c r="U986">
        <v>9</v>
      </c>
      <c r="V986">
        <v>68</v>
      </c>
      <c r="W986">
        <v>48</v>
      </c>
      <c r="X986">
        <v>32.58</v>
      </c>
      <c r="Y986">
        <v>1.93</v>
      </c>
      <c r="Z986">
        <v>69.11</v>
      </c>
      <c r="AA986">
        <v>2400</v>
      </c>
      <c r="AB986">
        <v>1246.58</v>
      </c>
      <c r="AC986">
        <v>291.98</v>
      </c>
      <c r="AD986">
        <v>110</v>
      </c>
      <c r="AE986">
        <v>170.99</v>
      </c>
      <c r="AF986">
        <v>4219.55</v>
      </c>
      <c r="AG986">
        <v>1443.48</v>
      </c>
      <c r="AH986">
        <v>16.17</v>
      </c>
    </row>
    <row r="987" spans="1:34">
      <c r="A987" t="s">
        <v>1376</v>
      </c>
      <c r="B987" t="s">
        <v>262</v>
      </c>
      <c r="C987" t="b">
        <v>1</v>
      </c>
      <c r="D987" t="b">
        <v>0</v>
      </c>
      <c r="E987" t="s">
        <v>1473</v>
      </c>
      <c r="F987" t="s">
        <v>82</v>
      </c>
      <c r="G987" t="s">
        <v>81</v>
      </c>
      <c r="H987">
        <v>33.8</v>
      </c>
      <c r="I987">
        <v>16</v>
      </c>
      <c r="J987">
        <v>267</v>
      </c>
      <c r="K987">
        <v>10854.71</v>
      </c>
      <c r="L987">
        <v>434.78</v>
      </c>
      <c r="M987">
        <v>16.52</v>
      </c>
      <c r="N987">
        <v>10403.41</v>
      </c>
      <c r="O987">
        <v>3223.05</v>
      </c>
      <c r="P987">
        <v>7180.36</v>
      </c>
      <c r="Q987">
        <v>79.16</v>
      </c>
      <c r="R987">
        <v>522.61</v>
      </c>
      <c r="S987">
        <v>623</v>
      </c>
      <c r="T987">
        <v>203</v>
      </c>
      <c r="U987">
        <v>11</v>
      </c>
      <c r="V987">
        <v>64</v>
      </c>
      <c r="W987">
        <v>59</v>
      </c>
      <c r="X987">
        <v>38.96</v>
      </c>
      <c r="Y987">
        <v>2.33</v>
      </c>
      <c r="Z987">
        <v>69.02</v>
      </c>
      <c r="AA987">
        <v>2400</v>
      </c>
      <c r="AB987">
        <v>1246.58</v>
      </c>
      <c r="AC987">
        <v>330.31</v>
      </c>
      <c r="AD987">
        <v>110</v>
      </c>
      <c r="AE987">
        <v>149.01</v>
      </c>
      <c r="AF987">
        <v>4235.9</v>
      </c>
      <c r="AG987">
        <v>2342.69</v>
      </c>
      <c r="AH987">
        <v>22.52</v>
      </c>
    </row>
    <row r="988" spans="1:34">
      <c r="A988" t="s">
        <v>1377</v>
      </c>
      <c r="B988" t="s">
        <v>263</v>
      </c>
      <c r="C988" t="b">
        <v>1</v>
      </c>
      <c r="D988" t="b">
        <v>0</v>
      </c>
      <c r="E988" t="s">
        <v>1473</v>
      </c>
      <c r="F988" t="s">
        <v>82</v>
      </c>
      <c r="G988" t="s">
        <v>81</v>
      </c>
      <c r="H988">
        <v>34</v>
      </c>
      <c r="I988">
        <v>17</v>
      </c>
      <c r="J988">
        <v>215</v>
      </c>
      <c r="K988">
        <v>8850.4</v>
      </c>
      <c r="L988">
        <v>386.96</v>
      </c>
      <c r="M988">
        <v>11.31</v>
      </c>
      <c r="N988">
        <v>8452.129999999999</v>
      </c>
      <c r="O988">
        <v>2758.14</v>
      </c>
      <c r="P988">
        <v>5693.99</v>
      </c>
      <c r="Q988">
        <v>67.48999999999999</v>
      </c>
      <c r="R988">
        <v>355.46</v>
      </c>
      <c r="S988">
        <v>505</v>
      </c>
      <c r="T988">
        <v>168</v>
      </c>
      <c r="U988">
        <v>6</v>
      </c>
      <c r="V988">
        <v>47</v>
      </c>
      <c r="W988">
        <v>34</v>
      </c>
      <c r="X988">
        <v>39.31</v>
      </c>
      <c r="Y988">
        <v>2.35</v>
      </c>
      <c r="Z988">
        <v>67.37</v>
      </c>
      <c r="AA988">
        <v>2400</v>
      </c>
      <c r="AB988">
        <v>1246.58</v>
      </c>
      <c r="AC988">
        <v>333.44</v>
      </c>
      <c r="AD988">
        <v>110</v>
      </c>
      <c r="AE988">
        <v>199.86</v>
      </c>
      <c r="AF988">
        <v>4289.88</v>
      </c>
      <c r="AG988">
        <v>981.16</v>
      </c>
      <c r="AH988">
        <v>11.61</v>
      </c>
    </row>
    <row r="989" spans="1:34">
      <c r="A989" t="s">
        <v>506</v>
      </c>
      <c r="B989" t="s">
        <v>75</v>
      </c>
      <c r="C989" t="b">
        <v>0</v>
      </c>
      <c r="D989" t="b">
        <v>0</v>
      </c>
      <c r="E989" t="s">
        <v>1473</v>
      </c>
      <c r="F989" t="s">
        <v>82</v>
      </c>
      <c r="G989" t="s">
        <v>81</v>
      </c>
      <c r="H989">
        <v>34.3</v>
      </c>
      <c r="I989">
        <v>18</v>
      </c>
      <c r="J989">
        <v>234</v>
      </c>
      <c r="K989">
        <v>8481.58</v>
      </c>
      <c r="L989">
        <v>355.28</v>
      </c>
      <c r="M989">
        <v>0</v>
      </c>
      <c r="N989">
        <v>8126.3</v>
      </c>
      <c r="O989">
        <v>2513.21</v>
      </c>
      <c r="P989">
        <v>5613.09</v>
      </c>
      <c r="Q989">
        <v>56.21</v>
      </c>
      <c r="R989">
        <v>211.49</v>
      </c>
      <c r="S989">
        <v>514</v>
      </c>
      <c r="T989">
        <v>167</v>
      </c>
      <c r="U989">
        <v>5</v>
      </c>
      <c r="V989">
        <v>67</v>
      </c>
      <c r="W989">
        <v>24</v>
      </c>
      <c r="X989">
        <v>34.73</v>
      </c>
      <c r="Y989">
        <v>2.2</v>
      </c>
      <c r="Z989">
        <v>69.06999999999999</v>
      </c>
      <c r="AA989">
        <v>2400</v>
      </c>
      <c r="AB989">
        <v>1246.58</v>
      </c>
      <c r="AC989">
        <v>354.57</v>
      </c>
      <c r="AD989">
        <v>110</v>
      </c>
      <c r="AE989">
        <v>182.46</v>
      </c>
      <c r="AF989">
        <v>4293.61</v>
      </c>
      <c r="AG989">
        <v>1051.78</v>
      </c>
      <c r="AH989">
        <v>12.94</v>
      </c>
    </row>
    <row r="990" spans="1:34">
      <c r="A990" t="s">
        <v>1378</v>
      </c>
      <c r="B990" t="s">
        <v>258</v>
      </c>
      <c r="C990" t="b">
        <v>0</v>
      </c>
      <c r="D990" t="b">
        <v>0</v>
      </c>
      <c r="E990" t="s">
        <v>1473</v>
      </c>
      <c r="F990" t="s">
        <v>82</v>
      </c>
      <c r="G990" t="s">
        <v>81</v>
      </c>
      <c r="H990">
        <v>33.3</v>
      </c>
      <c r="I990">
        <v>19</v>
      </c>
      <c r="J990">
        <v>257</v>
      </c>
      <c r="K990">
        <v>8526.85</v>
      </c>
      <c r="L990">
        <v>392.33</v>
      </c>
      <c r="M990">
        <v>17.39</v>
      </c>
      <c r="N990">
        <v>8117.13</v>
      </c>
      <c r="O990">
        <v>2558.04</v>
      </c>
      <c r="P990">
        <v>5559.09</v>
      </c>
      <c r="Q990">
        <v>54.7</v>
      </c>
      <c r="R990">
        <v>306.26</v>
      </c>
      <c r="S990">
        <v>481</v>
      </c>
      <c r="T990">
        <v>195</v>
      </c>
      <c r="U990">
        <v>6</v>
      </c>
      <c r="V990">
        <v>62</v>
      </c>
      <c r="W990">
        <v>35</v>
      </c>
      <c r="X990">
        <v>31.58</v>
      </c>
      <c r="Y990">
        <v>1.87</v>
      </c>
      <c r="Z990">
        <v>68.48999999999999</v>
      </c>
      <c r="AA990">
        <v>2400</v>
      </c>
      <c r="AB990">
        <v>1246.58</v>
      </c>
      <c r="AC990">
        <v>347.96</v>
      </c>
      <c r="AD990">
        <v>110</v>
      </c>
      <c r="AE990">
        <v>190.4</v>
      </c>
      <c r="AF990">
        <v>4294.94</v>
      </c>
      <c r="AG990">
        <v>903.1900000000001</v>
      </c>
      <c r="AH990">
        <v>11.13</v>
      </c>
    </row>
    <row r="991" spans="1:34">
      <c r="A991" t="s">
        <v>1379</v>
      </c>
      <c r="B991" t="s">
        <v>259</v>
      </c>
      <c r="C991" t="b">
        <v>0</v>
      </c>
      <c r="D991" t="b">
        <v>0</v>
      </c>
      <c r="E991" t="s">
        <v>1473</v>
      </c>
      <c r="F991" t="s">
        <v>82</v>
      </c>
      <c r="G991" t="s">
        <v>81</v>
      </c>
      <c r="H991">
        <v>34.6</v>
      </c>
      <c r="I991">
        <v>20</v>
      </c>
      <c r="J991">
        <v>221</v>
      </c>
      <c r="K991">
        <v>7123.38</v>
      </c>
      <c r="L991">
        <v>328.6</v>
      </c>
      <c r="M991">
        <v>0</v>
      </c>
      <c r="N991">
        <v>6794.78</v>
      </c>
      <c r="O991">
        <v>2133.38</v>
      </c>
      <c r="P991">
        <v>4661.4</v>
      </c>
      <c r="Q991">
        <v>54.86</v>
      </c>
      <c r="R991">
        <v>183.63</v>
      </c>
      <c r="S991">
        <v>410</v>
      </c>
      <c r="T991">
        <v>160</v>
      </c>
      <c r="U991">
        <v>9</v>
      </c>
      <c r="V991">
        <v>61</v>
      </c>
      <c r="W991">
        <v>27</v>
      </c>
      <c r="X991">
        <v>30.75</v>
      </c>
      <c r="Y991">
        <v>1.86</v>
      </c>
      <c r="Z991">
        <v>68.59999999999999</v>
      </c>
      <c r="AA991">
        <v>2400</v>
      </c>
      <c r="AB991">
        <v>1246.58</v>
      </c>
      <c r="AC991">
        <v>366.19</v>
      </c>
      <c r="AD991">
        <v>110</v>
      </c>
      <c r="AE991">
        <v>188.83</v>
      </c>
      <c r="AF991">
        <v>4311.6</v>
      </c>
      <c r="AG991">
        <v>111.31</v>
      </c>
      <c r="AH991">
        <v>1.64</v>
      </c>
    </row>
    <row r="992" spans="1:34">
      <c r="A992" t="s">
        <v>1380</v>
      </c>
      <c r="B992" t="s">
        <v>260</v>
      </c>
      <c r="C992" t="b">
        <v>0</v>
      </c>
      <c r="D992" t="b">
        <v>0</v>
      </c>
      <c r="E992" t="s">
        <v>1473</v>
      </c>
      <c r="F992" t="s">
        <v>82</v>
      </c>
      <c r="G992" t="s">
        <v>81</v>
      </c>
      <c r="H992">
        <v>33.9</v>
      </c>
      <c r="I992">
        <v>21</v>
      </c>
      <c r="J992">
        <v>264</v>
      </c>
      <c r="K992">
        <v>8663.4</v>
      </c>
      <c r="L992">
        <v>286.08</v>
      </c>
      <c r="M992">
        <v>0</v>
      </c>
      <c r="N992">
        <v>8377.32</v>
      </c>
      <c r="O992">
        <v>2670.38</v>
      </c>
      <c r="P992">
        <v>5706.94</v>
      </c>
      <c r="Q992">
        <v>68.92</v>
      </c>
      <c r="R992">
        <v>250.94</v>
      </c>
      <c r="S992">
        <v>498</v>
      </c>
      <c r="T992">
        <v>191</v>
      </c>
      <c r="U992">
        <v>5</v>
      </c>
      <c r="V992">
        <v>73</v>
      </c>
      <c r="W992">
        <v>33</v>
      </c>
      <c r="X992">
        <v>31.73</v>
      </c>
      <c r="Y992">
        <v>1.89</v>
      </c>
      <c r="Z992">
        <v>68.12</v>
      </c>
      <c r="AA992">
        <v>2400</v>
      </c>
      <c r="AB992">
        <v>1246.58</v>
      </c>
      <c r="AC992">
        <v>335.95</v>
      </c>
      <c r="AD992">
        <v>110</v>
      </c>
      <c r="AE992">
        <v>190.81</v>
      </c>
      <c r="AF992">
        <v>4283.34</v>
      </c>
      <c r="AG992">
        <v>1103.74</v>
      </c>
      <c r="AH992">
        <v>13.18</v>
      </c>
    </row>
    <row r="993" spans="1:34">
      <c r="A993" t="s">
        <v>1381</v>
      </c>
      <c r="B993" t="s">
        <v>261</v>
      </c>
      <c r="C993" t="b">
        <v>0</v>
      </c>
      <c r="D993" t="b">
        <v>0</v>
      </c>
      <c r="E993" t="s">
        <v>1473</v>
      </c>
      <c r="F993" t="s">
        <v>82</v>
      </c>
      <c r="G993" t="s">
        <v>81</v>
      </c>
      <c r="H993">
        <v>33.5</v>
      </c>
      <c r="I993">
        <v>22</v>
      </c>
      <c r="J993">
        <v>344</v>
      </c>
      <c r="K993">
        <v>11809.45</v>
      </c>
      <c r="L993">
        <v>360.85</v>
      </c>
      <c r="M993">
        <v>20</v>
      </c>
      <c r="N993">
        <v>11428.6</v>
      </c>
      <c r="O993">
        <v>3545.26</v>
      </c>
      <c r="P993">
        <v>7883.34</v>
      </c>
      <c r="Q993">
        <v>89.34999999999999</v>
      </c>
      <c r="R993">
        <v>400.85</v>
      </c>
      <c r="S993">
        <v>678</v>
      </c>
      <c r="T993">
        <v>247</v>
      </c>
      <c r="U993">
        <v>15</v>
      </c>
      <c r="V993">
        <v>97</v>
      </c>
      <c r="W993">
        <v>49</v>
      </c>
      <c r="X993">
        <v>33.22</v>
      </c>
      <c r="Y993">
        <v>1.97</v>
      </c>
      <c r="Z993">
        <v>68.98</v>
      </c>
      <c r="AA993">
        <v>2400</v>
      </c>
      <c r="AB993">
        <v>1246.58</v>
      </c>
      <c r="AC993">
        <v>368.08</v>
      </c>
      <c r="AD993">
        <v>110</v>
      </c>
      <c r="AE993">
        <v>191.55</v>
      </c>
      <c r="AF993">
        <v>4316.21</v>
      </c>
      <c r="AG993">
        <v>3076.93</v>
      </c>
      <c r="AH993">
        <v>26.92</v>
      </c>
    </row>
    <row r="994" spans="1:34">
      <c r="A994" t="s">
        <v>1382</v>
      </c>
      <c r="B994" t="s">
        <v>262</v>
      </c>
      <c r="C994" t="b">
        <v>1</v>
      </c>
      <c r="D994" t="b">
        <v>0</v>
      </c>
      <c r="E994" t="s">
        <v>1473</v>
      </c>
      <c r="F994" t="s">
        <v>82</v>
      </c>
      <c r="G994" t="s">
        <v>81</v>
      </c>
      <c r="H994">
        <v>34.1</v>
      </c>
      <c r="I994">
        <v>23</v>
      </c>
      <c r="J994">
        <v>262</v>
      </c>
      <c r="K994">
        <v>10888.63</v>
      </c>
      <c r="L994">
        <v>310.42</v>
      </c>
      <c r="M994">
        <v>20</v>
      </c>
      <c r="N994">
        <v>10558.21</v>
      </c>
      <c r="O994">
        <v>3349.44</v>
      </c>
      <c r="P994">
        <v>7208.77</v>
      </c>
      <c r="Q994">
        <v>78.56999999999999</v>
      </c>
      <c r="R994">
        <v>446.81</v>
      </c>
      <c r="S994">
        <v>634</v>
      </c>
      <c r="T994">
        <v>201</v>
      </c>
      <c r="U994">
        <v>15</v>
      </c>
      <c r="V994">
        <v>61</v>
      </c>
      <c r="W994">
        <v>49</v>
      </c>
      <c r="X994">
        <v>40.3</v>
      </c>
      <c r="Y994">
        <v>2.42</v>
      </c>
      <c r="Z994">
        <v>68.28</v>
      </c>
      <c r="AA994">
        <v>2400</v>
      </c>
      <c r="AB994">
        <v>1246.58</v>
      </c>
      <c r="AC994">
        <v>354.87</v>
      </c>
      <c r="AD994">
        <v>110</v>
      </c>
      <c r="AE994">
        <v>179.24</v>
      </c>
      <c r="AF994">
        <v>4290.69</v>
      </c>
      <c r="AG994">
        <v>2392.7</v>
      </c>
      <c r="AH994">
        <v>22.66</v>
      </c>
    </row>
    <row r="995" spans="1:34">
      <c r="A995" t="s">
        <v>1383</v>
      </c>
      <c r="B995" t="s">
        <v>263</v>
      </c>
      <c r="C995" t="b">
        <v>1</v>
      </c>
      <c r="D995" t="b">
        <v>0</v>
      </c>
      <c r="E995" t="s">
        <v>1473</v>
      </c>
      <c r="F995" t="s">
        <v>82</v>
      </c>
      <c r="G995" t="s">
        <v>81</v>
      </c>
      <c r="H995">
        <v>31.5</v>
      </c>
      <c r="I995">
        <v>24</v>
      </c>
      <c r="J995">
        <v>217</v>
      </c>
      <c r="K995">
        <v>8132.09</v>
      </c>
      <c r="L995">
        <v>230.42</v>
      </c>
      <c r="M995">
        <v>6.96</v>
      </c>
      <c r="N995">
        <v>7894.71</v>
      </c>
      <c r="O995">
        <v>2416.38</v>
      </c>
      <c r="P995">
        <v>5478.33</v>
      </c>
      <c r="Q995">
        <v>59.99</v>
      </c>
      <c r="R995">
        <v>368.54</v>
      </c>
      <c r="S995">
        <v>471</v>
      </c>
      <c r="T995">
        <v>166</v>
      </c>
      <c r="U995">
        <v>7</v>
      </c>
      <c r="V995">
        <v>51</v>
      </c>
      <c r="W995">
        <v>43</v>
      </c>
      <c r="X995">
        <v>36.38</v>
      </c>
      <c r="Y995">
        <v>2.17</v>
      </c>
      <c r="Z995">
        <v>69.39</v>
      </c>
      <c r="AA995">
        <v>2400</v>
      </c>
      <c r="AB995">
        <v>1246.58</v>
      </c>
      <c r="AC995">
        <v>309.63</v>
      </c>
      <c r="AD995">
        <v>110</v>
      </c>
      <c r="AE995">
        <v>225.88</v>
      </c>
      <c r="AF995">
        <v>4292.09</v>
      </c>
      <c r="AG995">
        <v>757.71</v>
      </c>
      <c r="AH995">
        <v>9.6</v>
      </c>
    </row>
    <row r="996" spans="1:34">
      <c r="A996" t="s">
        <v>507</v>
      </c>
      <c r="B996" t="s">
        <v>75</v>
      </c>
      <c r="C996" t="b">
        <v>0</v>
      </c>
      <c r="D996" t="b">
        <v>0</v>
      </c>
      <c r="E996" t="s">
        <v>1473</v>
      </c>
      <c r="F996" t="s">
        <v>82</v>
      </c>
      <c r="G996" t="s">
        <v>308</v>
      </c>
      <c r="H996">
        <v>31.6</v>
      </c>
      <c r="I996">
        <v>25</v>
      </c>
      <c r="J996">
        <v>252</v>
      </c>
      <c r="K996">
        <v>7521.7</v>
      </c>
      <c r="L996">
        <v>1445.08</v>
      </c>
      <c r="M996">
        <v>29.22</v>
      </c>
      <c r="N996">
        <v>6047.4</v>
      </c>
      <c r="O996">
        <v>2303.78</v>
      </c>
      <c r="P996">
        <v>3743.62</v>
      </c>
      <c r="Q996">
        <v>45.37</v>
      </c>
      <c r="R996">
        <v>274.68</v>
      </c>
      <c r="S996">
        <v>425</v>
      </c>
      <c r="T996">
        <v>201</v>
      </c>
      <c r="U996">
        <v>16</v>
      </c>
      <c r="V996">
        <v>51</v>
      </c>
      <c r="W996">
        <v>42</v>
      </c>
      <c r="X996">
        <v>24</v>
      </c>
      <c r="Y996">
        <v>1.69</v>
      </c>
      <c r="Z996">
        <v>61.9</v>
      </c>
      <c r="AA996">
        <v>2750</v>
      </c>
      <c r="AB996">
        <v>1246.58</v>
      </c>
      <c r="AC996">
        <v>335.78</v>
      </c>
      <c r="AD996">
        <v>910</v>
      </c>
      <c r="AE996">
        <v>198.51</v>
      </c>
      <c r="AF996">
        <v>5440.87</v>
      </c>
      <c r="AG996">
        <v>-2017.3</v>
      </c>
      <c r="AH996">
        <v>-33.36</v>
      </c>
    </row>
    <row r="997" spans="1:34">
      <c r="A997" t="s">
        <v>1384</v>
      </c>
      <c r="B997" t="s">
        <v>258</v>
      </c>
      <c r="C997" t="b">
        <v>0</v>
      </c>
      <c r="D997" t="b">
        <v>0</v>
      </c>
      <c r="E997" t="s">
        <v>1473</v>
      </c>
      <c r="F997" t="s">
        <v>82</v>
      </c>
      <c r="G997" t="s">
        <v>1505</v>
      </c>
      <c r="H997">
        <v>30.8</v>
      </c>
      <c r="I997">
        <v>26</v>
      </c>
      <c r="J997">
        <v>289</v>
      </c>
      <c r="K997">
        <v>9913.83</v>
      </c>
      <c r="L997">
        <v>1759.84</v>
      </c>
      <c r="M997">
        <v>0</v>
      </c>
      <c r="N997">
        <v>8153.99</v>
      </c>
      <c r="O997">
        <v>2934.37</v>
      </c>
      <c r="P997">
        <v>5219.62</v>
      </c>
      <c r="Q997">
        <v>56.14</v>
      </c>
      <c r="R997">
        <v>225.72</v>
      </c>
      <c r="S997">
        <v>562</v>
      </c>
      <c r="T997">
        <v>202</v>
      </c>
      <c r="U997">
        <v>21</v>
      </c>
      <c r="V997">
        <v>87</v>
      </c>
      <c r="W997">
        <v>31</v>
      </c>
      <c r="X997">
        <v>28.21</v>
      </c>
      <c r="Y997">
        <v>1.94</v>
      </c>
      <c r="Z997">
        <v>64.01000000000001</v>
      </c>
      <c r="AA997">
        <v>2750</v>
      </c>
      <c r="AB997">
        <v>1246.58</v>
      </c>
      <c r="AC997">
        <v>317.73</v>
      </c>
      <c r="AD997">
        <v>910</v>
      </c>
      <c r="AE997">
        <v>174.62</v>
      </c>
      <c r="AF997">
        <v>5398.93</v>
      </c>
      <c r="AG997">
        <v>-461.17</v>
      </c>
      <c r="AH997">
        <v>-5.66</v>
      </c>
    </row>
    <row r="998" spans="1:34">
      <c r="A998" t="s">
        <v>1385</v>
      </c>
      <c r="B998" t="s">
        <v>259</v>
      </c>
      <c r="C998" t="b">
        <v>0</v>
      </c>
      <c r="D998" t="b">
        <v>1</v>
      </c>
      <c r="E998" t="s">
        <v>1473</v>
      </c>
      <c r="F998" t="s">
        <v>82</v>
      </c>
      <c r="G998" t="s">
        <v>1506</v>
      </c>
      <c r="H998">
        <v>28.8</v>
      </c>
      <c r="I998">
        <v>27</v>
      </c>
      <c r="J998">
        <v>233</v>
      </c>
      <c r="K998">
        <v>8530.389999999999</v>
      </c>
      <c r="L998">
        <v>1679.26</v>
      </c>
      <c r="M998">
        <v>16.7</v>
      </c>
      <c r="N998">
        <v>6834.43</v>
      </c>
      <c r="O998">
        <v>2535.69</v>
      </c>
      <c r="P998">
        <v>4298.74</v>
      </c>
      <c r="Q998">
        <v>53.67</v>
      </c>
      <c r="R998">
        <v>284.66</v>
      </c>
      <c r="S998">
        <v>476</v>
      </c>
      <c r="T998">
        <v>172</v>
      </c>
      <c r="U998">
        <v>19</v>
      </c>
      <c r="V998">
        <v>61</v>
      </c>
      <c r="W998">
        <v>40</v>
      </c>
      <c r="X998">
        <v>29.33</v>
      </c>
      <c r="Y998">
        <v>2.04</v>
      </c>
      <c r="Z998">
        <v>62.9</v>
      </c>
      <c r="AA998">
        <v>2750</v>
      </c>
      <c r="AB998">
        <v>1246.58</v>
      </c>
      <c r="AC998">
        <v>280.01</v>
      </c>
      <c r="AD998">
        <v>910</v>
      </c>
      <c r="AE998">
        <v>204.09</v>
      </c>
      <c r="AF998">
        <v>5390.68</v>
      </c>
      <c r="AG998">
        <v>-1430.27</v>
      </c>
      <c r="AH998">
        <v>-20.93</v>
      </c>
    </row>
    <row r="999" spans="1:34">
      <c r="A999" t="s">
        <v>1386</v>
      </c>
      <c r="B999" t="s">
        <v>260</v>
      </c>
      <c r="C999" t="b">
        <v>0</v>
      </c>
      <c r="D999" t="b">
        <v>0</v>
      </c>
      <c r="E999" t="s">
        <v>1473</v>
      </c>
      <c r="F999" t="s">
        <v>82</v>
      </c>
      <c r="G999" t="s">
        <v>308</v>
      </c>
      <c r="H999">
        <v>30.2</v>
      </c>
      <c r="I999">
        <v>28</v>
      </c>
      <c r="J999">
        <v>280</v>
      </c>
      <c r="K999">
        <v>8705.950000000001</v>
      </c>
      <c r="L999">
        <v>1606.63</v>
      </c>
      <c r="M999">
        <v>25.22</v>
      </c>
      <c r="N999">
        <v>7074.1</v>
      </c>
      <c r="O999">
        <v>2639.13</v>
      </c>
      <c r="P999">
        <v>4434.97</v>
      </c>
      <c r="Q999">
        <v>57.58</v>
      </c>
      <c r="R999">
        <v>297.06</v>
      </c>
      <c r="S999">
        <v>480</v>
      </c>
      <c r="T999">
        <v>210</v>
      </c>
      <c r="U999">
        <v>28</v>
      </c>
      <c r="V999">
        <v>70</v>
      </c>
      <c r="W999">
        <v>39</v>
      </c>
      <c r="X999">
        <v>25.26</v>
      </c>
      <c r="Y999">
        <v>1.71</v>
      </c>
      <c r="Z999">
        <v>62.69</v>
      </c>
      <c r="AA999">
        <v>2750</v>
      </c>
      <c r="AB999">
        <v>1246.58</v>
      </c>
      <c r="AC999">
        <v>318.64</v>
      </c>
      <c r="AD999">
        <v>910</v>
      </c>
      <c r="AE999">
        <v>165.88</v>
      </c>
      <c r="AF999">
        <v>5391.1</v>
      </c>
      <c r="AG999">
        <v>-1310.77</v>
      </c>
      <c r="AH999">
        <v>-18.53</v>
      </c>
    </row>
    <row r="1000" spans="1:34">
      <c r="A1000" t="s">
        <v>1387</v>
      </c>
      <c r="B1000" t="s">
        <v>261</v>
      </c>
      <c r="C1000" t="b">
        <v>0</v>
      </c>
      <c r="D1000" t="b">
        <v>0</v>
      </c>
      <c r="E1000" t="s">
        <v>1473</v>
      </c>
      <c r="F1000" t="s">
        <v>82</v>
      </c>
      <c r="G1000" t="s">
        <v>1477</v>
      </c>
      <c r="H1000">
        <v>28.7</v>
      </c>
      <c r="I1000">
        <v>0</v>
      </c>
      <c r="J1000">
        <v>311</v>
      </c>
      <c r="K1000">
        <v>11740.67</v>
      </c>
      <c r="L1000">
        <v>355.65</v>
      </c>
      <c r="M1000">
        <v>13.04</v>
      </c>
      <c r="N1000">
        <v>11371.98</v>
      </c>
      <c r="O1000">
        <v>3504.7</v>
      </c>
      <c r="P1000">
        <v>7867.28</v>
      </c>
      <c r="Q1000">
        <v>86.7</v>
      </c>
      <c r="R1000">
        <v>387.02</v>
      </c>
      <c r="S1000">
        <v>661</v>
      </c>
      <c r="T1000">
        <v>232</v>
      </c>
      <c r="U1000">
        <v>15</v>
      </c>
      <c r="V1000">
        <v>79</v>
      </c>
      <c r="W1000">
        <v>38</v>
      </c>
      <c r="X1000">
        <v>36.57</v>
      </c>
      <c r="Y1000">
        <v>2.13</v>
      </c>
      <c r="Z1000">
        <v>69.18000000000001</v>
      </c>
      <c r="AA1000">
        <v>2400</v>
      </c>
      <c r="AB1000">
        <v>1246.58</v>
      </c>
      <c r="AC1000">
        <v>308.19</v>
      </c>
      <c r="AD1000">
        <v>110</v>
      </c>
      <c r="AE1000">
        <v>203.12</v>
      </c>
      <c r="AF1000">
        <v>4267.89</v>
      </c>
      <c r="AG1000">
        <v>3125.67</v>
      </c>
      <c r="AH1000">
        <v>27.49</v>
      </c>
    </row>
    <row r="1001" spans="1:34">
      <c r="A1001" t="s">
        <v>1388</v>
      </c>
      <c r="B1001" t="s">
        <v>262</v>
      </c>
      <c r="C1001" t="b">
        <v>1</v>
      </c>
      <c r="D1001" t="b">
        <v>0</v>
      </c>
      <c r="E1001" t="s">
        <v>1473</v>
      </c>
      <c r="F1001" t="s">
        <v>82</v>
      </c>
      <c r="G1001" t="s">
        <v>1477</v>
      </c>
      <c r="H1001">
        <v>28</v>
      </c>
      <c r="I1001">
        <v>1</v>
      </c>
      <c r="J1001">
        <v>306</v>
      </c>
      <c r="K1001">
        <v>12624.27</v>
      </c>
      <c r="L1001">
        <v>370.41</v>
      </c>
      <c r="M1001">
        <v>65.22</v>
      </c>
      <c r="N1001">
        <v>12188.64</v>
      </c>
      <c r="O1001">
        <v>3815.36</v>
      </c>
      <c r="P1001">
        <v>8373.280000000001</v>
      </c>
      <c r="Q1001">
        <v>96.62</v>
      </c>
      <c r="R1001">
        <v>515.48</v>
      </c>
      <c r="S1001">
        <v>718</v>
      </c>
      <c r="T1001">
        <v>229</v>
      </c>
      <c r="U1001">
        <v>21</v>
      </c>
      <c r="V1001">
        <v>77</v>
      </c>
      <c r="W1001">
        <v>53</v>
      </c>
      <c r="X1001">
        <v>39.83</v>
      </c>
      <c r="Y1001">
        <v>2.35</v>
      </c>
      <c r="Z1001">
        <v>68.7</v>
      </c>
      <c r="AA1001">
        <v>2400</v>
      </c>
      <c r="AB1001">
        <v>1246.58</v>
      </c>
      <c r="AC1001">
        <v>273.04</v>
      </c>
      <c r="AD1001">
        <v>110</v>
      </c>
      <c r="AE1001">
        <v>215.86</v>
      </c>
      <c r="AF1001">
        <v>4245.48</v>
      </c>
      <c r="AG1001">
        <v>3515.7</v>
      </c>
      <c r="AH1001">
        <v>28.84</v>
      </c>
    </row>
    <row r="1002" spans="1:34">
      <c r="A1002" t="s">
        <v>1389</v>
      </c>
      <c r="B1002" t="s">
        <v>263</v>
      </c>
      <c r="C1002" t="b">
        <v>1</v>
      </c>
      <c r="D1002" t="b">
        <v>0</v>
      </c>
      <c r="E1002" t="s">
        <v>1473</v>
      </c>
      <c r="F1002" t="s">
        <v>82</v>
      </c>
      <c r="G1002" t="s">
        <v>1477</v>
      </c>
      <c r="H1002">
        <v>28.2</v>
      </c>
      <c r="I1002">
        <v>2</v>
      </c>
      <c r="J1002">
        <v>272</v>
      </c>
      <c r="K1002">
        <v>11100.83</v>
      </c>
      <c r="L1002">
        <v>242.6</v>
      </c>
      <c r="M1002">
        <v>14.78</v>
      </c>
      <c r="N1002">
        <v>10843.45</v>
      </c>
      <c r="O1002">
        <v>3371.37</v>
      </c>
      <c r="P1002">
        <v>7472.08</v>
      </c>
      <c r="Q1002">
        <v>77.18000000000001</v>
      </c>
      <c r="R1002">
        <v>625.21</v>
      </c>
      <c r="S1002">
        <v>624</v>
      </c>
      <c r="T1002">
        <v>207</v>
      </c>
      <c r="U1002">
        <v>14</v>
      </c>
      <c r="V1002">
        <v>65</v>
      </c>
      <c r="W1002">
        <v>62</v>
      </c>
      <c r="X1002">
        <v>39.87</v>
      </c>
      <c r="Y1002">
        <v>2.29</v>
      </c>
      <c r="Z1002">
        <v>68.91</v>
      </c>
      <c r="AA1002">
        <v>2400</v>
      </c>
      <c r="AB1002">
        <v>1246.58</v>
      </c>
      <c r="AC1002">
        <v>282.95</v>
      </c>
      <c r="AD1002">
        <v>110</v>
      </c>
      <c r="AE1002">
        <v>135.48</v>
      </c>
      <c r="AF1002">
        <v>4175.01</v>
      </c>
      <c r="AG1002">
        <v>2594.68</v>
      </c>
      <c r="AH1002">
        <v>23.93</v>
      </c>
    </row>
    <row r="1003" spans="1:34">
      <c r="A1003" t="s">
        <v>508</v>
      </c>
      <c r="B1003" t="s">
        <v>75</v>
      </c>
      <c r="C1003" t="b">
        <v>0</v>
      </c>
      <c r="D1003" t="b">
        <v>0</v>
      </c>
      <c r="E1003" t="s">
        <v>1473</v>
      </c>
      <c r="F1003" t="s">
        <v>82</v>
      </c>
      <c r="G1003" t="s">
        <v>1477</v>
      </c>
      <c r="H1003">
        <v>30.7</v>
      </c>
      <c r="I1003">
        <v>3</v>
      </c>
      <c r="J1003">
        <v>260</v>
      </c>
      <c r="K1003">
        <v>9517.18</v>
      </c>
      <c r="L1003">
        <v>401.11</v>
      </c>
      <c r="M1003">
        <v>54.78</v>
      </c>
      <c r="N1003">
        <v>9061.290000000001</v>
      </c>
      <c r="O1003">
        <v>2875.85</v>
      </c>
      <c r="P1003">
        <v>6185.44</v>
      </c>
      <c r="Q1003">
        <v>65.44</v>
      </c>
      <c r="R1003">
        <v>318.98</v>
      </c>
      <c r="S1003">
        <v>528</v>
      </c>
      <c r="T1003">
        <v>193</v>
      </c>
      <c r="U1003">
        <v>12</v>
      </c>
      <c r="V1003">
        <v>67</v>
      </c>
      <c r="W1003">
        <v>36</v>
      </c>
      <c r="X1003">
        <v>34.85</v>
      </c>
      <c r="Y1003">
        <v>2.03</v>
      </c>
      <c r="Z1003">
        <v>68.26000000000001</v>
      </c>
      <c r="AA1003">
        <v>2400</v>
      </c>
      <c r="AB1003">
        <v>1246.58</v>
      </c>
      <c r="AC1003">
        <v>293.47</v>
      </c>
      <c r="AD1003">
        <v>110</v>
      </c>
      <c r="AE1003">
        <v>198.31</v>
      </c>
      <c r="AF1003">
        <v>4248.36</v>
      </c>
      <c r="AG1003">
        <v>1552.66</v>
      </c>
      <c r="AH1003">
        <v>17.14</v>
      </c>
    </row>
    <row r="1004" spans="1:34">
      <c r="A1004" t="s">
        <v>1390</v>
      </c>
      <c r="B1004" t="s">
        <v>258</v>
      </c>
      <c r="C1004" t="b">
        <v>0</v>
      </c>
      <c r="D1004" t="b">
        <v>0</v>
      </c>
      <c r="E1004" t="s">
        <v>1473</v>
      </c>
      <c r="F1004" t="s">
        <v>82</v>
      </c>
      <c r="G1004" t="s">
        <v>1477</v>
      </c>
      <c r="H1004">
        <v>30.8</v>
      </c>
      <c r="I1004">
        <v>4</v>
      </c>
      <c r="J1004">
        <v>269</v>
      </c>
      <c r="K1004">
        <v>8019.91</v>
      </c>
      <c r="L1004">
        <v>228.69</v>
      </c>
      <c r="M1004">
        <v>20</v>
      </c>
      <c r="N1004">
        <v>7771.22</v>
      </c>
      <c r="O1004">
        <v>2394.42</v>
      </c>
      <c r="P1004">
        <v>5376.8</v>
      </c>
      <c r="Q1004">
        <v>57.95</v>
      </c>
      <c r="R1004">
        <v>263.49</v>
      </c>
      <c r="S1004">
        <v>458</v>
      </c>
      <c r="T1004">
        <v>209</v>
      </c>
      <c r="U1004">
        <v>11</v>
      </c>
      <c r="V1004">
        <v>60</v>
      </c>
      <c r="W1004">
        <v>28</v>
      </c>
      <c r="X1004">
        <v>28.89</v>
      </c>
      <c r="Y1004">
        <v>1.7</v>
      </c>
      <c r="Z1004">
        <v>69.19</v>
      </c>
      <c r="AA1004">
        <v>2400</v>
      </c>
      <c r="AB1004">
        <v>1246.58</v>
      </c>
      <c r="AC1004">
        <v>293.69</v>
      </c>
      <c r="AD1004">
        <v>110</v>
      </c>
      <c r="AE1004">
        <v>209.02</v>
      </c>
      <c r="AF1004">
        <v>4259.29</v>
      </c>
      <c r="AG1004">
        <v>796.0700000000001</v>
      </c>
      <c r="AH1004">
        <v>10.24</v>
      </c>
    </row>
    <row r="1005" spans="1:34">
      <c r="A1005" t="s">
        <v>1391</v>
      </c>
      <c r="B1005" t="s">
        <v>259</v>
      </c>
      <c r="C1005" t="b">
        <v>0</v>
      </c>
      <c r="D1005" t="b">
        <v>0</v>
      </c>
      <c r="E1005" t="s">
        <v>1473</v>
      </c>
      <c r="F1005" t="s">
        <v>82</v>
      </c>
      <c r="G1005" t="s">
        <v>81</v>
      </c>
      <c r="H1005">
        <v>30.9</v>
      </c>
      <c r="I1005">
        <v>5</v>
      </c>
      <c r="J1005">
        <v>270</v>
      </c>
      <c r="K1005">
        <v>9095.49</v>
      </c>
      <c r="L1005">
        <v>407.82</v>
      </c>
      <c r="M1005">
        <v>11.3</v>
      </c>
      <c r="N1005">
        <v>8676.370000000001</v>
      </c>
      <c r="O1005">
        <v>2760.58</v>
      </c>
      <c r="P1005">
        <v>5915.79</v>
      </c>
      <c r="Q1005">
        <v>66.37</v>
      </c>
      <c r="R1005">
        <v>372.23</v>
      </c>
      <c r="S1005">
        <v>514</v>
      </c>
      <c r="T1005">
        <v>205</v>
      </c>
      <c r="U1005">
        <v>12</v>
      </c>
      <c r="V1005">
        <v>65</v>
      </c>
      <c r="W1005">
        <v>41</v>
      </c>
      <c r="X1005">
        <v>32.13</v>
      </c>
      <c r="Y1005">
        <v>1.9</v>
      </c>
      <c r="Z1005">
        <v>68.18000000000001</v>
      </c>
      <c r="AA1005">
        <v>2400</v>
      </c>
      <c r="AB1005">
        <v>1246.58</v>
      </c>
      <c r="AC1005">
        <v>313.67</v>
      </c>
      <c r="AD1005">
        <v>110</v>
      </c>
      <c r="AE1005">
        <v>142.37</v>
      </c>
      <c r="AF1005">
        <v>4212.62</v>
      </c>
      <c r="AG1005">
        <v>1264.57</v>
      </c>
      <c r="AH1005">
        <v>14.57</v>
      </c>
    </row>
    <row r="1006" spans="1:34">
      <c r="A1006" t="s">
        <v>1392</v>
      </c>
      <c r="B1006" t="s">
        <v>260</v>
      </c>
      <c r="C1006" t="b">
        <v>0</v>
      </c>
      <c r="D1006" t="b">
        <v>0</v>
      </c>
      <c r="E1006" t="s">
        <v>1473</v>
      </c>
      <c r="F1006" t="s">
        <v>82</v>
      </c>
      <c r="G1006" t="s">
        <v>81</v>
      </c>
      <c r="H1006">
        <v>30.6</v>
      </c>
      <c r="I1006">
        <v>6</v>
      </c>
      <c r="J1006">
        <v>297</v>
      </c>
      <c r="K1006">
        <v>9262.379999999999</v>
      </c>
      <c r="L1006">
        <v>322.59</v>
      </c>
      <c r="M1006">
        <v>32.17</v>
      </c>
      <c r="N1006">
        <v>8907.620000000001</v>
      </c>
      <c r="O1006">
        <v>2732.03</v>
      </c>
      <c r="P1006">
        <v>6175.59</v>
      </c>
      <c r="Q1006">
        <v>64.76000000000001</v>
      </c>
      <c r="R1006">
        <v>461.24</v>
      </c>
      <c r="S1006">
        <v>522</v>
      </c>
      <c r="T1006">
        <v>232</v>
      </c>
      <c r="U1006">
        <v>12</v>
      </c>
      <c r="V1006">
        <v>65</v>
      </c>
      <c r="W1006">
        <v>59</v>
      </c>
      <c r="X1006">
        <v>29.99</v>
      </c>
      <c r="Y1006">
        <v>1.76</v>
      </c>
      <c r="Z1006">
        <v>69.33</v>
      </c>
      <c r="AA1006">
        <v>2322.58</v>
      </c>
      <c r="AB1006">
        <v>1246.58</v>
      </c>
      <c r="AC1006">
        <v>285.95</v>
      </c>
      <c r="AD1006">
        <v>110</v>
      </c>
      <c r="AE1006">
        <v>153.99</v>
      </c>
      <c r="AF1006">
        <v>4119.1</v>
      </c>
      <c r="AG1006">
        <v>1530.49</v>
      </c>
      <c r="AH1006">
        <v>17.18</v>
      </c>
    </row>
    <row r="1007" spans="1:34">
      <c r="A1007" t="s">
        <v>1393</v>
      </c>
      <c r="B1007" t="s">
        <v>261</v>
      </c>
      <c r="C1007" t="b">
        <v>0</v>
      </c>
      <c r="D1007" t="b">
        <v>0</v>
      </c>
      <c r="E1007" t="s">
        <v>1473</v>
      </c>
      <c r="F1007" t="s">
        <v>82</v>
      </c>
      <c r="G1007" t="s">
        <v>81</v>
      </c>
      <c r="H1007">
        <v>30.9</v>
      </c>
      <c r="I1007">
        <v>7</v>
      </c>
      <c r="J1007">
        <v>333</v>
      </c>
      <c r="K1007">
        <v>10689.56</v>
      </c>
      <c r="L1007">
        <v>253.04</v>
      </c>
      <c r="M1007">
        <v>20</v>
      </c>
      <c r="N1007">
        <v>10416.52</v>
      </c>
      <c r="O1007">
        <v>3209.17</v>
      </c>
      <c r="P1007">
        <v>7207.35</v>
      </c>
      <c r="Q1007">
        <v>81.16</v>
      </c>
      <c r="R1007">
        <v>396.54</v>
      </c>
      <c r="S1007">
        <v>607</v>
      </c>
      <c r="T1007">
        <v>244</v>
      </c>
      <c r="U1007">
        <v>16</v>
      </c>
      <c r="V1007">
        <v>89</v>
      </c>
      <c r="W1007">
        <v>46</v>
      </c>
      <c r="X1007">
        <v>31.28</v>
      </c>
      <c r="Y1007">
        <v>1.82</v>
      </c>
      <c r="Z1007">
        <v>69.19</v>
      </c>
      <c r="AA1007">
        <v>2322.58</v>
      </c>
      <c r="AB1007">
        <v>1246.58</v>
      </c>
      <c r="AC1007">
        <v>290.84</v>
      </c>
      <c r="AD1007">
        <v>110</v>
      </c>
      <c r="AE1007">
        <v>174.14</v>
      </c>
      <c r="AF1007">
        <v>4144.14</v>
      </c>
      <c r="AG1007">
        <v>2585.51</v>
      </c>
      <c r="AH1007">
        <v>24.82</v>
      </c>
    </row>
    <row r="1008" spans="1:34">
      <c r="A1008" t="s">
        <v>1394</v>
      </c>
      <c r="B1008" t="s">
        <v>262</v>
      </c>
      <c r="C1008" t="b">
        <v>1</v>
      </c>
      <c r="D1008" t="b">
        <v>0</v>
      </c>
      <c r="E1008" t="s">
        <v>1473</v>
      </c>
      <c r="F1008" t="s">
        <v>82</v>
      </c>
      <c r="G1008" t="s">
        <v>81</v>
      </c>
      <c r="H1008">
        <v>33.3</v>
      </c>
      <c r="I1008">
        <v>8</v>
      </c>
      <c r="J1008">
        <v>291</v>
      </c>
      <c r="K1008">
        <v>11754.8</v>
      </c>
      <c r="L1008">
        <v>384.33</v>
      </c>
      <c r="M1008">
        <v>0</v>
      </c>
      <c r="N1008">
        <v>11370.47</v>
      </c>
      <c r="O1008">
        <v>3576.04</v>
      </c>
      <c r="P1008">
        <v>7794.43</v>
      </c>
      <c r="Q1008">
        <v>88.90000000000001</v>
      </c>
      <c r="R1008">
        <v>434.22</v>
      </c>
      <c r="S1008">
        <v>670</v>
      </c>
      <c r="T1008">
        <v>230</v>
      </c>
      <c r="U1008">
        <v>13</v>
      </c>
      <c r="V1008">
        <v>61</v>
      </c>
      <c r="W1008">
        <v>53</v>
      </c>
      <c r="X1008">
        <v>39.07</v>
      </c>
      <c r="Y1008">
        <v>2.3</v>
      </c>
      <c r="Z1008">
        <v>68.55</v>
      </c>
      <c r="AA1008">
        <v>2322.58</v>
      </c>
      <c r="AB1008">
        <v>1246.58</v>
      </c>
      <c r="AC1008">
        <v>334.09</v>
      </c>
      <c r="AD1008">
        <v>110</v>
      </c>
      <c r="AE1008">
        <v>173.72</v>
      </c>
      <c r="AF1008">
        <v>4186.97</v>
      </c>
      <c r="AG1008">
        <v>3084.34</v>
      </c>
      <c r="AH1008">
        <v>27.13</v>
      </c>
    </row>
    <row r="1009" spans="1:34">
      <c r="A1009" t="s">
        <v>1395</v>
      </c>
      <c r="B1009" t="s">
        <v>263</v>
      </c>
      <c r="C1009" t="b">
        <v>1</v>
      </c>
      <c r="D1009" t="b">
        <v>0</v>
      </c>
      <c r="E1009" t="s">
        <v>1473</v>
      </c>
      <c r="F1009" t="s">
        <v>82</v>
      </c>
      <c r="G1009" t="s">
        <v>81</v>
      </c>
      <c r="H1009">
        <v>31.8</v>
      </c>
      <c r="I1009">
        <v>9</v>
      </c>
      <c r="J1009">
        <v>244</v>
      </c>
      <c r="K1009">
        <v>9489.450000000001</v>
      </c>
      <c r="L1009">
        <v>296.5</v>
      </c>
      <c r="M1009">
        <v>0</v>
      </c>
      <c r="N1009">
        <v>9192.950000000001</v>
      </c>
      <c r="O1009">
        <v>2887.2</v>
      </c>
      <c r="P1009">
        <v>6305.75</v>
      </c>
      <c r="Q1009">
        <v>70.7</v>
      </c>
      <c r="R1009">
        <v>422.06</v>
      </c>
      <c r="S1009">
        <v>526</v>
      </c>
      <c r="T1009">
        <v>190</v>
      </c>
      <c r="U1009">
        <v>9</v>
      </c>
      <c r="V1009">
        <v>54</v>
      </c>
      <c r="W1009">
        <v>47</v>
      </c>
      <c r="X1009">
        <v>37.68</v>
      </c>
      <c r="Y1009">
        <v>2.16</v>
      </c>
      <c r="Z1009">
        <v>68.59</v>
      </c>
      <c r="AA1009">
        <v>2322.58</v>
      </c>
      <c r="AB1009">
        <v>1246.58</v>
      </c>
      <c r="AC1009">
        <v>304.09</v>
      </c>
      <c r="AD1009">
        <v>110</v>
      </c>
      <c r="AE1009">
        <v>164.42</v>
      </c>
      <c r="AF1009">
        <v>4147.67</v>
      </c>
      <c r="AG1009">
        <v>1665.32</v>
      </c>
      <c r="AH1009">
        <v>18.12</v>
      </c>
    </row>
    <row r="1010" spans="1:34">
      <c r="A1010" t="s">
        <v>509</v>
      </c>
      <c r="B1010" t="s">
        <v>75</v>
      </c>
      <c r="C1010" t="b">
        <v>0</v>
      </c>
      <c r="D1010" t="b">
        <v>0</v>
      </c>
      <c r="E1010" t="s">
        <v>1473</v>
      </c>
      <c r="F1010" t="s">
        <v>82</v>
      </c>
      <c r="G1010" t="s">
        <v>81</v>
      </c>
      <c r="H1010">
        <v>32.9</v>
      </c>
      <c r="I1010">
        <v>10</v>
      </c>
      <c r="J1010">
        <v>277</v>
      </c>
      <c r="K1010">
        <v>8599.92</v>
      </c>
      <c r="L1010">
        <v>343.46</v>
      </c>
      <c r="M1010">
        <v>20.87</v>
      </c>
      <c r="N1010">
        <v>8235.59</v>
      </c>
      <c r="O1010">
        <v>2664.63</v>
      </c>
      <c r="P1010">
        <v>5570.96</v>
      </c>
      <c r="Q1010">
        <v>61.22</v>
      </c>
      <c r="R1010">
        <v>399.13</v>
      </c>
      <c r="S1010">
        <v>497</v>
      </c>
      <c r="T1010">
        <v>203</v>
      </c>
      <c r="U1010">
        <v>5</v>
      </c>
      <c r="V1010">
        <v>74</v>
      </c>
      <c r="W1010">
        <v>44</v>
      </c>
      <c r="X1010">
        <v>29.73</v>
      </c>
      <c r="Y1010">
        <v>1.79</v>
      </c>
      <c r="Z1010">
        <v>67.64</v>
      </c>
      <c r="AA1010">
        <v>2322.58</v>
      </c>
      <c r="AB1010">
        <v>1246.58</v>
      </c>
      <c r="AC1010">
        <v>336.02</v>
      </c>
      <c r="AD1010">
        <v>110</v>
      </c>
      <c r="AE1010">
        <v>211.83</v>
      </c>
      <c r="AF1010">
        <v>4227.01</v>
      </c>
      <c r="AG1010">
        <v>883.6</v>
      </c>
      <c r="AH1010">
        <v>10.73</v>
      </c>
    </row>
    <row r="1011" spans="1:34">
      <c r="A1011" t="s">
        <v>1396</v>
      </c>
      <c r="B1011" t="s">
        <v>258</v>
      </c>
      <c r="C1011" t="b">
        <v>0</v>
      </c>
      <c r="D1011" t="b">
        <v>0</v>
      </c>
      <c r="E1011" t="s">
        <v>1473</v>
      </c>
      <c r="F1011" t="s">
        <v>82</v>
      </c>
      <c r="G1011" t="s">
        <v>81</v>
      </c>
      <c r="H1011">
        <v>33.5</v>
      </c>
      <c r="I1011">
        <v>11</v>
      </c>
      <c r="J1011">
        <v>249</v>
      </c>
      <c r="K1011">
        <v>8584.15</v>
      </c>
      <c r="L1011">
        <v>221.81</v>
      </c>
      <c r="M1011">
        <v>0</v>
      </c>
      <c r="N1011">
        <v>8362.34</v>
      </c>
      <c r="O1011">
        <v>2633.41</v>
      </c>
      <c r="P1011">
        <v>5728.93</v>
      </c>
      <c r="Q1011">
        <v>59.98</v>
      </c>
      <c r="R1011">
        <v>267.98</v>
      </c>
      <c r="S1011">
        <v>493</v>
      </c>
      <c r="T1011">
        <v>182</v>
      </c>
      <c r="U1011">
        <v>11</v>
      </c>
      <c r="V1011">
        <v>67</v>
      </c>
      <c r="W1011">
        <v>35</v>
      </c>
      <c r="X1011">
        <v>33.58</v>
      </c>
      <c r="Y1011">
        <v>1.98</v>
      </c>
      <c r="Z1011">
        <v>68.51000000000001</v>
      </c>
      <c r="AA1011">
        <v>2322.58</v>
      </c>
      <c r="AB1011">
        <v>1246.58</v>
      </c>
      <c r="AC1011">
        <v>364.36</v>
      </c>
      <c r="AD1011">
        <v>110</v>
      </c>
      <c r="AE1011">
        <v>185.18</v>
      </c>
      <c r="AF1011">
        <v>4228.7</v>
      </c>
      <c r="AG1011">
        <v>1172.27</v>
      </c>
      <c r="AH1011">
        <v>14.02</v>
      </c>
    </row>
    <row r="1012" spans="1:34">
      <c r="A1012" t="s">
        <v>1397</v>
      </c>
      <c r="B1012" t="s">
        <v>259</v>
      </c>
      <c r="C1012" t="b">
        <v>0</v>
      </c>
      <c r="D1012" t="b">
        <v>0</v>
      </c>
      <c r="E1012" t="s">
        <v>1473</v>
      </c>
      <c r="F1012" t="s">
        <v>82</v>
      </c>
      <c r="G1012" t="s">
        <v>81</v>
      </c>
      <c r="H1012">
        <v>32.1</v>
      </c>
      <c r="I1012">
        <v>12</v>
      </c>
      <c r="J1012">
        <v>254</v>
      </c>
      <c r="K1012">
        <v>7702.48</v>
      </c>
      <c r="L1012">
        <v>473.01</v>
      </c>
      <c r="M1012">
        <v>0</v>
      </c>
      <c r="N1012">
        <v>7229.47</v>
      </c>
      <c r="O1012">
        <v>2342.18</v>
      </c>
      <c r="P1012">
        <v>4887.29</v>
      </c>
      <c r="Q1012">
        <v>53.67</v>
      </c>
      <c r="R1012">
        <v>306.4</v>
      </c>
      <c r="S1012">
        <v>447</v>
      </c>
      <c r="T1012">
        <v>197</v>
      </c>
      <c r="U1012">
        <v>9</v>
      </c>
      <c r="V1012">
        <v>57</v>
      </c>
      <c r="W1012">
        <v>32</v>
      </c>
      <c r="X1012">
        <v>28.46</v>
      </c>
      <c r="Y1012">
        <v>1.76</v>
      </c>
      <c r="Z1012">
        <v>67.59999999999999</v>
      </c>
      <c r="AA1012">
        <v>2322.58</v>
      </c>
      <c r="AB1012">
        <v>1246.58</v>
      </c>
      <c r="AC1012">
        <v>279.96</v>
      </c>
      <c r="AD1012">
        <v>110</v>
      </c>
      <c r="AE1012">
        <v>162.02</v>
      </c>
      <c r="AF1012">
        <v>4121.14</v>
      </c>
      <c r="AG1012">
        <v>406.08</v>
      </c>
      <c r="AH1012">
        <v>5.62</v>
      </c>
    </row>
    <row r="1013" spans="1:34">
      <c r="A1013" t="s">
        <v>1398</v>
      </c>
      <c r="B1013" t="s">
        <v>260</v>
      </c>
      <c r="C1013" t="b">
        <v>0</v>
      </c>
      <c r="D1013" t="b">
        <v>0</v>
      </c>
      <c r="E1013" t="s">
        <v>1473</v>
      </c>
      <c r="F1013" t="s">
        <v>82</v>
      </c>
      <c r="G1013" t="s">
        <v>81</v>
      </c>
      <c r="H1013">
        <v>29.8</v>
      </c>
      <c r="I1013">
        <v>13</v>
      </c>
      <c r="J1013">
        <v>291</v>
      </c>
      <c r="K1013">
        <v>8704.25</v>
      </c>
      <c r="L1013">
        <v>310.43</v>
      </c>
      <c r="M1013">
        <v>46.96</v>
      </c>
      <c r="N1013">
        <v>8346.860000000001</v>
      </c>
      <c r="O1013">
        <v>2619.54</v>
      </c>
      <c r="P1013">
        <v>5727.32</v>
      </c>
      <c r="Q1013">
        <v>63.2</v>
      </c>
      <c r="R1013">
        <v>384.69</v>
      </c>
      <c r="S1013">
        <v>499</v>
      </c>
      <c r="T1013">
        <v>220</v>
      </c>
      <c r="U1013">
        <v>9</v>
      </c>
      <c r="V1013">
        <v>71</v>
      </c>
      <c r="W1013">
        <v>47</v>
      </c>
      <c r="X1013">
        <v>28.68</v>
      </c>
      <c r="Y1013">
        <v>1.71</v>
      </c>
      <c r="Z1013">
        <v>68.62</v>
      </c>
      <c r="AA1013">
        <v>2322.58</v>
      </c>
      <c r="AB1013">
        <v>1246.58</v>
      </c>
      <c r="AC1013">
        <v>289.82</v>
      </c>
      <c r="AD1013">
        <v>110</v>
      </c>
      <c r="AE1013">
        <v>192.07</v>
      </c>
      <c r="AF1013">
        <v>4161.05</v>
      </c>
      <c r="AG1013">
        <v>1118.38</v>
      </c>
      <c r="AH1013">
        <v>13.4</v>
      </c>
    </row>
    <row r="1014" spans="1:34">
      <c r="A1014" t="s">
        <v>1399</v>
      </c>
      <c r="B1014" t="s">
        <v>261</v>
      </c>
      <c r="C1014" t="b">
        <v>0</v>
      </c>
      <c r="D1014" t="b">
        <v>0</v>
      </c>
      <c r="E1014" t="s">
        <v>1473</v>
      </c>
      <c r="F1014" t="s">
        <v>82</v>
      </c>
      <c r="G1014" t="s">
        <v>81</v>
      </c>
      <c r="H1014">
        <v>30</v>
      </c>
      <c r="I1014">
        <v>14</v>
      </c>
      <c r="J1014">
        <v>346</v>
      </c>
      <c r="K1014">
        <v>11689.43</v>
      </c>
      <c r="L1014">
        <v>501.72</v>
      </c>
      <c r="M1014">
        <v>20.87</v>
      </c>
      <c r="N1014">
        <v>11166.84</v>
      </c>
      <c r="O1014">
        <v>3543.33</v>
      </c>
      <c r="P1014">
        <v>7623.51</v>
      </c>
      <c r="Q1014">
        <v>80.75</v>
      </c>
      <c r="R1014">
        <v>431.28</v>
      </c>
      <c r="S1014">
        <v>662</v>
      </c>
      <c r="T1014">
        <v>267</v>
      </c>
      <c r="U1014">
        <v>18</v>
      </c>
      <c r="V1014">
        <v>79</v>
      </c>
      <c r="W1014">
        <v>50</v>
      </c>
      <c r="X1014">
        <v>32.27</v>
      </c>
      <c r="Y1014">
        <v>1.91</v>
      </c>
      <c r="Z1014">
        <v>68.27</v>
      </c>
      <c r="AA1014">
        <v>2322.58</v>
      </c>
      <c r="AB1014">
        <v>1246.58</v>
      </c>
      <c r="AC1014">
        <v>303.11</v>
      </c>
      <c r="AD1014">
        <v>110</v>
      </c>
      <c r="AE1014">
        <v>184.57</v>
      </c>
      <c r="AF1014">
        <v>4166.84</v>
      </c>
      <c r="AG1014">
        <v>2944.64</v>
      </c>
      <c r="AH1014">
        <v>26.37</v>
      </c>
    </row>
    <row r="1015" spans="1:34">
      <c r="A1015" t="s">
        <v>1400</v>
      </c>
      <c r="B1015" t="s">
        <v>262</v>
      </c>
      <c r="C1015" t="b">
        <v>1</v>
      </c>
      <c r="D1015" t="b">
        <v>0</v>
      </c>
      <c r="E1015" t="s">
        <v>1473</v>
      </c>
      <c r="F1015" t="s">
        <v>82</v>
      </c>
      <c r="G1015" t="s">
        <v>81</v>
      </c>
      <c r="H1015">
        <v>28.9</v>
      </c>
      <c r="I1015">
        <v>15</v>
      </c>
      <c r="J1015">
        <v>272</v>
      </c>
      <c r="K1015">
        <v>11396.39</v>
      </c>
      <c r="L1015">
        <v>368.67</v>
      </c>
      <c r="M1015">
        <v>0</v>
      </c>
      <c r="N1015">
        <v>11027.72</v>
      </c>
      <c r="O1015">
        <v>3466.84</v>
      </c>
      <c r="P1015">
        <v>7560.88</v>
      </c>
      <c r="Q1015">
        <v>85.89</v>
      </c>
      <c r="R1015">
        <v>409.37</v>
      </c>
      <c r="S1015">
        <v>647</v>
      </c>
      <c r="T1015">
        <v>209</v>
      </c>
      <c r="U1015">
        <v>14</v>
      </c>
      <c r="V1015">
        <v>63</v>
      </c>
      <c r="W1015">
        <v>46</v>
      </c>
      <c r="X1015">
        <v>40.54</v>
      </c>
      <c r="Y1015">
        <v>2.38</v>
      </c>
      <c r="Z1015">
        <v>68.56</v>
      </c>
      <c r="AA1015">
        <v>2322.58</v>
      </c>
      <c r="AB1015">
        <v>1246.58</v>
      </c>
      <c r="AC1015">
        <v>302.37</v>
      </c>
      <c r="AD1015">
        <v>110</v>
      </c>
      <c r="AE1015">
        <v>186.86</v>
      </c>
      <c r="AF1015">
        <v>4168.39</v>
      </c>
      <c r="AG1015">
        <v>2897.23</v>
      </c>
      <c r="AH1015">
        <v>26.27</v>
      </c>
    </row>
    <row r="1016" spans="1:34">
      <c r="A1016" t="s">
        <v>1401</v>
      </c>
      <c r="B1016" t="s">
        <v>263</v>
      </c>
      <c r="C1016" t="b">
        <v>1</v>
      </c>
      <c r="D1016" t="b">
        <v>0</v>
      </c>
      <c r="E1016" t="s">
        <v>1473</v>
      </c>
      <c r="F1016" t="s">
        <v>82</v>
      </c>
      <c r="G1016" t="s">
        <v>81</v>
      </c>
      <c r="H1016">
        <v>27.4</v>
      </c>
      <c r="I1016">
        <v>16</v>
      </c>
      <c r="J1016">
        <v>230</v>
      </c>
      <c r="K1016">
        <v>9051.299999999999</v>
      </c>
      <c r="L1016">
        <v>244.34</v>
      </c>
      <c r="M1016">
        <v>53.05</v>
      </c>
      <c r="N1016">
        <v>8753.91</v>
      </c>
      <c r="O1016">
        <v>2814.23</v>
      </c>
      <c r="P1016">
        <v>5939.68</v>
      </c>
      <c r="Q1016">
        <v>68.73</v>
      </c>
      <c r="R1016">
        <v>305.04</v>
      </c>
      <c r="S1016">
        <v>509</v>
      </c>
      <c r="T1016">
        <v>168</v>
      </c>
      <c r="U1016">
        <v>8</v>
      </c>
      <c r="V1016">
        <v>62</v>
      </c>
      <c r="W1016">
        <v>40</v>
      </c>
      <c r="X1016">
        <v>38.06</v>
      </c>
      <c r="Y1016">
        <v>2.21</v>
      </c>
      <c r="Z1016">
        <v>67.84999999999999</v>
      </c>
      <c r="AA1016">
        <v>2322.58</v>
      </c>
      <c r="AB1016">
        <v>1246.58</v>
      </c>
      <c r="AC1016">
        <v>273.75</v>
      </c>
      <c r="AD1016">
        <v>110</v>
      </c>
      <c r="AE1016">
        <v>191.78</v>
      </c>
      <c r="AF1016">
        <v>4144.69</v>
      </c>
      <c r="AG1016">
        <v>1421.22</v>
      </c>
      <c r="AH1016">
        <v>16.24</v>
      </c>
    </row>
    <row r="1017" spans="1:34">
      <c r="A1017" t="s">
        <v>510</v>
      </c>
      <c r="B1017" t="s">
        <v>75</v>
      </c>
      <c r="C1017" t="b">
        <v>0</v>
      </c>
      <c r="D1017" t="b">
        <v>0</v>
      </c>
      <c r="E1017" t="s">
        <v>1473</v>
      </c>
      <c r="F1017" t="s">
        <v>82</v>
      </c>
      <c r="G1017" t="s">
        <v>81</v>
      </c>
      <c r="H1017">
        <v>26.5</v>
      </c>
      <c r="I1017">
        <v>17</v>
      </c>
      <c r="J1017">
        <v>295</v>
      </c>
      <c r="K1017">
        <v>9285.959999999999</v>
      </c>
      <c r="L1017">
        <v>486.06</v>
      </c>
      <c r="M1017">
        <v>0</v>
      </c>
      <c r="N1017">
        <v>8799.9</v>
      </c>
      <c r="O1017">
        <v>2778.63</v>
      </c>
      <c r="P1017">
        <v>6021.27</v>
      </c>
      <c r="Q1017">
        <v>71.19</v>
      </c>
      <c r="R1017">
        <v>302.95</v>
      </c>
      <c r="S1017">
        <v>519</v>
      </c>
      <c r="T1017">
        <v>216</v>
      </c>
      <c r="U1017">
        <v>15</v>
      </c>
      <c r="V1017">
        <v>79</v>
      </c>
      <c r="W1017">
        <v>36</v>
      </c>
      <c r="X1017">
        <v>29.83</v>
      </c>
      <c r="Y1017">
        <v>1.76</v>
      </c>
      <c r="Z1017">
        <v>68.42</v>
      </c>
      <c r="AA1017">
        <v>2322.58</v>
      </c>
      <c r="AB1017">
        <v>1246.58</v>
      </c>
      <c r="AC1017">
        <v>252.18</v>
      </c>
      <c r="AD1017">
        <v>110</v>
      </c>
      <c r="AE1017">
        <v>206.84</v>
      </c>
      <c r="AF1017">
        <v>4138.18</v>
      </c>
      <c r="AG1017">
        <v>1508.95</v>
      </c>
      <c r="AH1017">
        <v>17.15</v>
      </c>
    </row>
    <row r="1018" spans="1:34">
      <c r="A1018" t="s">
        <v>1402</v>
      </c>
      <c r="B1018" t="s">
        <v>258</v>
      </c>
      <c r="C1018" t="b">
        <v>0</v>
      </c>
      <c r="D1018" t="b">
        <v>0</v>
      </c>
      <c r="E1018" t="s">
        <v>1473</v>
      </c>
      <c r="F1018" t="s">
        <v>82</v>
      </c>
      <c r="G1018" t="s">
        <v>81</v>
      </c>
      <c r="H1018">
        <v>24.8</v>
      </c>
      <c r="I1018">
        <v>18</v>
      </c>
      <c r="J1018">
        <v>285</v>
      </c>
      <c r="K1018">
        <v>8152.9</v>
      </c>
      <c r="L1018">
        <v>493</v>
      </c>
      <c r="M1018">
        <v>19.13</v>
      </c>
      <c r="N1018">
        <v>7640.77</v>
      </c>
      <c r="O1018">
        <v>2474.45</v>
      </c>
      <c r="P1018">
        <v>5166.32</v>
      </c>
      <c r="Q1018">
        <v>64.86</v>
      </c>
      <c r="R1018">
        <v>260.18</v>
      </c>
      <c r="S1018">
        <v>473</v>
      </c>
      <c r="T1018">
        <v>229</v>
      </c>
      <c r="U1018">
        <v>6</v>
      </c>
      <c r="V1018">
        <v>56</v>
      </c>
      <c r="W1018">
        <v>34</v>
      </c>
      <c r="X1018">
        <v>26.81</v>
      </c>
      <c r="Y1018">
        <v>1.66</v>
      </c>
      <c r="Z1018">
        <v>67.62</v>
      </c>
      <c r="AA1018">
        <v>2322.58</v>
      </c>
      <c r="AB1018">
        <v>1246.58</v>
      </c>
      <c r="AC1018">
        <v>256.8</v>
      </c>
      <c r="AD1018">
        <v>110</v>
      </c>
      <c r="AE1018">
        <v>208.61</v>
      </c>
      <c r="AF1018">
        <v>4144.57</v>
      </c>
      <c r="AG1018">
        <v>696.71</v>
      </c>
      <c r="AH1018">
        <v>9.119999999999999</v>
      </c>
    </row>
    <row r="1019" spans="1:34">
      <c r="A1019" t="s">
        <v>1403</v>
      </c>
      <c r="B1019" t="s">
        <v>259</v>
      </c>
      <c r="C1019" t="b">
        <v>0</v>
      </c>
      <c r="D1019" t="b">
        <v>0</v>
      </c>
      <c r="E1019" t="s">
        <v>1473</v>
      </c>
      <c r="F1019" t="s">
        <v>82</v>
      </c>
      <c r="G1019" t="s">
        <v>81</v>
      </c>
      <c r="H1019">
        <v>22.4</v>
      </c>
      <c r="I1019">
        <v>19</v>
      </c>
      <c r="J1019">
        <v>313</v>
      </c>
      <c r="K1019">
        <v>9420.76</v>
      </c>
      <c r="L1019">
        <v>313.02</v>
      </c>
      <c r="M1019">
        <v>0</v>
      </c>
      <c r="N1019">
        <v>9107.74</v>
      </c>
      <c r="O1019">
        <v>2910.32</v>
      </c>
      <c r="P1019">
        <v>6197.42</v>
      </c>
      <c r="Q1019">
        <v>77.43000000000001</v>
      </c>
      <c r="R1019">
        <v>296.01</v>
      </c>
      <c r="S1019">
        <v>529</v>
      </c>
      <c r="T1019">
        <v>236</v>
      </c>
      <c r="U1019">
        <v>12</v>
      </c>
      <c r="V1019">
        <v>77</v>
      </c>
      <c r="W1019">
        <v>37</v>
      </c>
      <c r="X1019">
        <v>29.1</v>
      </c>
      <c r="Y1019">
        <v>1.69</v>
      </c>
      <c r="Z1019">
        <v>68.05</v>
      </c>
      <c r="AA1019">
        <v>2322.58</v>
      </c>
      <c r="AB1019">
        <v>1246.58</v>
      </c>
      <c r="AC1019">
        <v>246.84</v>
      </c>
      <c r="AD1019">
        <v>110</v>
      </c>
      <c r="AE1019">
        <v>195.92</v>
      </c>
      <c r="AF1019">
        <v>4121.92</v>
      </c>
      <c r="AG1019">
        <v>1702.06</v>
      </c>
      <c r="AH1019">
        <v>18.69</v>
      </c>
    </row>
    <row r="1020" spans="1:34">
      <c r="A1020" t="s">
        <v>1404</v>
      </c>
      <c r="B1020" t="s">
        <v>260</v>
      </c>
      <c r="C1020" t="b">
        <v>0</v>
      </c>
      <c r="D1020" t="b">
        <v>0</v>
      </c>
      <c r="E1020" t="s">
        <v>1473</v>
      </c>
      <c r="F1020" t="s">
        <v>82</v>
      </c>
      <c r="G1020" t="s">
        <v>81</v>
      </c>
      <c r="H1020">
        <v>24.9</v>
      </c>
      <c r="I1020">
        <v>20</v>
      </c>
      <c r="J1020">
        <v>300</v>
      </c>
      <c r="K1020">
        <v>9106.01</v>
      </c>
      <c r="L1020">
        <v>297.39</v>
      </c>
      <c r="M1020">
        <v>38.26</v>
      </c>
      <c r="N1020">
        <v>8770.360000000001</v>
      </c>
      <c r="O1020">
        <v>2751.72</v>
      </c>
      <c r="P1020">
        <v>6018.64</v>
      </c>
      <c r="Q1020">
        <v>68.23999999999999</v>
      </c>
      <c r="R1020">
        <v>301.43</v>
      </c>
      <c r="S1020">
        <v>522</v>
      </c>
      <c r="T1020">
        <v>224</v>
      </c>
      <c r="U1020">
        <v>9</v>
      </c>
      <c r="V1020">
        <v>76</v>
      </c>
      <c r="W1020">
        <v>37</v>
      </c>
      <c r="X1020">
        <v>29.23</v>
      </c>
      <c r="Y1020">
        <v>1.74</v>
      </c>
      <c r="Z1020">
        <v>68.62</v>
      </c>
      <c r="AA1020">
        <v>2322.58</v>
      </c>
      <c r="AB1020">
        <v>1246.58</v>
      </c>
      <c r="AC1020">
        <v>223.57</v>
      </c>
      <c r="AD1020">
        <v>110</v>
      </c>
      <c r="AE1020">
        <v>203.99</v>
      </c>
      <c r="AF1020">
        <v>4106.72</v>
      </c>
      <c r="AG1020">
        <v>1542.25</v>
      </c>
      <c r="AH1020">
        <v>17.58</v>
      </c>
    </row>
    <row r="1021" spans="1:34">
      <c r="A1021" t="s">
        <v>1405</v>
      </c>
      <c r="B1021" t="s">
        <v>261</v>
      </c>
      <c r="C1021" t="b">
        <v>0</v>
      </c>
      <c r="D1021" t="b">
        <v>0</v>
      </c>
      <c r="E1021" t="s">
        <v>1473</v>
      </c>
      <c r="F1021" t="s">
        <v>82</v>
      </c>
      <c r="G1021" t="s">
        <v>81</v>
      </c>
      <c r="H1021">
        <v>24.7</v>
      </c>
      <c r="I1021">
        <v>21</v>
      </c>
      <c r="J1021">
        <v>362</v>
      </c>
      <c r="K1021">
        <v>12253.81</v>
      </c>
      <c r="L1021">
        <v>337.38</v>
      </c>
      <c r="M1021">
        <v>13.91</v>
      </c>
      <c r="N1021">
        <v>11902.52</v>
      </c>
      <c r="O1021">
        <v>3608.82</v>
      </c>
      <c r="P1021">
        <v>8293.700000000001</v>
      </c>
      <c r="Q1021">
        <v>96.70999999999999</v>
      </c>
      <c r="R1021">
        <v>384.03</v>
      </c>
      <c r="S1021">
        <v>693</v>
      </c>
      <c r="T1021">
        <v>262</v>
      </c>
      <c r="U1021">
        <v>15</v>
      </c>
      <c r="V1021">
        <v>100</v>
      </c>
      <c r="W1021">
        <v>47</v>
      </c>
      <c r="X1021">
        <v>32.88</v>
      </c>
      <c r="Y1021">
        <v>1.91</v>
      </c>
      <c r="Z1021">
        <v>69.68000000000001</v>
      </c>
      <c r="AA1021">
        <v>2322.58</v>
      </c>
      <c r="AB1021">
        <v>1246.58</v>
      </c>
      <c r="AC1021">
        <v>246.39</v>
      </c>
      <c r="AD1021">
        <v>110</v>
      </c>
      <c r="AE1021">
        <v>206.85</v>
      </c>
      <c r="AF1021">
        <v>4132.4</v>
      </c>
      <c r="AG1021">
        <v>3680.56</v>
      </c>
      <c r="AH1021">
        <v>30.92</v>
      </c>
    </row>
    <row r="1022" spans="1:34">
      <c r="A1022" t="s">
        <v>1406</v>
      </c>
      <c r="B1022" t="s">
        <v>262</v>
      </c>
      <c r="C1022" t="b">
        <v>1</v>
      </c>
      <c r="D1022" t="b">
        <v>0</v>
      </c>
      <c r="E1022" t="s">
        <v>1473</v>
      </c>
      <c r="F1022" t="s">
        <v>82</v>
      </c>
      <c r="G1022" t="s">
        <v>81</v>
      </c>
      <c r="H1022">
        <v>26</v>
      </c>
      <c r="I1022">
        <v>22</v>
      </c>
      <c r="J1022">
        <v>266</v>
      </c>
      <c r="K1022">
        <v>10175.69</v>
      </c>
      <c r="L1022">
        <v>418.25</v>
      </c>
      <c r="M1022">
        <v>26.96</v>
      </c>
      <c r="N1022">
        <v>9730.48</v>
      </c>
      <c r="O1022">
        <v>3093.04</v>
      </c>
      <c r="P1022">
        <v>6637.44</v>
      </c>
      <c r="Q1022">
        <v>79.78</v>
      </c>
      <c r="R1022">
        <v>317.38</v>
      </c>
      <c r="S1022">
        <v>585</v>
      </c>
      <c r="T1022">
        <v>199</v>
      </c>
      <c r="U1022">
        <v>18</v>
      </c>
      <c r="V1022">
        <v>67</v>
      </c>
      <c r="W1022">
        <v>38</v>
      </c>
      <c r="X1022">
        <v>36.58</v>
      </c>
      <c r="Y1022">
        <v>2.2</v>
      </c>
      <c r="Z1022">
        <v>68.20999999999999</v>
      </c>
      <c r="AA1022">
        <v>2322.58</v>
      </c>
      <c r="AB1022">
        <v>1246.58</v>
      </c>
      <c r="AC1022">
        <v>224.42</v>
      </c>
      <c r="AD1022">
        <v>110</v>
      </c>
      <c r="AE1022">
        <v>169.23</v>
      </c>
      <c r="AF1022">
        <v>4072.81</v>
      </c>
      <c r="AG1022">
        <v>2167.47</v>
      </c>
      <c r="AH1022">
        <v>22.28</v>
      </c>
    </row>
    <row r="1023" spans="1:34">
      <c r="A1023" t="s">
        <v>1407</v>
      </c>
      <c r="B1023" t="s">
        <v>263</v>
      </c>
      <c r="C1023" t="b">
        <v>1</v>
      </c>
      <c r="D1023" t="b">
        <v>0</v>
      </c>
      <c r="E1023" t="s">
        <v>1473</v>
      </c>
      <c r="F1023" t="s">
        <v>82</v>
      </c>
      <c r="G1023" t="s">
        <v>81</v>
      </c>
      <c r="H1023">
        <v>25.3</v>
      </c>
      <c r="I1023">
        <v>23</v>
      </c>
      <c r="J1023">
        <v>283</v>
      </c>
      <c r="K1023">
        <v>10933.93</v>
      </c>
      <c r="L1023">
        <v>320.85</v>
      </c>
      <c r="M1023">
        <v>49.56</v>
      </c>
      <c r="N1023">
        <v>10563.52</v>
      </c>
      <c r="O1023">
        <v>3380.47</v>
      </c>
      <c r="P1023">
        <v>7183.05</v>
      </c>
      <c r="Q1023">
        <v>75.51000000000001</v>
      </c>
      <c r="R1023">
        <v>454.81</v>
      </c>
      <c r="S1023">
        <v>627</v>
      </c>
      <c r="T1023">
        <v>233</v>
      </c>
      <c r="U1023">
        <v>12</v>
      </c>
      <c r="V1023">
        <v>50</v>
      </c>
      <c r="W1023">
        <v>57</v>
      </c>
      <c r="X1023">
        <v>37.33</v>
      </c>
      <c r="Y1023">
        <v>2.22</v>
      </c>
      <c r="Z1023">
        <v>68</v>
      </c>
      <c r="AA1023">
        <v>2322.58</v>
      </c>
      <c r="AB1023">
        <v>1246.58</v>
      </c>
      <c r="AC1023">
        <v>248.08</v>
      </c>
      <c r="AD1023">
        <v>110</v>
      </c>
      <c r="AE1023">
        <v>186.46</v>
      </c>
      <c r="AF1023">
        <v>4113.7</v>
      </c>
      <c r="AG1023">
        <v>2539.03</v>
      </c>
      <c r="AH1023">
        <v>24.04</v>
      </c>
    </row>
    <row r="1024" spans="1:34">
      <c r="A1024" t="s">
        <v>511</v>
      </c>
      <c r="B1024" t="s">
        <v>75</v>
      </c>
      <c r="C1024" t="b">
        <v>0</v>
      </c>
      <c r="D1024" t="b">
        <v>0</v>
      </c>
      <c r="E1024" t="s">
        <v>1473</v>
      </c>
      <c r="F1024" t="s">
        <v>82</v>
      </c>
      <c r="G1024" t="s">
        <v>81</v>
      </c>
      <c r="H1024">
        <v>26.4</v>
      </c>
      <c r="I1024">
        <v>24</v>
      </c>
      <c r="J1024">
        <v>256</v>
      </c>
      <c r="K1024">
        <v>9372.190000000001</v>
      </c>
      <c r="L1024">
        <v>428.26</v>
      </c>
      <c r="M1024">
        <v>23.48</v>
      </c>
      <c r="N1024">
        <v>8920.450000000001</v>
      </c>
      <c r="O1024">
        <v>2901.99</v>
      </c>
      <c r="P1024">
        <v>6018.46</v>
      </c>
      <c r="Q1024">
        <v>59.73</v>
      </c>
      <c r="R1024">
        <v>334.6</v>
      </c>
      <c r="S1024">
        <v>530</v>
      </c>
      <c r="T1024">
        <v>206</v>
      </c>
      <c r="U1024">
        <v>7</v>
      </c>
      <c r="V1024">
        <v>50</v>
      </c>
      <c r="W1024">
        <v>38</v>
      </c>
      <c r="X1024">
        <v>34.85</v>
      </c>
      <c r="Y1024">
        <v>2.07</v>
      </c>
      <c r="Z1024">
        <v>67.47</v>
      </c>
      <c r="AA1024">
        <v>2322.58</v>
      </c>
      <c r="AB1024">
        <v>1246.58</v>
      </c>
      <c r="AC1024">
        <v>286.05</v>
      </c>
      <c r="AD1024">
        <v>110</v>
      </c>
      <c r="AE1024">
        <v>227.52</v>
      </c>
      <c r="AF1024">
        <v>4192.73</v>
      </c>
      <c r="AG1024">
        <v>1431.4</v>
      </c>
      <c r="AH1024">
        <v>16.05</v>
      </c>
    </row>
    <row r="1025" spans="1:34">
      <c r="A1025" t="s">
        <v>1408</v>
      </c>
      <c r="B1025" t="s">
        <v>258</v>
      </c>
      <c r="C1025" t="b">
        <v>0</v>
      </c>
      <c r="D1025" t="b">
        <v>0</v>
      </c>
      <c r="E1025" t="s">
        <v>1473</v>
      </c>
      <c r="F1025" t="s">
        <v>82</v>
      </c>
      <c r="G1025" t="s">
        <v>81</v>
      </c>
      <c r="H1025">
        <v>27.1</v>
      </c>
      <c r="I1025">
        <v>25</v>
      </c>
      <c r="J1025">
        <v>277</v>
      </c>
      <c r="K1025">
        <v>9137.33</v>
      </c>
      <c r="L1025">
        <v>287.48</v>
      </c>
      <c r="M1025">
        <v>50.44</v>
      </c>
      <c r="N1025">
        <v>8799.41</v>
      </c>
      <c r="O1025">
        <v>2746.31</v>
      </c>
      <c r="P1025">
        <v>6053.1</v>
      </c>
      <c r="Q1025">
        <v>57.68</v>
      </c>
      <c r="R1025">
        <v>371.49</v>
      </c>
      <c r="S1025">
        <v>524</v>
      </c>
      <c r="T1025">
        <v>217</v>
      </c>
      <c r="U1025">
        <v>9</v>
      </c>
      <c r="V1025">
        <v>60</v>
      </c>
      <c r="W1025">
        <v>44</v>
      </c>
      <c r="X1025">
        <v>31.77</v>
      </c>
      <c r="Y1025">
        <v>1.89</v>
      </c>
      <c r="Z1025">
        <v>68.79000000000001</v>
      </c>
      <c r="AA1025">
        <v>2322.58</v>
      </c>
      <c r="AB1025">
        <v>1246.58</v>
      </c>
      <c r="AC1025">
        <v>265.63</v>
      </c>
      <c r="AD1025">
        <v>110</v>
      </c>
      <c r="AE1025">
        <v>247.41</v>
      </c>
      <c r="AF1025">
        <v>4192.2</v>
      </c>
      <c r="AG1025">
        <v>1431.73</v>
      </c>
      <c r="AH1025">
        <v>16.27</v>
      </c>
    </row>
    <row r="1026" spans="1:34">
      <c r="A1026" t="s">
        <v>1409</v>
      </c>
      <c r="B1026" t="s">
        <v>259</v>
      </c>
      <c r="C1026" t="b">
        <v>0</v>
      </c>
      <c r="D1026" t="b">
        <v>0</v>
      </c>
      <c r="E1026" t="s">
        <v>1473</v>
      </c>
      <c r="F1026" t="s">
        <v>82</v>
      </c>
      <c r="G1026" t="s">
        <v>81</v>
      </c>
      <c r="H1026">
        <v>25.6</v>
      </c>
      <c r="I1026">
        <v>26</v>
      </c>
      <c r="J1026">
        <v>254</v>
      </c>
      <c r="K1026">
        <v>8290.43</v>
      </c>
      <c r="L1026">
        <v>345.74</v>
      </c>
      <c r="M1026">
        <v>20.87</v>
      </c>
      <c r="N1026">
        <v>7923.82</v>
      </c>
      <c r="O1026">
        <v>2462.62</v>
      </c>
      <c r="P1026">
        <v>5461.2</v>
      </c>
      <c r="Q1026">
        <v>55.87</v>
      </c>
      <c r="R1026">
        <v>250.24</v>
      </c>
      <c r="S1026">
        <v>476</v>
      </c>
      <c r="T1026">
        <v>187</v>
      </c>
      <c r="U1026">
        <v>14</v>
      </c>
      <c r="V1026">
        <v>67</v>
      </c>
      <c r="W1026">
        <v>31</v>
      </c>
      <c r="X1026">
        <v>31.2</v>
      </c>
      <c r="Y1026">
        <v>1.87</v>
      </c>
      <c r="Z1026">
        <v>68.92</v>
      </c>
      <c r="AA1026">
        <v>2322.58</v>
      </c>
      <c r="AB1026">
        <v>1246.58</v>
      </c>
      <c r="AC1026">
        <v>262.68</v>
      </c>
      <c r="AD1026">
        <v>110</v>
      </c>
      <c r="AE1026">
        <v>213.15</v>
      </c>
      <c r="AF1026">
        <v>4154.99</v>
      </c>
      <c r="AG1026">
        <v>1000.1</v>
      </c>
      <c r="AH1026">
        <v>12.62</v>
      </c>
    </row>
    <row r="1027" spans="1:34">
      <c r="A1027" t="s">
        <v>1410</v>
      </c>
      <c r="B1027" t="s">
        <v>260</v>
      </c>
      <c r="C1027" t="b">
        <v>0</v>
      </c>
      <c r="D1027" t="b">
        <v>0</v>
      </c>
      <c r="E1027" t="s">
        <v>1473</v>
      </c>
      <c r="F1027" t="s">
        <v>82</v>
      </c>
      <c r="G1027" t="s">
        <v>81</v>
      </c>
      <c r="H1027">
        <v>25.5</v>
      </c>
      <c r="I1027">
        <v>27</v>
      </c>
      <c r="J1027">
        <v>221</v>
      </c>
      <c r="K1027">
        <v>6643.5</v>
      </c>
      <c r="L1027">
        <v>212.17</v>
      </c>
      <c r="M1027">
        <v>14.78</v>
      </c>
      <c r="N1027">
        <v>6416.55</v>
      </c>
      <c r="O1027">
        <v>2045.96</v>
      </c>
      <c r="P1027">
        <v>4370.59</v>
      </c>
      <c r="Q1027">
        <v>53.6</v>
      </c>
      <c r="R1027">
        <v>175.49</v>
      </c>
      <c r="S1027">
        <v>385</v>
      </c>
      <c r="T1027">
        <v>155</v>
      </c>
      <c r="U1027">
        <v>8</v>
      </c>
      <c r="V1027">
        <v>66</v>
      </c>
      <c r="W1027">
        <v>27</v>
      </c>
      <c r="X1027">
        <v>29.03</v>
      </c>
      <c r="Y1027">
        <v>1.74</v>
      </c>
      <c r="Z1027">
        <v>68.11</v>
      </c>
      <c r="AA1027">
        <v>2322.58</v>
      </c>
      <c r="AB1027">
        <v>1246.58</v>
      </c>
      <c r="AC1027">
        <v>261.83</v>
      </c>
      <c r="AD1027">
        <v>110</v>
      </c>
      <c r="AE1027">
        <v>168.11</v>
      </c>
      <c r="AF1027">
        <v>4109.1</v>
      </c>
      <c r="AG1027">
        <v>32.4</v>
      </c>
      <c r="AH1027">
        <v>0.5</v>
      </c>
    </row>
    <row r="1028" spans="1:34">
      <c r="A1028" t="s">
        <v>1411</v>
      </c>
      <c r="B1028" t="s">
        <v>261</v>
      </c>
      <c r="C1028" t="b">
        <v>0</v>
      </c>
      <c r="D1028" t="b">
        <v>0</v>
      </c>
      <c r="E1028" t="s">
        <v>1473</v>
      </c>
      <c r="F1028" t="s">
        <v>82</v>
      </c>
      <c r="G1028" t="s">
        <v>81</v>
      </c>
      <c r="H1028">
        <v>26</v>
      </c>
      <c r="I1028">
        <v>28</v>
      </c>
      <c r="J1028">
        <v>306</v>
      </c>
      <c r="K1028">
        <v>9808.57</v>
      </c>
      <c r="L1028">
        <v>246.94</v>
      </c>
      <c r="M1028">
        <v>72.18000000000001</v>
      </c>
      <c r="N1028">
        <v>9489.450000000001</v>
      </c>
      <c r="O1028">
        <v>2997.07</v>
      </c>
      <c r="P1028">
        <v>6492.38</v>
      </c>
      <c r="Q1028">
        <v>78.43000000000001</v>
      </c>
      <c r="R1028">
        <v>333.55</v>
      </c>
      <c r="S1028">
        <v>556</v>
      </c>
      <c r="T1028">
        <v>229</v>
      </c>
      <c r="U1028">
        <v>13</v>
      </c>
      <c r="V1028">
        <v>77</v>
      </c>
      <c r="W1028">
        <v>42</v>
      </c>
      <c r="X1028">
        <v>31.01</v>
      </c>
      <c r="Y1028">
        <v>1.82</v>
      </c>
      <c r="Z1028">
        <v>68.42</v>
      </c>
      <c r="AA1028">
        <v>2322.58</v>
      </c>
      <c r="AB1028">
        <v>1246.58</v>
      </c>
      <c r="AC1028">
        <v>239.18</v>
      </c>
      <c r="AD1028">
        <v>110</v>
      </c>
      <c r="AE1028">
        <v>186.65</v>
      </c>
      <c r="AF1028">
        <v>4104.99</v>
      </c>
      <c r="AG1028">
        <v>1975.41</v>
      </c>
      <c r="AH1028">
        <v>20.82</v>
      </c>
    </row>
    <row r="1029" spans="1:34">
      <c r="A1029" t="s">
        <v>1412</v>
      </c>
      <c r="B1029" t="s">
        <v>262</v>
      </c>
      <c r="C1029" t="b">
        <v>1</v>
      </c>
      <c r="D1029" t="b">
        <v>0</v>
      </c>
      <c r="E1029" t="s">
        <v>1473</v>
      </c>
      <c r="F1029" t="s">
        <v>82</v>
      </c>
      <c r="G1029" t="s">
        <v>81</v>
      </c>
      <c r="H1029">
        <v>26.1</v>
      </c>
      <c r="I1029">
        <v>29</v>
      </c>
      <c r="J1029">
        <v>245</v>
      </c>
      <c r="K1029">
        <v>9084.26</v>
      </c>
      <c r="L1029">
        <v>430.4</v>
      </c>
      <c r="M1029">
        <v>40</v>
      </c>
      <c r="N1029">
        <v>8613.860000000001</v>
      </c>
      <c r="O1029">
        <v>2702.52</v>
      </c>
      <c r="P1029">
        <v>5911.34</v>
      </c>
      <c r="Q1029">
        <v>63.31</v>
      </c>
      <c r="R1029">
        <v>370.76</v>
      </c>
      <c r="S1029">
        <v>520</v>
      </c>
      <c r="T1029">
        <v>181</v>
      </c>
      <c r="U1029">
        <v>11</v>
      </c>
      <c r="V1029">
        <v>64</v>
      </c>
      <c r="W1029">
        <v>45</v>
      </c>
      <c r="X1029">
        <v>35.16</v>
      </c>
      <c r="Y1029">
        <v>2.12</v>
      </c>
      <c r="Z1029">
        <v>68.63</v>
      </c>
      <c r="AA1029">
        <v>2322.58</v>
      </c>
      <c r="AB1029">
        <v>1246.58</v>
      </c>
      <c r="AC1029">
        <v>238.5</v>
      </c>
      <c r="AD1029">
        <v>110</v>
      </c>
      <c r="AE1029">
        <v>159.87</v>
      </c>
      <c r="AF1029">
        <v>4077.53</v>
      </c>
      <c r="AG1029">
        <v>1399.74</v>
      </c>
      <c r="AH1029">
        <v>16.25</v>
      </c>
    </row>
    <row r="1030" spans="1:34">
      <c r="A1030" t="s">
        <v>1413</v>
      </c>
      <c r="B1030" t="s">
        <v>263</v>
      </c>
      <c r="C1030" t="b">
        <v>1</v>
      </c>
      <c r="D1030" t="b">
        <v>0</v>
      </c>
      <c r="E1030" t="s">
        <v>1473</v>
      </c>
      <c r="F1030" t="s">
        <v>82</v>
      </c>
      <c r="G1030" t="s">
        <v>81</v>
      </c>
      <c r="H1030">
        <v>26.8</v>
      </c>
      <c r="I1030">
        <v>30</v>
      </c>
      <c r="J1030">
        <v>238</v>
      </c>
      <c r="K1030">
        <v>9752.129999999999</v>
      </c>
      <c r="L1030">
        <v>269.56</v>
      </c>
      <c r="M1030">
        <v>47.83</v>
      </c>
      <c r="N1030">
        <v>9434.74</v>
      </c>
      <c r="O1030">
        <v>2962.7</v>
      </c>
      <c r="P1030">
        <v>6472.04</v>
      </c>
      <c r="Q1030">
        <v>69.65000000000001</v>
      </c>
      <c r="R1030">
        <v>405.94</v>
      </c>
      <c r="S1030">
        <v>552</v>
      </c>
      <c r="T1030">
        <v>181</v>
      </c>
      <c r="U1030">
        <v>14</v>
      </c>
      <c r="V1030">
        <v>57</v>
      </c>
      <c r="W1030">
        <v>45</v>
      </c>
      <c r="X1030">
        <v>39.64</v>
      </c>
      <c r="Y1030">
        <v>2.32</v>
      </c>
      <c r="Z1030">
        <v>68.59999999999999</v>
      </c>
      <c r="AA1030">
        <v>2322.58</v>
      </c>
      <c r="AB1030">
        <v>1246.58</v>
      </c>
      <c r="AC1030">
        <v>257.9</v>
      </c>
      <c r="AD1030">
        <v>110</v>
      </c>
      <c r="AE1030">
        <v>198.4</v>
      </c>
      <c r="AF1030">
        <v>4135.46</v>
      </c>
      <c r="AG1030">
        <v>1860.99</v>
      </c>
      <c r="AH1030">
        <v>19.72</v>
      </c>
    </row>
    <row r="1031" spans="1:34">
      <c r="A1031" t="s">
        <v>512</v>
      </c>
      <c r="B1031" t="s">
        <v>75</v>
      </c>
      <c r="C1031" t="b">
        <v>0</v>
      </c>
      <c r="D1031" t="b">
        <v>0</v>
      </c>
      <c r="E1031" t="s">
        <v>1473</v>
      </c>
      <c r="F1031" t="s">
        <v>82</v>
      </c>
      <c r="G1031" t="s">
        <v>81</v>
      </c>
      <c r="H1031">
        <v>28.7</v>
      </c>
      <c r="I1031">
        <v>31</v>
      </c>
      <c r="J1031">
        <v>248</v>
      </c>
      <c r="K1031">
        <v>7486.87</v>
      </c>
      <c r="L1031">
        <v>324.33</v>
      </c>
      <c r="M1031">
        <v>64.34999999999999</v>
      </c>
      <c r="N1031">
        <v>7098.19</v>
      </c>
      <c r="O1031">
        <v>2270.37</v>
      </c>
      <c r="P1031">
        <v>4827.82</v>
      </c>
      <c r="Q1031">
        <v>51.62</v>
      </c>
      <c r="R1031">
        <v>309.92</v>
      </c>
      <c r="S1031">
        <v>428</v>
      </c>
      <c r="T1031">
        <v>196</v>
      </c>
      <c r="U1031">
        <v>4</v>
      </c>
      <c r="V1031">
        <v>52</v>
      </c>
      <c r="W1031">
        <v>37</v>
      </c>
      <c r="X1031">
        <v>28.62</v>
      </c>
      <c r="Y1031">
        <v>1.73</v>
      </c>
      <c r="Z1031">
        <v>68.01000000000001</v>
      </c>
      <c r="AA1031">
        <v>2322.58</v>
      </c>
      <c r="AB1031">
        <v>1246.58</v>
      </c>
      <c r="AC1031">
        <v>278.75</v>
      </c>
      <c r="AD1031">
        <v>110</v>
      </c>
      <c r="AE1031">
        <v>196.69</v>
      </c>
      <c r="AF1031">
        <v>4154.6</v>
      </c>
      <c r="AG1031">
        <v>311.68</v>
      </c>
      <c r="AH1031">
        <v>4.39</v>
      </c>
    </row>
    <row r="1032" spans="1:34">
      <c r="A1032" t="s">
        <v>1414</v>
      </c>
      <c r="B1032" t="s">
        <v>258</v>
      </c>
      <c r="C1032" t="b">
        <v>0</v>
      </c>
      <c r="D1032" t="b">
        <v>0</v>
      </c>
      <c r="E1032" t="s">
        <v>1473</v>
      </c>
      <c r="F1032" t="s">
        <v>82</v>
      </c>
      <c r="G1032" t="s">
        <v>1477</v>
      </c>
      <c r="H1032">
        <v>27.6</v>
      </c>
      <c r="I1032">
        <v>0</v>
      </c>
      <c r="J1032">
        <v>304</v>
      </c>
      <c r="K1032">
        <v>10044.23</v>
      </c>
      <c r="L1032">
        <v>314.77</v>
      </c>
      <c r="M1032">
        <v>0</v>
      </c>
      <c r="N1032">
        <v>9729.459999999999</v>
      </c>
      <c r="O1032">
        <v>3044.12</v>
      </c>
      <c r="P1032">
        <v>6685.34</v>
      </c>
      <c r="Q1032">
        <v>78.56</v>
      </c>
      <c r="R1032">
        <v>369.72</v>
      </c>
      <c r="S1032">
        <v>585</v>
      </c>
      <c r="T1032">
        <v>236</v>
      </c>
      <c r="U1032">
        <v>12</v>
      </c>
      <c r="V1032">
        <v>68</v>
      </c>
      <c r="W1032">
        <v>41</v>
      </c>
      <c r="X1032">
        <v>32</v>
      </c>
      <c r="Y1032">
        <v>1.92</v>
      </c>
      <c r="Z1032">
        <v>68.70999999999999</v>
      </c>
      <c r="AA1032">
        <v>2322.58</v>
      </c>
      <c r="AB1032">
        <v>1246.58</v>
      </c>
      <c r="AC1032">
        <v>244.55</v>
      </c>
      <c r="AD1032">
        <v>110</v>
      </c>
      <c r="AE1032">
        <v>181.99</v>
      </c>
      <c r="AF1032">
        <v>4105.7</v>
      </c>
      <c r="AG1032">
        <v>2131.36</v>
      </c>
      <c r="AH1032">
        <v>21.91</v>
      </c>
    </row>
    <row r="1033" spans="1:34">
      <c r="A1033" t="s">
        <v>1415</v>
      </c>
      <c r="B1033" t="s">
        <v>259</v>
      </c>
      <c r="C1033" t="b">
        <v>0</v>
      </c>
      <c r="D1033" t="b">
        <v>0</v>
      </c>
      <c r="E1033" t="s">
        <v>1473</v>
      </c>
      <c r="F1033" t="s">
        <v>82</v>
      </c>
      <c r="G1033" t="s">
        <v>1477</v>
      </c>
      <c r="H1033">
        <v>25.7</v>
      </c>
      <c r="I1033">
        <v>1</v>
      </c>
      <c r="J1033">
        <v>263</v>
      </c>
      <c r="K1033">
        <v>7974.72</v>
      </c>
      <c r="L1033">
        <v>246.95</v>
      </c>
      <c r="M1033">
        <v>0</v>
      </c>
      <c r="N1033">
        <v>7727.77</v>
      </c>
      <c r="O1033">
        <v>2396.68</v>
      </c>
      <c r="P1033">
        <v>5331.09</v>
      </c>
      <c r="Q1033">
        <v>56.87</v>
      </c>
      <c r="R1033">
        <v>295.82</v>
      </c>
      <c r="S1033">
        <v>456</v>
      </c>
      <c r="T1033">
        <v>202</v>
      </c>
      <c r="U1033">
        <v>10</v>
      </c>
      <c r="V1033">
        <v>61</v>
      </c>
      <c r="W1033">
        <v>35</v>
      </c>
      <c r="X1033">
        <v>29.38</v>
      </c>
      <c r="Y1033">
        <v>1.73</v>
      </c>
      <c r="Z1033">
        <v>68.98999999999999</v>
      </c>
      <c r="AA1033">
        <v>2322.58</v>
      </c>
      <c r="AB1033">
        <v>1246.58</v>
      </c>
      <c r="AC1033">
        <v>249.19</v>
      </c>
      <c r="AD1033">
        <v>110</v>
      </c>
      <c r="AE1033">
        <v>181.36</v>
      </c>
      <c r="AF1033">
        <v>4109.71</v>
      </c>
      <c r="AG1033">
        <v>868.6900000000001</v>
      </c>
      <c r="AH1033">
        <v>11.24</v>
      </c>
    </row>
    <row r="1034" spans="1:34">
      <c r="A1034" t="s">
        <v>1416</v>
      </c>
      <c r="B1034" t="s">
        <v>260</v>
      </c>
      <c r="C1034" t="b">
        <v>0</v>
      </c>
      <c r="D1034" t="b">
        <v>0</v>
      </c>
      <c r="E1034" t="s">
        <v>1473</v>
      </c>
      <c r="F1034" t="s">
        <v>82</v>
      </c>
      <c r="G1034" t="s">
        <v>1477</v>
      </c>
      <c r="H1034">
        <v>25.9</v>
      </c>
      <c r="I1034">
        <v>2</v>
      </c>
      <c r="J1034">
        <v>297</v>
      </c>
      <c r="K1034">
        <v>11039.68</v>
      </c>
      <c r="L1034">
        <v>563.7</v>
      </c>
      <c r="M1034">
        <v>0</v>
      </c>
      <c r="N1034">
        <v>10475.98</v>
      </c>
      <c r="O1034">
        <v>3379.49</v>
      </c>
      <c r="P1034">
        <v>7096.49</v>
      </c>
      <c r="Q1034">
        <v>68.04000000000001</v>
      </c>
      <c r="R1034">
        <v>409.23</v>
      </c>
      <c r="S1034">
        <v>650</v>
      </c>
      <c r="T1034">
        <v>238</v>
      </c>
      <c r="U1034">
        <v>16</v>
      </c>
      <c r="V1034">
        <v>59</v>
      </c>
      <c r="W1034">
        <v>48</v>
      </c>
      <c r="X1034">
        <v>35.27</v>
      </c>
      <c r="Y1034">
        <v>2.19</v>
      </c>
      <c r="Z1034">
        <v>67.73999999999999</v>
      </c>
      <c r="AA1034">
        <v>2322.58</v>
      </c>
      <c r="AB1034">
        <v>1246.58</v>
      </c>
      <c r="AC1034">
        <v>253.41</v>
      </c>
      <c r="AD1034">
        <v>110</v>
      </c>
      <c r="AE1034">
        <v>240.05</v>
      </c>
      <c r="AF1034">
        <v>4172.62</v>
      </c>
      <c r="AG1034">
        <v>2446.6</v>
      </c>
      <c r="AH1034">
        <v>23.35</v>
      </c>
    </row>
    <row r="1035" spans="1:34">
      <c r="A1035" t="s">
        <v>1417</v>
      </c>
      <c r="B1035" t="s">
        <v>261</v>
      </c>
      <c r="C1035" t="b">
        <v>0</v>
      </c>
      <c r="D1035" t="b">
        <v>0</v>
      </c>
      <c r="E1035" t="s">
        <v>1473</v>
      </c>
      <c r="F1035" t="s">
        <v>82</v>
      </c>
      <c r="G1035" t="s">
        <v>1477</v>
      </c>
      <c r="H1035">
        <v>25.4</v>
      </c>
      <c r="I1035">
        <v>3</v>
      </c>
      <c r="J1035">
        <v>325</v>
      </c>
      <c r="K1035">
        <v>11296.43</v>
      </c>
      <c r="L1035">
        <v>428.67</v>
      </c>
      <c r="M1035">
        <v>11.3</v>
      </c>
      <c r="N1035">
        <v>10856.46</v>
      </c>
      <c r="O1035">
        <v>3350.37</v>
      </c>
      <c r="P1035">
        <v>7506.09</v>
      </c>
      <c r="Q1035">
        <v>85.55</v>
      </c>
      <c r="R1035">
        <v>317.42</v>
      </c>
      <c r="S1035">
        <v>641</v>
      </c>
      <c r="T1035">
        <v>239</v>
      </c>
      <c r="U1035">
        <v>8</v>
      </c>
      <c r="V1035">
        <v>86</v>
      </c>
      <c r="W1035">
        <v>35</v>
      </c>
      <c r="X1035">
        <v>33.4</v>
      </c>
      <c r="Y1035">
        <v>1.97</v>
      </c>
      <c r="Z1035">
        <v>69.14</v>
      </c>
      <c r="AA1035">
        <v>2322.58</v>
      </c>
      <c r="AB1035">
        <v>1246.58</v>
      </c>
      <c r="AC1035">
        <v>240.59</v>
      </c>
      <c r="AD1035">
        <v>110</v>
      </c>
      <c r="AE1035">
        <v>162.51</v>
      </c>
      <c r="AF1035">
        <v>4082.26</v>
      </c>
      <c r="AG1035">
        <v>3020.86</v>
      </c>
      <c r="AH1035">
        <v>27.83</v>
      </c>
    </row>
    <row r="1036" spans="1:34">
      <c r="A1036" t="s">
        <v>1418</v>
      </c>
      <c r="B1036" t="s">
        <v>262</v>
      </c>
      <c r="C1036" t="b">
        <v>1</v>
      </c>
      <c r="D1036" t="b">
        <v>0</v>
      </c>
      <c r="E1036" t="s">
        <v>1473</v>
      </c>
      <c r="F1036" t="s">
        <v>82</v>
      </c>
      <c r="G1036" t="s">
        <v>1477</v>
      </c>
      <c r="H1036">
        <v>24.9</v>
      </c>
      <c r="I1036">
        <v>4</v>
      </c>
      <c r="J1036">
        <v>273</v>
      </c>
      <c r="K1036">
        <v>11248.64</v>
      </c>
      <c r="L1036">
        <v>426.95</v>
      </c>
      <c r="M1036">
        <v>0</v>
      </c>
      <c r="N1036">
        <v>10821.69</v>
      </c>
      <c r="O1036">
        <v>3364.96</v>
      </c>
      <c r="P1036">
        <v>7456.73</v>
      </c>
      <c r="Q1036">
        <v>86.59999999999999</v>
      </c>
      <c r="R1036">
        <v>463.32</v>
      </c>
      <c r="S1036">
        <v>650</v>
      </c>
      <c r="T1036">
        <v>201</v>
      </c>
      <c r="U1036">
        <v>14</v>
      </c>
      <c r="V1036">
        <v>72</v>
      </c>
      <c r="W1036">
        <v>53</v>
      </c>
      <c r="X1036">
        <v>39.64</v>
      </c>
      <c r="Y1036">
        <v>2.38</v>
      </c>
      <c r="Z1036">
        <v>68.91</v>
      </c>
      <c r="AA1036">
        <v>2322.58</v>
      </c>
      <c r="AB1036">
        <v>1246.58</v>
      </c>
      <c r="AC1036">
        <v>235.9</v>
      </c>
      <c r="AD1036">
        <v>110</v>
      </c>
      <c r="AE1036">
        <v>210.58</v>
      </c>
      <c r="AF1036">
        <v>4125.64</v>
      </c>
      <c r="AG1036">
        <v>2781.17</v>
      </c>
      <c r="AH1036">
        <v>25.7</v>
      </c>
    </row>
    <row r="1037" spans="1:34">
      <c r="A1037" t="s">
        <v>1419</v>
      </c>
      <c r="B1037" t="s">
        <v>263</v>
      </c>
      <c r="C1037" t="b">
        <v>1</v>
      </c>
      <c r="D1037" t="b">
        <v>0</v>
      </c>
      <c r="E1037" t="s">
        <v>1473</v>
      </c>
      <c r="F1037" t="s">
        <v>82</v>
      </c>
      <c r="G1037" t="s">
        <v>81</v>
      </c>
      <c r="H1037">
        <v>24.9</v>
      </c>
      <c r="I1037">
        <v>5</v>
      </c>
      <c r="J1037">
        <v>258</v>
      </c>
      <c r="K1037">
        <v>9631.24</v>
      </c>
      <c r="L1037">
        <v>306.94</v>
      </c>
      <c r="M1037">
        <v>34.78</v>
      </c>
      <c r="N1037">
        <v>9289.52</v>
      </c>
      <c r="O1037">
        <v>2940.46</v>
      </c>
      <c r="P1037">
        <v>6349.06</v>
      </c>
      <c r="Q1037">
        <v>73.05</v>
      </c>
      <c r="R1037">
        <v>355.67</v>
      </c>
      <c r="S1037">
        <v>554</v>
      </c>
      <c r="T1037">
        <v>191</v>
      </c>
      <c r="U1037">
        <v>12</v>
      </c>
      <c r="V1037">
        <v>67</v>
      </c>
      <c r="W1037">
        <v>37</v>
      </c>
      <c r="X1037">
        <v>36.01</v>
      </c>
      <c r="Y1037">
        <v>2.15</v>
      </c>
      <c r="Z1037">
        <v>68.34999999999999</v>
      </c>
      <c r="AA1037">
        <v>2400</v>
      </c>
      <c r="AB1037">
        <v>1246.58</v>
      </c>
      <c r="AC1037">
        <v>254.46</v>
      </c>
      <c r="AD1037">
        <v>110</v>
      </c>
      <c r="AE1037">
        <v>184.62</v>
      </c>
      <c r="AF1037">
        <v>4195.66</v>
      </c>
      <c r="AG1037">
        <v>1724.68</v>
      </c>
      <c r="AH1037">
        <v>18.57</v>
      </c>
    </row>
    <row r="1038" spans="1:34">
      <c r="A1038" t="s">
        <v>513</v>
      </c>
      <c r="B1038" t="s">
        <v>75</v>
      </c>
      <c r="C1038" t="b">
        <v>0</v>
      </c>
      <c r="D1038" t="b">
        <v>0</v>
      </c>
      <c r="E1038" t="s">
        <v>1473</v>
      </c>
      <c r="F1038" t="s">
        <v>82</v>
      </c>
      <c r="G1038" t="s">
        <v>81</v>
      </c>
      <c r="H1038">
        <v>25.4</v>
      </c>
      <c r="I1038">
        <v>6</v>
      </c>
      <c r="J1038">
        <v>263</v>
      </c>
      <c r="K1038">
        <v>7465.89</v>
      </c>
      <c r="L1038">
        <v>336.49</v>
      </c>
      <c r="M1038">
        <v>0</v>
      </c>
      <c r="N1038">
        <v>7129.4</v>
      </c>
      <c r="O1038">
        <v>2216.06</v>
      </c>
      <c r="P1038">
        <v>4913.34</v>
      </c>
      <c r="Q1038">
        <v>60.81</v>
      </c>
      <c r="R1038">
        <v>253.4</v>
      </c>
      <c r="S1038">
        <v>433</v>
      </c>
      <c r="T1038">
        <v>197</v>
      </c>
      <c r="U1038">
        <v>10</v>
      </c>
      <c r="V1038">
        <v>66</v>
      </c>
      <c r="W1038">
        <v>33</v>
      </c>
      <c r="X1038">
        <v>27.11</v>
      </c>
      <c r="Y1038">
        <v>1.65</v>
      </c>
      <c r="Z1038">
        <v>68.92</v>
      </c>
      <c r="AA1038">
        <v>2400</v>
      </c>
      <c r="AB1038">
        <v>1246.58</v>
      </c>
      <c r="AC1038">
        <v>227.88</v>
      </c>
      <c r="AD1038">
        <v>110</v>
      </c>
      <c r="AE1038">
        <v>202.39</v>
      </c>
      <c r="AF1038">
        <v>4186.85</v>
      </c>
      <c r="AG1038">
        <v>412.28</v>
      </c>
      <c r="AH1038">
        <v>5.78</v>
      </c>
    </row>
    <row r="1039" spans="1:34">
      <c r="A1039" t="s">
        <v>1420</v>
      </c>
      <c r="B1039" t="s">
        <v>258</v>
      </c>
      <c r="C1039" t="b">
        <v>0</v>
      </c>
      <c r="D1039" t="b">
        <v>0</v>
      </c>
      <c r="E1039" t="s">
        <v>1473</v>
      </c>
      <c r="F1039" t="s">
        <v>82</v>
      </c>
      <c r="G1039" t="s">
        <v>81</v>
      </c>
      <c r="H1039">
        <v>24.6</v>
      </c>
      <c r="I1039">
        <v>7</v>
      </c>
      <c r="J1039">
        <v>274</v>
      </c>
      <c r="K1039">
        <v>8878.120000000001</v>
      </c>
      <c r="L1039">
        <v>166.06</v>
      </c>
      <c r="M1039">
        <v>0</v>
      </c>
      <c r="N1039">
        <v>8712.059999999999</v>
      </c>
      <c r="O1039">
        <v>2669.89</v>
      </c>
      <c r="P1039">
        <v>6042.17</v>
      </c>
      <c r="Q1039">
        <v>71.68000000000001</v>
      </c>
      <c r="R1039">
        <v>343.47</v>
      </c>
      <c r="S1039">
        <v>509</v>
      </c>
      <c r="T1039">
        <v>200</v>
      </c>
      <c r="U1039">
        <v>10</v>
      </c>
      <c r="V1039">
        <v>74</v>
      </c>
      <c r="W1039">
        <v>36</v>
      </c>
      <c r="X1039">
        <v>31.8</v>
      </c>
      <c r="Y1039">
        <v>1.86</v>
      </c>
      <c r="Z1039">
        <v>69.34999999999999</v>
      </c>
      <c r="AA1039">
        <v>2400</v>
      </c>
      <c r="AB1039">
        <v>1246.58</v>
      </c>
      <c r="AC1039">
        <v>222.77</v>
      </c>
      <c r="AD1039">
        <v>110</v>
      </c>
      <c r="AE1039">
        <v>216.54</v>
      </c>
      <c r="AF1039">
        <v>4195.89</v>
      </c>
      <c r="AG1039">
        <v>1431.13</v>
      </c>
      <c r="AH1039">
        <v>16.43</v>
      </c>
    </row>
    <row r="1040" spans="1:34">
      <c r="A1040" t="s">
        <v>1421</v>
      </c>
      <c r="B1040" t="s">
        <v>259</v>
      </c>
      <c r="C1040" t="b">
        <v>0</v>
      </c>
      <c r="D1040" t="b">
        <v>0</v>
      </c>
      <c r="E1040" t="s">
        <v>1473</v>
      </c>
      <c r="F1040" t="s">
        <v>82</v>
      </c>
      <c r="G1040" t="s">
        <v>81</v>
      </c>
      <c r="H1040">
        <v>21.4</v>
      </c>
      <c r="I1040">
        <v>8</v>
      </c>
      <c r="J1040">
        <v>289</v>
      </c>
      <c r="K1040">
        <v>9112.950000000001</v>
      </c>
      <c r="L1040">
        <v>336.5</v>
      </c>
      <c r="M1040">
        <v>40</v>
      </c>
      <c r="N1040">
        <v>8736.450000000001</v>
      </c>
      <c r="O1040">
        <v>2793.49</v>
      </c>
      <c r="P1040">
        <v>5942.96</v>
      </c>
      <c r="Q1040">
        <v>65.67</v>
      </c>
      <c r="R1040">
        <v>346.93</v>
      </c>
      <c r="S1040">
        <v>525</v>
      </c>
      <c r="T1040">
        <v>224</v>
      </c>
      <c r="U1040">
        <v>9</v>
      </c>
      <c r="V1040">
        <v>65</v>
      </c>
      <c r="W1040">
        <v>39</v>
      </c>
      <c r="X1040">
        <v>30.23</v>
      </c>
      <c r="Y1040">
        <v>1.82</v>
      </c>
      <c r="Z1040">
        <v>68.02</v>
      </c>
      <c r="AA1040">
        <v>2400</v>
      </c>
      <c r="AB1040">
        <v>1246.58</v>
      </c>
      <c r="AC1040">
        <v>191.82</v>
      </c>
      <c r="AD1040">
        <v>110</v>
      </c>
      <c r="AE1040">
        <v>219.47</v>
      </c>
      <c r="AF1040">
        <v>4167.87</v>
      </c>
      <c r="AG1040">
        <v>1362.49</v>
      </c>
      <c r="AH1040">
        <v>15.6</v>
      </c>
    </row>
    <row r="1041" spans="1:34">
      <c r="A1041" t="s">
        <v>1422</v>
      </c>
      <c r="B1041" t="s">
        <v>260</v>
      </c>
      <c r="C1041" t="b">
        <v>0</v>
      </c>
      <c r="D1041" t="b">
        <v>0</v>
      </c>
      <c r="E1041" t="s">
        <v>1473</v>
      </c>
      <c r="F1041" t="s">
        <v>82</v>
      </c>
      <c r="G1041" t="s">
        <v>81</v>
      </c>
      <c r="H1041">
        <v>22.5</v>
      </c>
      <c r="I1041">
        <v>9</v>
      </c>
      <c r="J1041">
        <v>303</v>
      </c>
      <c r="K1041">
        <v>9583.370000000001</v>
      </c>
      <c r="L1041">
        <v>472.16</v>
      </c>
      <c r="M1041">
        <v>19.13</v>
      </c>
      <c r="N1041">
        <v>9092.08</v>
      </c>
      <c r="O1041">
        <v>2922.43</v>
      </c>
      <c r="P1041">
        <v>6169.65</v>
      </c>
      <c r="Q1041">
        <v>75.23</v>
      </c>
      <c r="R1041">
        <v>298.58</v>
      </c>
      <c r="S1041">
        <v>550</v>
      </c>
      <c r="T1041">
        <v>218</v>
      </c>
      <c r="U1041">
        <v>16</v>
      </c>
      <c r="V1041">
        <v>85</v>
      </c>
      <c r="W1041">
        <v>36</v>
      </c>
      <c r="X1041">
        <v>30.01</v>
      </c>
      <c r="Y1041">
        <v>1.82</v>
      </c>
      <c r="Z1041">
        <v>67.86</v>
      </c>
      <c r="AA1041">
        <v>2400</v>
      </c>
      <c r="AB1041">
        <v>1246.58</v>
      </c>
      <c r="AC1041">
        <v>199.26</v>
      </c>
      <c r="AD1041">
        <v>110</v>
      </c>
      <c r="AE1041">
        <v>189.31</v>
      </c>
      <c r="AF1041">
        <v>4145.15</v>
      </c>
      <c r="AG1041">
        <v>1650.69</v>
      </c>
      <c r="AH1041">
        <v>18.16</v>
      </c>
    </row>
    <row r="1042" spans="1:34">
      <c r="A1042" t="s">
        <v>1423</v>
      </c>
      <c r="B1042" t="s">
        <v>261</v>
      </c>
      <c r="C1042" t="b">
        <v>0</v>
      </c>
      <c r="D1042" t="b">
        <v>0</v>
      </c>
      <c r="E1042" t="s">
        <v>1473</v>
      </c>
      <c r="F1042" t="s">
        <v>82</v>
      </c>
      <c r="G1042" t="s">
        <v>81</v>
      </c>
      <c r="H1042">
        <v>21.5</v>
      </c>
      <c r="I1042">
        <v>10</v>
      </c>
      <c r="J1042">
        <v>365</v>
      </c>
      <c r="K1042">
        <v>12214.69</v>
      </c>
      <c r="L1042">
        <v>365.19</v>
      </c>
      <c r="M1042">
        <v>0</v>
      </c>
      <c r="N1042">
        <v>11849.5</v>
      </c>
      <c r="O1042">
        <v>3647.62</v>
      </c>
      <c r="P1042">
        <v>8201.879999999999</v>
      </c>
      <c r="Q1042">
        <v>108.34</v>
      </c>
      <c r="R1042">
        <v>268</v>
      </c>
      <c r="S1042">
        <v>691</v>
      </c>
      <c r="T1042">
        <v>260</v>
      </c>
      <c r="U1042">
        <v>18</v>
      </c>
      <c r="V1042">
        <v>105</v>
      </c>
      <c r="W1042">
        <v>35</v>
      </c>
      <c r="X1042">
        <v>32.46</v>
      </c>
      <c r="Y1042">
        <v>1.89</v>
      </c>
      <c r="Z1042">
        <v>69.22</v>
      </c>
      <c r="AA1042">
        <v>2400</v>
      </c>
      <c r="AB1042">
        <v>1246.58</v>
      </c>
      <c r="AC1042">
        <v>211.95</v>
      </c>
      <c r="AD1042">
        <v>110</v>
      </c>
      <c r="AE1042">
        <v>192.24</v>
      </c>
      <c r="AF1042">
        <v>4160.77</v>
      </c>
      <c r="AG1042">
        <v>3664.77</v>
      </c>
      <c r="AH1042">
        <v>30.93</v>
      </c>
    </row>
    <row r="1043" spans="1:34">
      <c r="A1043" t="s">
        <v>1424</v>
      </c>
      <c r="B1043" t="s">
        <v>262</v>
      </c>
      <c r="C1043" t="b">
        <v>1</v>
      </c>
      <c r="D1043" t="b">
        <v>0</v>
      </c>
      <c r="E1043" t="s">
        <v>1473</v>
      </c>
      <c r="F1043" t="s">
        <v>82</v>
      </c>
      <c r="G1043" t="s">
        <v>81</v>
      </c>
      <c r="H1043">
        <v>22.1</v>
      </c>
      <c r="I1043">
        <v>11</v>
      </c>
      <c r="J1043">
        <v>335</v>
      </c>
      <c r="K1043">
        <v>12684.1</v>
      </c>
      <c r="L1043">
        <v>384.32</v>
      </c>
      <c r="M1043">
        <v>8.699999999999999</v>
      </c>
      <c r="N1043">
        <v>12291.08</v>
      </c>
      <c r="O1043">
        <v>3792.9</v>
      </c>
      <c r="P1043">
        <v>8498.18</v>
      </c>
      <c r="Q1043">
        <v>100.53</v>
      </c>
      <c r="R1043">
        <v>411.1</v>
      </c>
      <c r="S1043">
        <v>716</v>
      </c>
      <c r="T1043">
        <v>250</v>
      </c>
      <c r="U1043">
        <v>23</v>
      </c>
      <c r="V1043">
        <v>85</v>
      </c>
      <c r="W1043">
        <v>46</v>
      </c>
      <c r="X1043">
        <v>36.69</v>
      </c>
      <c r="Y1043">
        <v>2.14</v>
      </c>
      <c r="Z1043">
        <v>69.14</v>
      </c>
      <c r="AA1043">
        <v>2400</v>
      </c>
      <c r="AB1043">
        <v>1246.58</v>
      </c>
      <c r="AC1043">
        <v>189.75</v>
      </c>
      <c r="AD1043">
        <v>110</v>
      </c>
      <c r="AE1043">
        <v>200.15</v>
      </c>
      <c r="AF1043">
        <v>4146.48</v>
      </c>
      <c r="AG1043">
        <v>3840.07</v>
      </c>
      <c r="AH1043">
        <v>31.24</v>
      </c>
    </row>
    <row r="1044" spans="1:34">
      <c r="A1044" t="s">
        <v>1425</v>
      </c>
      <c r="B1044" t="s">
        <v>263</v>
      </c>
      <c r="C1044" t="b">
        <v>1</v>
      </c>
      <c r="D1044" t="b">
        <v>0</v>
      </c>
      <c r="E1044" t="s">
        <v>1473</v>
      </c>
      <c r="F1044" t="s">
        <v>82</v>
      </c>
      <c r="G1044" t="s">
        <v>81</v>
      </c>
      <c r="H1044">
        <v>19.8</v>
      </c>
      <c r="I1044">
        <v>12</v>
      </c>
      <c r="J1044">
        <v>260</v>
      </c>
      <c r="K1044">
        <v>10384.32</v>
      </c>
      <c r="L1044">
        <v>339.98</v>
      </c>
      <c r="M1044">
        <v>8.699999999999999</v>
      </c>
      <c r="N1044">
        <v>10035.64</v>
      </c>
      <c r="O1044">
        <v>3206.08</v>
      </c>
      <c r="P1044">
        <v>6829.56</v>
      </c>
      <c r="Q1044">
        <v>82.17</v>
      </c>
      <c r="R1044">
        <v>243.66</v>
      </c>
      <c r="S1044">
        <v>589</v>
      </c>
      <c r="T1044">
        <v>192</v>
      </c>
      <c r="U1044">
        <v>9</v>
      </c>
      <c r="V1044">
        <v>68</v>
      </c>
      <c r="W1044">
        <v>28</v>
      </c>
      <c r="X1044">
        <v>38.6</v>
      </c>
      <c r="Y1044">
        <v>2.27</v>
      </c>
      <c r="Z1044">
        <v>68.05</v>
      </c>
      <c r="AA1044">
        <v>2400</v>
      </c>
      <c r="AB1044">
        <v>1246.58</v>
      </c>
      <c r="AC1044">
        <v>220.85</v>
      </c>
      <c r="AD1044">
        <v>110</v>
      </c>
      <c r="AE1044">
        <v>199.18</v>
      </c>
      <c r="AF1044">
        <v>4176.61</v>
      </c>
      <c r="AG1044">
        <v>2327.12</v>
      </c>
      <c r="AH1044">
        <v>23.19</v>
      </c>
    </row>
    <row r="1045" spans="1:34">
      <c r="A1045" t="s">
        <v>514</v>
      </c>
      <c r="B1045" t="s">
        <v>75</v>
      </c>
      <c r="C1045" t="b">
        <v>0</v>
      </c>
      <c r="D1045" t="b">
        <v>0</v>
      </c>
      <c r="E1045" t="s">
        <v>1473</v>
      </c>
      <c r="F1045" t="s">
        <v>82</v>
      </c>
      <c r="G1045" t="s">
        <v>81</v>
      </c>
      <c r="H1045">
        <v>19.6</v>
      </c>
      <c r="I1045">
        <v>13</v>
      </c>
      <c r="J1045">
        <v>285</v>
      </c>
      <c r="K1045">
        <v>8065.06</v>
      </c>
      <c r="L1045">
        <v>252.17</v>
      </c>
      <c r="M1045">
        <v>5.22</v>
      </c>
      <c r="N1045">
        <v>7807.67</v>
      </c>
      <c r="O1045">
        <v>2430.93</v>
      </c>
      <c r="P1045">
        <v>5376.74</v>
      </c>
      <c r="Q1045">
        <v>65.64</v>
      </c>
      <c r="R1045">
        <v>190.6</v>
      </c>
      <c r="S1045">
        <v>475</v>
      </c>
      <c r="T1045">
        <v>211</v>
      </c>
      <c r="U1045">
        <v>15</v>
      </c>
      <c r="V1045">
        <v>74</v>
      </c>
      <c r="W1045">
        <v>21</v>
      </c>
      <c r="X1045">
        <v>27.4</v>
      </c>
      <c r="Y1045">
        <v>1.67</v>
      </c>
      <c r="Z1045">
        <v>68.86</v>
      </c>
      <c r="AA1045">
        <v>2400</v>
      </c>
      <c r="AB1045">
        <v>1246.58</v>
      </c>
      <c r="AC1045">
        <v>232.7</v>
      </c>
      <c r="AD1045">
        <v>110</v>
      </c>
      <c r="AE1045">
        <v>221.29</v>
      </c>
      <c r="AF1045">
        <v>4210.57</v>
      </c>
      <c r="AG1045">
        <v>909.9299999999999</v>
      </c>
      <c r="AH1045">
        <v>11.65</v>
      </c>
    </row>
    <row r="1046" spans="1:34">
      <c r="A1046" t="s">
        <v>1426</v>
      </c>
      <c r="B1046" t="s">
        <v>258</v>
      </c>
      <c r="C1046" t="b">
        <v>0</v>
      </c>
      <c r="D1046" t="b">
        <v>0</v>
      </c>
      <c r="E1046" t="s">
        <v>1473</v>
      </c>
      <c r="F1046" t="s">
        <v>82</v>
      </c>
      <c r="G1046" t="s">
        <v>81</v>
      </c>
      <c r="H1046">
        <v>21.9</v>
      </c>
      <c r="I1046">
        <v>14</v>
      </c>
      <c r="J1046">
        <v>253</v>
      </c>
      <c r="K1046">
        <v>7638.16</v>
      </c>
      <c r="L1046">
        <v>193.9</v>
      </c>
      <c r="M1046">
        <v>50.44</v>
      </c>
      <c r="N1046">
        <v>7393.82</v>
      </c>
      <c r="O1046">
        <v>2297.22</v>
      </c>
      <c r="P1046">
        <v>5096.6</v>
      </c>
      <c r="Q1046">
        <v>62.61</v>
      </c>
      <c r="R1046">
        <v>236.18</v>
      </c>
      <c r="S1046">
        <v>439</v>
      </c>
      <c r="T1046">
        <v>187</v>
      </c>
      <c r="U1046">
        <v>9</v>
      </c>
      <c r="V1046">
        <v>66</v>
      </c>
      <c r="W1046">
        <v>28</v>
      </c>
      <c r="X1046">
        <v>29.22</v>
      </c>
      <c r="Y1046">
        <v>1.74</v>
      </c>
      <c r="Z1046">
        <v>68.93000000000001</v>
      </c>
      <c r="AA1046">
        <v>2400</v>
      </c>
      <c r="AB1046">
        <v>1246.58</v>
      </c>
      <c r="AC1046">
        <v>224.89</v>
      </c>
      <c r="AD1046">
        <v>110</v>
      </c>
      <c r="AE1046">
        <v>206.03</v>
      </c>
      <c r="AF1046">
        <v>4187.5</v>
      </c>
      <c r="AG1046">
        <v>610.3099999999999</v>
      </c>
      <c r="AH1046">
        <v>8.25</v>
      </c>
    </row>
    <row r="1047" spans="1:34">
      <c r="A1047" t="s">
        <v>1427</v>
      </c>
      <c r="B1047" t="s">
        <v>259</v>
      </c>
      <c r="C1047" t="b">
        <v>0</v>
      </c>
      <c r="D1047" t="b">
        <v>0</v>
      </c>
      <c r="E1047" t="s">
        <v>1473</v>
      </c>
      <c r="F1047" t="s">
        <v>82</v>
      </c>
      <c r="G1047" t="s">
        <v>81</v>
      </c>
      <c r="H1047">
        <v>21.5</v>
      </c>
      <c r="I1047">
        <v>15</v>
      </c>
      <c r="J1047">
        <v>256</v>
      </c>
      <c r="K1047">
        <v>7803.42</v>
      </c>
      <c r="L1047">
        <v>252.17</v>
      </c>
      <c r="M1047">
        <v>0</v>
      </c>
      <c r="N1047">
        <v>7551.25</v>
      </c>
      <c r="O1047">
        <v>2433.04</v>
      </c>
      <c r="P1047">
        <v>5118.21</v>
      </c>
      <c r="Q1047">
        <v>62.77</v>
      </c>
      <c r="R1047">
        <v>284.85</v>
      </c>
      <c r="S1047">
        <v>447</v>
      </c>
      <c r="T1047">
        <v>189</v>
      </c>
      <c r="U1047">
        <v>14</v>
      </c>
      <c r="V1047">
        <v>67</v>
      </c>
      <c r="W1047">
        <v>32</v>
      </c>
      <c r="X1047">
        <v>29.5</v>
      </c>
      <c r="Y1047">
        <v>1.75</v>
      </c>
      <c r="Z1047">
        <v>67.78</v>
      </c>
      <c r="AA1047">
        <v>2400</v>
      </c>
      <c r="AB1047">
        <v>1246.58</v>
      </c>
      <c r="AC1047">
        <v>184.09</v>
      </c>
      <c r="AD1047">
        <v>110</v>
      </c>
      <c r="AE1047">
        <v>150.14</v>
      </c>
      <c r="AF1047">
        <v>4090.81</v>
      </c>
      <c r="AG1047">
        <v>679.78</v>
      </c>
      <c r="AH1047">
        <v>9</v>
      </c>
    </row>
    <row r="1048" spans="1:34">
      <c r="A1048" t="s">
        <v>1428</v>
      </c>
      <c r="B1048" t="s">
        <v>260</v>
      </c>
      <c r="C1048" t="b">
        <v>0</v>
      </c>
      <c r="D1048" t="b">
        <v>0</v>
      </c>
      <c r="E1048" t="s">
        <v>1473</v>
      </c>
      <c r="F1048" t="s">
        <v>82</v>
      </c>
      <c r="G1048" t="s">
        <v>81</v>
      </c>
      <c r="H1048">
        <v>21.8</v>
      </c>
      <c r="I1048">
        <v>16</v>
      </c>
      <c r="J1048">
        <v>246</v>
      </c>
      <c r="K1048">
        <v>7542.51</v>
      </c>
      <c r="L1048">
        <v>321.71</v>
      </c>
      <c r="M1048">
        <v>70.44</v>
      </c>
      <c r="N1048">
        <v>7150.36</v>
      </c>
      <c r="O1048">
        <v>2274.05</v>
      </c>
      <c r="P1048">
        <v>4876.31</v>
      </c>
      <c r="Q1048">
        <v>59.09</v>
      </c>
      <c r="R1048">
        <v>235.65</v>
      </c>
      <c r="S1048">
        <v>442</v>
      </c>
      <c r="T1048">
        <v>179</v>
      </c>
      <c r="U1048">
        <v>9</v>
      </c>
      <c r="V1048">
        <v>67</v>
      </c>
      <c r="W1048">
        <v>31</v>
      </c>
      <c r="X1048">
        <v>29.07</v>
      </c>
      <c r="Y1048">
        <v>1.8</v>
      </c>
      <c r="Z1048">
        <v>68.2</v>
      </c>
      <c r="AA1048">
        <v>2400</v>
      </c>
      <c r="AB1048">
        <v>1246.58</v>
      </c>
      <c r="AC1048">
        <v>205.49</v>
      </c>
      <c r="AD1048">
        <v>110</v>
      </c>
      <c r="AE1048">
        <v>202.05</v>
      </c>
      <c r="AF1048">
        <v>4164.12</v>
      </c>
      <c r="AG1048">
        <v>417.45</v>
      </c>
      <c r="AH1048">
        <v>5.84</v>
      </c>
    </row>
    <row r="1049" spans="1:34">
      <c r="A1049" t="s">
        <v>1429</v>
      </c>
      <c r="B1049" t="s">
        <v>261</v>
      </c>
      <c r="C1049" t="b">
        <v>0</v>
      </c>
      <c r="D1049" t="b">
        <v>0</v>
      </c>
      <c r="E1049" t="s">
        <v>1473</v>
      </c>
      <c r="F1049" t="s">
        <v>82</v>
      </c>
      <c r="G1049" t="s">
        <v>81</v>
      </c>
      <c r="H1049">
        <v>19.8</v>
      </c>
      <c r="I1049">
        <v>17</v>
      </c>
      <c r="J1049">
        <v>380</v>
      </c>
      <c r="K1049">
        <v>12210.29</v>
      </c>
      <c r="L1049">
        <v>346.07</v>
      </c>
      <c r="M1049">
        <v>0</v>
      </c>
      <c r="N1049">
        <v>11864.22</v>
      </c>
      <c r="O1049">
        <v>3629.14</v>
      </c>
      <c r="P1049">
        <v>8235.08</v>
      </c>
      <c r="Q1049">
        <v>105.71</v>
      </c>
      <c r="R1049">
        <v>350.94</v>
      </c>
      <c r="S1049">
        <v>703</v>
      </c>
      <c r="T1049">
        <v>293</v>
      </c>
      <c r="U1049">
        <v>22</v>
      </c>
      <c r="V1049">
        <v>87</v>
      </c>
      <c r="W1049">
        <v>44</v>
      </c>
      <c r="X1049">
        <v>31.22</v>
      </c>
      <c r="Y1049">
        <v>1.85</v>
      </c>
      <c r="Z1049">
        <v>69.41</v>
      </c>
      <c r="AA1049">
        <v>2400</v>
      </c>
      <c r="AB1049">
        <v>1246.58</v>
      </c>
      <c r="AC1049">
        <v>198.08</v>
      </c>
      <c r="AD1049">
        <v>110</v>
      </c>
      <c r="AE1049">
        <v>200.05</v>
      </c>
      <c r="AF1049">
        <v>4154.71</v>
      </c>
      <c r="AG1049">
        <v>3623.72</v>
      </c>
      <c r="AH1049">
        <v>30.54</v>
      </c>
    </row>
    <row r="1050" spans="1:34">
      <c r="A1050" t="s">
        <v>1430</v>
      </c>
      <c r="B1050" t="s">
        <v>262</v>
      </c>
      <c r="C1050" t="b">
        <v>1</v>
      </c>
      <c r="D1050" t="b">
        <v>0</v>
      </c>
      <c r="E1050" t="s">
        <v>1473</v>
      </c>
      <c r="F1050" t="s">
        <v>82</v>
      </c>
      <c r="G1050" t="s">
        <v>81</v>
      </c>
      <c r="H1050">
        <v>20.3</v>
      </c>
      <c r="I1050">
        <v>18</v>
      </c>
      <c r="J1050">
        <v>281</v>
      </c>
      <c r="K1050">
        <v>10549.55</v>
      </c>
      <c r="L1050">
        <v>364.33</v>
      </c>
      <c r="M1050">
        <v>38.26</v>
      </c>
      <c r="N1050">
        <v>10146.96</v>
      </c>
      <c r="O1050">
        <v>3205.6</v>
      </c>
      <c r="P1050">
        <v>6941.36</v>
      </c>
      <c r="Q1050">
        <v>79.94</v>
      </c>
      <c r="R1050">
        <v>383.79</v>
      </c>
      <c r="S1050">
        <v>621</v>
      </c>
      <c r="T1050">
        <v>216</v>
      </c>
      <c r="U1050">
        <v>19</v>
      </c>
      <c r="V1050">
        <v>65</v>
      </c>
      <c r="W1050">
        <v>41</v>
      </c>
      <c r="X1050">
        <v>36.11</v>
      </c>
      <c r="Y1050">
        <v>2.21</v>
      </c>
      <c r="Z1050">
        <v>68.41</v>
      </c>
      <c r="AA1050">
        <v>2400</v>
      </c>
      <c r="AB1050">
        <v>1246.58</v>
      </c>
      <c r="AC1050">
        <v>217.65</v>
      </c>
      <c r="AD1050">
        <v>110</v>
      </c>
      <c r="AE1050">
        <v>206.3</v>
      </c>
      <c r="AF1050">
        <v>4180.53</v>
      </c>
      <c r="AG1050">
        <v>2297.1</v>
      </c>
      <c r="AH1050">
        <v>22.64</v>
      </c>
    </row>
    <row r="1051" spans="1:34">
      <c r="A1051" t="s">
        <v>1431</v>
      </c>
      <c r="B1051" t="s">
        <v>263</v>
      </c>
      <c r="C1051" t="b">
        <v>1</v>
      </c>
      <c r="D1051" t="b">
        <v>0</v>
      </c>
      <c r="E1051" t="s">
        <v>1473</v>
      </c>
      <c r="F1051" t="s">
        <v>82</v>
      </c>
      <c r="G1051" t="s">
        <v>81</v>
      </c>
      <c r="H1051">
        <v>21.9</v>
      </c>
      <c r="I1051">
        <v>19</v>
      </c>
      <c r="J1051">
        <v>234</v>
      </c>
      <c r="K1051">
        <v>9481.84</v>
      </c>
      <c r="L1051">
        <v>240</v>
      </c>
      <c r="M1051">
        <v>0</v>
      </c>
      <c r="N1051">
        <v>9241.84</v>
      </c>
      <c r="O1051">
        <v>2983.43</v>
      </c>
      <c r="P1051">
        <v>6258.41</v>
      </c>
      <c r="Q1051">
        <v>72.84</v>
      </c>
      <c r="R1051">
        <v>328.17</v>
      </c>
      <c r="S1051">
        <v>554</v>
      </c>
      <c r="T1051">
        <v>169</v>
      </c>
      <c r="U1051">
        <v>10</v>
      </c>
      <c r="V1051">
        <v>65</v>
      </c>
      <c r="W1051">
        <v>36</v>
      </c>
      <c r="X1051">
        <v>39.5</v>
      </c>
      <c r="Y1051">
        <v>2.37</v>
      </c>
      <c r="Z1051">
        <v>67.72</v>
      </c>
      <c r="AA1051">
        <v>2400</v>
      </c>
      <c r="AB1051">
        <v>1246.58</v>
      </c>
      <c r="AC1051">
        <v>215.28</v>
      </c>
      <c r="AD1051">
        <v>110</v>
      </c>
      <c r="AE1051">
        <v>194.51</v>
      </c>
      <c r="AF1051">
        <v>4166.37</v>
      </c>
      <c r="AG1051">
        <v>1691.03</v>
      </c>
      <c r="AH1051">
        <v>18.3</v>
      </c>
    </row>
    <row r="1052" spans="1:34">
      <c r="A1052" t="s">
        <v>515</v>
      </c>
      <c r="B1052" t="s">
        <v>75</v>
      </c>
      <c r="C1052" t="b">
        <v>0</v>
      </c>
      <c r="D1052" t="b">
        <v>0</v>
      </c>
      <c r="E1052" t="s">
        <v>1473</v>
      </c>
      <c r="F1052" t="s">
        <v>82</v>
      </c>
      <c r="G1052" t="s">
        <v>81</v>
      </c>
      <c r="H1052">
        <v>23.5</v>
      </c>
      <c r="I1052">
        <v>20</v>
      </c>
      <c r="J1052">
        <v>268</v>
      </c>
      <c r="K1052">
        <v>8072.05</v>
      </c>
      <c r="L1052">
        <v>234.76</v>
      </c>
      <c r="M1052">
        <v>39.13</v>
      </c>
      <c r="N1052">
        <v>7798.16</v>
      </c>
      <c r="O1052">
        <v>2367.67</v>
      </c>
      <c r="P1052">
        <v>5430.49</v>
      </c>
      <c r="Q1052">
        <v>63.06</v>
      </c>
      <c r="R1052">
        <v>248</v>
      </c>
      <c r="S1052">
        <v>477</v>
      </c>
      <c r="T1052">
        <v>205</v>
      </c>
      <c r="U1052">
        <v>15</v>
      </c>
      <c r="V1052">
        <v>63</v>
      </c>
      <c r="W1052">
        <v>28</v>
      </c>
      <c r="X1052">
        <v>29.1</v>
      </c>
      <c r="Y1052">
        <v>1.78</v>
      </c>
      <c r="Z1052">
        <v>69.64</v>
      </c>
      <c r="AA1052">
        <v>2400</v>
      </c>
      <c r="AB1052">
        <v>1246.58</v>
      </c>
      <c r="AC1052">
        <v>217.28</v>
      </c>
      <c r="AD1052">
        <v>110</v>
      </c>
      <c r="AE1052">
        <v>160.94</v>
      </c>
      <c r="AF1052">
        <v>4134.8</v>
      </c>
      <c r="AG1052">
        <v>984.63</v>
      </c>
      <c r="AH1052">
        <v>12.63</v>
      </c>
    </row>
    <row r="1053" spans="1:34">
      <c r="A1053" t="s">
        <v>1432</v>
      </c>
      <c r="B1053" t="s">
        <v>258</v>
      </c>
      <c r="C1053" t="b">
        <v>0</v>
      </c>
      <c r="D1053" t="b">
        <v>0</v>
      </c>
      <c r="E1053" t="s">
        <v>1473</v>
      </c>
      <c r="F1053" t="s">
        <v>82</v>
      </c>
      <c r="G1053" t="s">
        <v>81</v>
      </c>
      <c r="H1053">
        <v>23.6</v>
      </c>
      <c r="I1053">
        <v>21</v>
      </c>
      <c r="J1053">
        <v>294</v>
      </c>
      <c r="K1053">
        <v>9851.99</v>
      </c>
      <c r="L1053">
        <v>434.06</v>
      </c>
      <c r="M1053">
        <v>19.13</v>
      </c>
      <c r="N1053">
        <v>9398.799999999999</v>
      </c>
      <c r="O1053">
        <v>2947.45</v>
      </c>
      <c r="P1053">
        <v>6451.35</v>
      </c>
      <c r="Q1053">
        <v>55.85</v>
      </c>
      <c r="R1053">
        <v>521.62</v>
      </c>
      <c r="S1053">
        <v>577</v>
      </c>
      <c r="T1053">
        <v>247</v>
      </c>
      <c r="U1053">
        <v>11</v>
      </c>
      <c r="V1053">
        <v>47</v>
      </c>
      <c r="W1053">
        <v>65</v>
      </c>
      <c r="X1053">
        <v>31.97</v>
      </c>
      <c r="Y1053">
        <v>1.96</v>
      </c>
      <c r="Z1053">
        <v>68.64</v>
      </c>
      <c r="AA1053">
        <v>2400</v>
      </c>
      <c r="AB1053">
        <v>1246.58</v>
      </c>
      <c r="AC1053">
        <v>226.86</v>
      </c>
      <c r="AD1053">
        <v>110</v>
      </c>
      <c r="AE1053">
        <v>180.13</v>
      </c>
      <c r="AF1053">
        <v>4163.57</v>
      </c>
      <c r="AG1053">
        <v>1710.31</v>
      </c>
      <c r="AH1053">
        <v>18.2</v>
      </c>
    </row>
    <row r="1054" spans="1:34">
      <c r="A1054" t="s">
        <v>1433</v>
      </c>
      <c r="B1054" t="s">
        <v>259</v>
      </c>
      <c r="C1054" t="b">
        <v>0</v>
      </c>
      <c r="D1054" t="b">
        <v>0</v>
      </c>
      <c r="E1054" t="s">
        <v>1473</v>
      </c>
      <c r="F1054" t="s">
        <v>82</v>
      </c>
      <c r="G1054" t="s">
        <v>81</v>
      </c>
      <c r="H1054">
        <v>23.9</v>
      </c>
      <c r="I1054">
        <v>22</v>
      </c>
      <c r="J1054">
        <v>247</v>
      </c>
      <c r="K1054">
        <v>6963.32</v>
      </c>
      <c r="L1054">
        <v>227.81</v>
      </c>
      <c r="M1054">
        <v>28.69</v>
      </c>
      <c r="N1054">
        <v>6706.82</v>
      </c>
      <c r="O1054">
        <v>2124.14</v>
      </c>
      <c r="P1054">
        <v>4582.68</v>
      </c>
      <c r="Q1054">
        <v>60.91</v>
      </c>
      <c r="R1054">
        <v>174.82</v>
      </c>
      <c r="S1054">
        <v>392</v>
      </c>
      <c r="T1054">
        <v>185</v>
      </c>
      <c r="U1054">
        <v>5</v>
      </c>
      <c r="V1054">
        <v>62</v>
      </c>
      <c r="W1054">
        <v>25</v>
      </c>
      <c r="X1054">
        <v>27.15</v>
      </c>
      <c r="Y1054">
        <v>1.59</v>
      </c>
      <c r="Z1054">
        <v>68.33</v>
      </c>
      <c r="AA1054">
        <v>2400</v>
      </c>
      <c r="AB1054">
        <v>1246.58</v>
      </c>
      <c r="AC1054">
        <v>228.33</v>
      </c>
      <c r="AD1054">
        <v>110</v>
      </c>
      <c r="AE1054">
        <v>190.03</v>
      </c>
      <c r="AF1054">
        <v>4174.94</v>
      </c>
      <c r="AG1054">
        <v>172.01</v>
      </c>
      <c r="AH1054">
        <v>2.56</v>
      </c>
    </row>
    <row r="1055" spans="1:34">
      <c r="A1055" t="s">
        <v>1434</v>
      </c>
      <c r="B1055" t="s">
        <v>260</v>
      </c>
      <c r="C1055" t="b">
        <v>0</v>
      </c>
      <c r="D1055" t="b">
        <v>0</v>
      </c>
      <c r="E1055" t="s">
        <v>1473</v>
      </c>
      <c r="F1055" t="s">
        <v>82</v>
      </c>
      <c r="G1055" t="s">
        <v>81</v>
      </c>
      <c r="H1055">
        <v>24.5</v>
      </c>
      <c r="I1055">
        <v>23</v>
      </c>
      <c r="J1055">
        <v>255</v>
      </c>
      <c r="K1055">
        <v>6989.39</v>
      </c>
      <c r="L1055">
        <v>256.51</v>
      </c>
      <c r="M1055">
        <v>31.3</v>
      </c>
      <c r="N1055">
        <v>6701.58</v>
      </c>
      <c r="O1055">
        <v>2019.96</v>
      </c>
      <c r="P1055">
        <v>4681.62</v>
      </c>
      <c r="Q1055">
        <v>54.88</v>
      </c>
      <c r="R1055">
        <v>183.85</v>
      </c>
      <c r="S1055">
        <v>409</v>
      </c>
      <c r="T1055">
        <v>188</v>
      </c>
      <c r="U1055">
        <v>13</v>
      </c>
      <c r="V1055">
        <v>67</v>
      </c>
      <c r="W1055">
        <v>33</v>
      </c>
      <c r="X1055">
        <v>26.28</v>
      </c>
      <c r="Y1055">
        <v>1.6</v>
      </c>
      <c r="Z1055">
        <v>69.86</v>
      </c>
      <c r="AA1055">
        <v>2400</v>
      </c>
      <c r="AB1055">
        <v>1246.58</v>
      </c>
      <c r="AC1055">
        <v>229.65</v>
      </c>
      <c r="AD1055">
        <v>110</v>
      </c>
      <c r="AE1055">
        <v>152.35</v>
      </c>
      <c r="AF1055">
        <v>4138.58</v>
      </c>
      <c r="AG1055">
        <v>304.31</v>
      </c>
      <c r="AH1055">
        <v>4.54</v>
      </c>
    </row>
    <row r="1056" spans="1:34">
      <c r="A1056" t="s">
        <v>1435</v>
      </c>
      <c r="B1056" t="s">
        <v>261</v>
      </c>
      <c r="C1056" t="b">
        <v>0</v>
      </c>
      <c r="D1056" t="b">
        <v>0</v>
      </c>
      <c r="E1056" t="s">
        <v>1473</v>
      </c>
      <c r="F1056" t="s">
        <v>82</v>
      </c>
      <c r="G1056" t="s">
        <v>81</v>
      </c>
      <c r="H1056">
        <v>22.9</v>
      </c>
      <c r="I1056">
        <v>24</v>
      </c>
      <c r="J1056">
        <v>375</v>
      </c>
      <c r="K1056">
        <v>12150.34</v>
      </c>
      <c r="L1056">
        <v>501.72</v>
      </c>
      <c r="M1056">
        <v>40.87</v>
      </c>
      <c r="N1056">
        <v>11607.75</v>
      </c>
      <c r="O1056">
        <v>3690.95</v>
      </c>
      <c r="P1056">
        <v>7916.8</v>
      </c>
      <c r="Q1056">
        <v>98.04000000000001</v>
      </c>
      <c r="R1056">
        <v>303.1</v>
      </c>
      <c r="S1056">
        <v>699</v>
      </c>
      <c r="T1056">
        <v>275</v>
      </c>
      <c r="U1056">
        <v>18</v>
      </c>
      <c r="V1056">
        <v>100</v>
      </c>
      <c r="W1056">
        <v>39</v>
      </c>
      <c r="X1056">
        <v>30.95</v>
      </c>
      <c r="Y1056">
        <v>1.86</v>
      </c>
      <c r="Z1056">
        <v>68.2</v>
      </c>
      <c r="AA1056">
        <v>2400</v>
      </c>
      <c r="AB1056">
        <v>1246.58</v>
      </c>
      <c r="AC1056">
        <v>242.61</v>
      </c>
      <c r="AD1056">
        <v>110</v>
      </c>
      <c r="AE1056">
        <v>186.97</v>
      </c>
      <c r="AF1056">
        <v>4186.16</v>
      </c>
      <c r="AG1056">
        <v>3329.5</v>
      </c>
      <c r="AH1056">
        <v>28.68</v>
      </c>
    </row>
    <row r="1057" spans="1:34">
      <c r="A1057" t="s">
        <v>1436</v>
      </c>
      <c r="B1057" t="s">
        <v>262</v>
      </c>
      <c r="C1057" t="b">
        <v>1</v>
      </c>
      <c r="D1057" t="b">
        <v>0</v>
      </c>
      <c r="E1057" t="s">
        <v>1473</v>
      </c>
      <c r="F1057" t="s">
        <v>1475</v>
      </c>
      <c r="G1057" t="s">
        <v>81</v>
      </c>
      <c r="H1057">
        <v>21.6</v>
      </c>
      <c r="I1057">
        <v>25</v>
      </c>
      <c r="J1057">
        <v>301</v>
      </c>
      <c r="K1057">
        <v>11105.99</v>
      </c>
      <c r="L1057">
        <v>317.37</v>
      </c>
      <c r="M1057">
        <v>47.82</v>
      </c>
      <c r="N1057">
        <v>10740.8</v>
      </c>
      <c r="O1057">
        <v>3395.8</v>
      </c>
      <c r="P1057">
        <v>7345</v>
      </c>
      <c r="Q1057">
        <v>87.81</v>
      </c>
      <c r="R1057">
        <v>336.54</v>
      </c>
      <c r="S1057">
        <v>643</v>
      </c>
      <c r="T1057">
        <v>220</v>
      </c>
      <c r="U1057">
        <v>16</v>
      </c>
      <c r="V1057">
        <v>81</v>
      </c>
      <c r="W1057">
        <v>42</v>
      </c>
      <c r="X1057">
        <v>35.68</v>
      </c>
      <c r="Y1057">
        <v>2.14</v>
      </c>
      <c r="Z1057">
        <v>68.38</v>
      </c>
      <c r="AA1057">
        <v>2400</v>
      </c>
      <c r="AB1057">
        <v>1246.58</v>
      </c>
      <c r="AC1057">
        <v>197.17</v>
      </c>
      <c r="AD1057">
        <v>110</v>
      </c>
      <c r="AE1057">
        <v>193.26</v>
      </c>
      <c r="AF1057">
        <v>4147.01</v>
      </c>
      <c r="AG1057">
        <v>2773.64</v>
      </c>
      <c r="AH1057">
        <v>25.82</v>
      </c>
    </row>
    <row r="1058" spans="1:34">
      <c r="A1058" t="s">
        <v>1437</v>
      </c>
      <c r="B1058" t="s">
        <v>263</v>
      </c>
      <c r="C1058" t="b">
        <v>1</v>
      </c>
      <c r="D1058" t="b">
        <v>0</v>
      </c>
      <c r="E1058" t="s">
        <v>1473</v>
      </c>
      <c r="F1058" t="s">
        <v>1475</v>
      </c>
      <c r="G1058" t="s">
        <v>81</v>
      </c>
      <c r="H1058">
        <v>19.8</v>
      </c>
      <c r="I1058">
        <v>26</v>
      </c>
      <c r="J1058">
        <v>257</v>
      </c>
      <c r="K1058">
        <v>9854.700000000001</v>
      </c>
      <c r="L1058">
        <v>412.15</v>
      </c>
      <c r="M1058">
        <v>14.78</v>
      </c>
      <c r="N1058">
        <v>9427.77</v>
      </c>
      <c r="O1058">
        <v>2977.75</v>
      </c>
      <c r="P1058">
        <v>6450.02</v>
      </c>
      <c r="Q1058">
        <v>71.78</v>
      </c>
      <c r="R1058">
        <v>335.15</v>
      </c>
      <c r="S1058">
        <v>563</v>
      </c>
      <c r="T1058">
        <v>198</v>
      </c>
      <c r="U1058">
        <v>16</v>
      </c>
      <c r="V1058">
        <v>59</v>
      </c>
      <c r="W1058">
        <v>32</v>
      </c>
      <c r="X1058">
        <v>36.68</v>
      </c>
      <c r="Y1058">
        <v>2.19</v>
      </c>
      <c r="Z1058">
        <v>68.42</v>
      </c>
      <c r="AA1058">
        <v>2400</v>
      </c>
      <c r="AB1058">
        <v>1246.58</v>
      </c>
      <c r="AC1058">
        <v>219.15</v>
      </c>
      <c r="AD1058">
        <v>110</v>
      </c>
      <c r="AE1058">
        <v>201.84</v>
      </c>
      <c r="AF1058">
        <v>4177.57</v>
      </c>
      <c r="AG1058">
        <v>1865.52</v>
      </c>
      <c r="AH1058">
        <v>19.79</v>
      </c>
    </row>
    <row r="1059" spans="1:34">
      <c r="A1059" t="s">
        <v>516</v>
      </c>
      <c r="B1059" t="s">
        <v>75</v>
      </c>
      <c r="C1059" t="b">
        <v>0</v>
      </c>
      <c r="D1059" t="b">
        <v>0</v>
      </c>
      <c r="E1059" t="s">
        <v>1473</v>
      </c>
      <c r="F1059" t="s">
        <v>1475</v>
      </c>
      <c r="G1059" t="s">
        <v>81</v>
      </c>
      <c r="H1059">
        <v>19.5</v>
      </c>
      <c r="I1059">
        <v>27</v>
      </c>
      <c r="J1059">
        <v>246</v>
      </c>
      <c r="K1059">
        <v>7549.45</v>
      </c>
      <c r="L1059">
        <v>273.91</v>
      </c>
      <c r="M1059">
        <v>19.13</v>
      </c>
      <c r="N1059">
        <v>7256.41</v>
      </c>
      <c r="O1059">
        <v>2278.93</v>
      </c>
      <c r="P1059">
        <v>4977.48</v>
      </c>
      <c r="Q1059">
        <v>57.96</v>
      </c>
      <c r="R1059">
        <v>355.17</v>
      </c>
      <c r="S1059">
        <v>437</v>
      </c>
      <c r="T1059">
        <v>196</v>
      </c>
      <c r="U1059">
        <v>10</v>
      </c>
      <c r="V1059">
        <v>50</v>
      </c>
      <c r="W1059">
        <v>44</v>
      </c>
      <c r="X1059">
        <v>29.5</v>
      </c>
      <c r="Y1059">
        <v>1.78</v>
      </c>
      <c r="Z1059">
        <v>68.59</v>
      </c>
      <c r="AA1059">
        <v>2400</v>
      </c>
      <c r="AB1059">
        <v>1246.58</v>
      </c>
      <c r="AC1059">
        <v>213.57</v>
      </c>
      <c r="AD1059">
        <v>110</v>
      </c>
      <c r="AE1059">
        <v>178.69</v>
      </c>
      <c r="AF1059">
        <v>4148.84</v>
      </c>
      <c r="AG1059">
        <v>415.51</v>
      </c>
      <c r="AH1059">
        <v>5.73</v>
      </c>
    </row>
    <row r="1060" spans="1:34">
      <c r="A1060" t="s">
        <v>1438</v>
      </c>
      <c r="B1060" t="s">
        <v>258</v>
      </c>
      <c r="C1060" t="b">
        <v>0</v>
      </c>
      <c r="D1060" t="b">
        <v>0</v>
      </c>
      <c r="E1060" t="s">
        <v>1473</v>
      </c>
      <c r="F1060" t="s">
        <v>1475</v>
      </c>
      <c r="G1060" t="s">
        <v>81</v>
      </c>
      <c r="H1060">
        <v>19.5</v>
      </c>
      <c r="I1060">
        <v>28</v>
      </c>
      <c r="J1060">
        <v>264</v>
      </c>
      <c r="K1060">
        <v>8300.780000000001</v>
      </c>
      <c r="L1060">
        <v>429.55</v>
      </c>
      <c r="M1060">
        <v>39.13</v>
      </c>
      <c r="N1060">
        <v>7832.1</v>
      </c>
      <c r="O1060">
        <v>2553.06</v>
      </c>
      <c r="P1060">
        <v>5279.04</v>
      </c>
      <c r="Q1060">
        <v>61.97</v>
      </c>
      <c r="R1060">
        <v>334.23</v>
      </c>
      <c r="S1060">
        <v>478</v>
      </c>
      <c r="T1060">
        <v>200</v>
      </c>
      <c r="U1060">
        <v>11</v>
      </c>
      <c r="V1060">
        <v>64</v>
      </c>
      <c r="W1060">
        <v>40</v>
      </c>
      <c r="X1060">
        <v>29.67</v>
      </c>
      <c r="Y1060">
        <v>1.81</v>
      </c>
      <c r="Z1060">
        <v>67.40000000000001</v>
      </c>
      <c r="AA1060">
        <v>2400</v>
      </c>
      <c r="AB1060">
        <v>1246.58</v>
      </c>
      <c r="AC1060">
        <v>216.04</v>
      </c>
      <c r="AD1060">
        <v>110</v>
      </c>
      <c r="AE1060">
        <v>215.81</v>
      </c>
      <c r="AF1060">
        <v>4188.43</v>
      </c>
      <c r="AG1060">
        <v>694.41</v>
      </c>
      <c r="AH1060">
        <v>8.869999999999999</v>
      </c>
    </row>
    <row r="1061" spans="1:34">
      <c r="A1061" t="s">
        <v>1439</v>
      </c>
      <c r="B1061" t="s">
        <v>259</v>
      </c>
      <c r="C1061" t="b">
        <v>0</v>
      </c>
      <c r="D1061" t="b">
        <v>0</v>
      </c>
      <c r="E1061" t="s">
        <v>1473</v>
      </c>
      <c r="F1061" t="s">
        <v>1475</v>
      </c>
      <c r="G1061" t="s">
        <v>81</v>
      </c>
      <c r="H1061">
        <v>20.1</v>
      </c>
      <c r="I1061">
        <v>29</v>
      </c>
      <c r="J1061">
        <v>239</v>
      </c>
      <c r="K1061">
        <v>7237.33</v>
      </c>
      <c r="L1061">
        <v>279.99</v>
      </c>
      <c r="M1061">
        <v>53.91</v>
      </c>
      <c r="N1061">
        <v>6903.43</v>
      </c>
      <c r="O1061">
        <v>2217.23</v>
      </c>
      <c r="P1061">
        <v>4686.2</v>
      </c>
      <c r="Q1061">
        <v>58.5</v>
      </c>
      <c r="R1061">
        <v>188.03</v>
      </c>
      <c r="S1061">
        <v>414</v>
      </c>
      <c r="T1061">
        <v>174</v>
      </c>
      <c r="U1061">
        <v>8</v>
      </c>
      <c r="V1061">
        <v>65</v>
      </c>
      <c r="W1061">
        <v>20</v>
      </c>
      <c r="X1061">
        <v>28.88</v>
      </c>
      <c r="Y1061">
        <v>1.73</v>
      </c>
      <c r="Z1061">
        <v>67.88</v>
      </c>
      <c r="AA1061">
        <v>2400</v>
      </c>
      <c r="AB1061">
        <v>1246.58</v>
      </c>
      <c r="AC1061">
        <v>213.71</v>
      </c>
      <c r="AD1061">
        <v>110</v>
      </c>
      <c r="AE1061">
        <v>196.86</v>
      </c>
      <c r="AF1061">
        <v>4167.15</v>
      </c>
      <c r="AG1061">
        <v>272.52</v>
      </c>
      <c r="AH1061">
        <v>3.95</v>
      </c>
    </row>
    <row r="1062" spans="1:34">
      <c r="A1062" t="s">
        <v>1440</v>
      </c>
      <c r="B1062" t="s">
        <v>260</v>
      </c>
      <c r="C1062" t="b">
        <v>0</v>
      </c>
      <c r="D1062" t="b">
        <v>0</v>
      </c>
      <c r="E1062" t="s">
        <v>1473</v>
      </c>
      <c r="F1062" t="s">
        <v>1475</v>
      </c>
      <c r="G1062" t="s">
        <v>304</v>
      </c>
      <c r="H1062">
        <v>19.4</v>
      </c>
      <c r="I1062">
        <v>30</v>
      </c>
      <c r="J1062">
        <v>303</v>
      </c>
      <c r="K1062">
        <v>9587.690000000001</v>
      </c>
      <c r="L1062">
        <v>2170.1</v>
      </c>
      <c r="M1062">
        <v>20.18</v>
      </c>
      <c r="N1062">
        <v>7397.41</v>
      </c>
      <c r="O1062">
        <v>2856</v>
      </c>
      <c r="P1062">
        <v>4541.41</v>
      </c>
      <c r="Q1062">
        <v>56.49</v>
      </c>
      <c r="R1062">
        <v>328.14</v>
      </c>
      <c r="S1062">
        <v>546</v>
      </c>
      <c r="T1062">
        <v>239</v>
      </c>
      <c r="U1062">
        <v>29</v>
      </c>
      <c r="V1062">
        <v>64</v>
      </c>
      <c r="W1062">
        <v>49</v>
      </c>
      <c r="X1062">
        <v>24.41</v>
      </c>
      <c r="Y1062">
        <v>1.8</v>
      </c>
      <c r="Z1062">
        <v>61.39</v>
      </c>
      <c r="AA1062">
        <v>2750</v>
      </c>
      <c r="AB1062">
        <v>1246.58</v>
      </c>
      <c r="AC1062">
        <v>217.19</v>
      </c>
      <c r="AD1062">
        <v>1310</v>
      </c>
      <c r="AE1062">
        <v>203.69</v>
      </c>
      <c r="AF1062">
        <v>5727.46</v>
      </c>
      <c r="AG1062">
        <v>-1570.68</v>
      </c>
      <c r="AH1062">
        <v>-21.23</v>
      </c>
    </row>
    <row r="1063" spans="1:34">
      <c r="A1063" t="s">
        <v>1441</v>
      </c>
      <c r="B1063" t="s">
        <v>261</v>
      </c>
      <c r="C1063" t="b">
        <v>0</v>
      </c>
      <c r="D1063" t="b">
        <v>0</v>
      </c>
      <c r="E1063" t="s">
        <v>1473</v>
      </c>
      <c r="F1063" t="s">
        <v>1475</v>
      </c>
      <c r="G1063" t="s">
        <v>1496</v>
      </c>
      <c r="H1063">
        <v>18.5</v>
      </c>
      <c r="I1063">
        <v>0</v>
      </c>
      <c r="J1063">
        <v>434</v>
      </c>
      <c r="K1063">
        <v>15008.57</v>
      </c>
      <c r="L1063">
        <v>3426.65</v>
      </c>
      <c r="M1063">
        <v>41.03</v>
      </c>
      <c r="N1063">
        <v>11540.89</v>
      </c>
      <c r="O1063">
        <v>4422.81</v>
      </c>
      <c r="P1063">
        <v>7118.08</v>
      </c>
      <c r="Q1063">
        <v>97.95</v>
      </c>
      <c r="R1063">
        <v>338.89</v>
      </c>
      <c r="S1063">
        <v>867</v>
      </c>
      <c r="T1063">
        <v>330</v>
      </c>
      <c r="U1063">
        <v>49</v>
      </c>
      <c r="V1063">
        <v>104</v>
      </c>
      <c r="W1063">
        <v>53</v>
      </c>
      <c r="X1063">
        <v>26.59</v>
      </c>
      <c r="Y1063">
        <v>2</v>
      </c>
      <c r="Z1063">
        <v>61.68</v>
      </c>
      <c r="AA1063">
        <v>2750</v>
      </c>
      <c r="AB1063">
        <v>1246.58</v>
      </c>
      <c r="AC1063">
        <v>232.49</v>
      </c>
      <c r="AD1063">
        <v>1310</v>
      </c>
      <c r="AE1063">
        <v>211.47</v>
      </c>
      <c r="AF1063">
        <v>5750.54</v>
      </c>
      <c r="AG1063">
        <v>930.7</v>
      </c>
      <c r="AH1063">
        <v>8.06</v>
      </c>
    </row>
    <row r="1064" spans="1:34">
      <c r="A1064" t="s">
        <v>1442</v>
      </c>
      <c r="B1064" t="s">
        <v>262</v>
      </c>
      <c r="C1064" t="b">
        <v>1</v>
      </c>
      <c r="D1064" t="b">
        <v>0</v>
      </c>
      <c r="E1064" t="s">
        <v>1473</v>
      </c>
      <c r="F1064" t="s">
        <v>1475</v>
      </c>
      <c r="G1064" t="s">
        <v>1496</v>
      </c>
      <c r="H1064">
        <v>19.4</v>
      </c>
      <c r="I1064">
        <v>1</v>
      </c>
      <c r="J1064">
        <v>359</v>
      </c>
      <c r="K1064">
        <v>16705.93</v>
      </c>
      <c r="L1064">
        <v>3729.97</v>
      </c>
      <c r="M1064">
        <v>33.39</v>
      </c>
      <c r="N1064">
        <v>12942.57</v>
      </c>
      <c r="O1064">
        <v>5134.32</v>
      </c>
      <c r="P1064">
        <v>7808.25</v>
      </c>
      <c r="Q1064">
        <v>102.19</v>
      </c>
      <c r="R1064">
        <v>430.6</v>
      </c>
      <c r="S1064">
        <v>946</v>
      </c>
      <c r="T1064">
        <v>277</v>
      </c>
      <c r="U1064">
        <v>49</v>
      </c>
      <c r="V1064">
        <v>82</v>
      </c>
      <c r="W1064">
        <v>58</v>
      </c>
      <c r="X1064">
        <v>36.05</v>
      </c>
      <c r="Y1064">
        <v>2.64</v>
      </c>
      <c r="Z1064">
        <v>60.33</v>
      </c>
      <c r="AA1064">
        <v>2750</v>
      </c>
      <c r="AB1064">
        <v>1246.58</v>
      </c>
      <c r="AC1064">
        <v>227.46</v>
      </c>
      <c r="AD1064">
        <v>1310</v>
      </c>
      <c r="AE1064">
        <v>204.71</v>
      </c>
      <c r="AF1064">
        <v>5738.75</v>
      </c>
      <c r="AG1064">
        <v>1536.71</v>
      </c>
      <c r="AH1064">
        <v>11.87</v>
      </c>
    </row>
    <row r="1065" spans="1:34">
      <c r="A1065" t="s">
        <v>1443</v>
      </c>
      <c r="B1065" t="s">
        <v>263</v>
      </c>
      <c r="C1065" t="b">
        <v>1</v>
      </c>
      <c r="D1065" t="b">
        <v>0</v>
      </c>
      <c r="E1065" t="s">
        <v>1473</v>
      </c>
      <c r="F1065" t="s">
        <v>1475</v>
      </c>
      <c r="G1065" t="s">
        <v>1496</v>
      </c>
      <c r="H1065">
        <v>18.9</v>
      </c>
      <c r="I1065">
        <v>2</v>
      </c>
      <c r="J1065">
        <v>308</v>
      </c>
      <c r="K1065">
        <v>12987.75</v>
      </c>
      <c r="L1065">
        <v>2848.7</v>
      </c>
      <c r="M1065">
        <v>16</v>
      </c>
      <c r="N1065">
        <v>10123.05</v>
      </c>
      <c r="O1065">
        <v>3900.23</v>
      </c>
      <c r="P1065">
        <v>6222.82</v>
      </c>
      <c r="Q1065">
        <v>77</v>
      </c>
      <c r="R1065">
        <v>425.01</v>
      </c>
      <c r="S1065">
        <v>741</v>
      </c>
      <c r="T1065">
        <v>226</v>
      </c>
      <c r="U1065">
        <v>41</v>
      </c>
      <c r="V1065">
        <v>82</v>
      </c>
      <c r="W1065">
        <v>53</v>
      </c>
      <c r="X1065">
        <v>32.87</v>
      </c>
      <c r="Y1065">
        <v>2.41</v>
      </c>
      <c r="Z1065">
        <v>61.47</v>
      </c>
      <c r="AA1065">
        <v>2750</v>
      </c>
      <c r="AB1065">
        <v>1246.58</v>
      </c>
      <c r="AC1065">
        <v>214.98</v>
      </c>
      <c r="AD1065">
        <v>1310</v>
      </c>
      <c r="AE1065">
        <v>222.46</v>
      </c>
      <c r="AF1065">
        <v>5744.02</v>
      </c>
      <c r="AG1065">
        <v>-23.21</v>
      </c>
      <c r="AH1065">
        <v>-0.23</v>
      </c>
    </row>
    <row r="1066" spans="1:34">
      <c r="A1066" t="s">
        <v>517</v>
      </c>
      <c r="B1066" t="s">
        <v>75</v>
      </c>
      <c r="C1066" t="b">
        <v>0</v>
      </c>
      <c r="D1066" t="b">
        <v>0</v>
      </c>
      <c r="E1066" t="s">
        <v>1473</v>
      </c>
      <c r="F1066" t="s">
        <v>82</v>
      </c>
      <c r="G1066" t="s">
        <v>1496</v>
      </c>
      <c r="H1066">
        <v>19.3</v>
      </c>
      <c r="I1066">
        <v>3</v>
      </c>
      <c r="J1066">
        <v>315</v>
      </c>
      <c r="K1066">
        <v>10058.95</v>
      </c>
      <c r="L1066">
        <v>2291.4</v>
      </c>
      <c r="M1066">
        <v>0</v>
      </c>
      <c r="N1066">
        <v>7767.55</v>
      </c>
      <c r="O1066">
        <v>3015.07</v>
      </c>
      <c r="P1066">
        <v>4752.48</v>
      </c>
      <c r="Q1066">
        <v>56.66</v>
      </c>
      <c r="R1066">
        <v>348.35</v>
      </c>
      <c r="S1066">
        <v>574</v>
      </c>
      <c r="T1066">
        <v>240</v>
      </c>
      <c r="U1066">
        <v>24</v>
      </c>
      <c r="V1066">
        <v>75</v>
      </c>
      <c r="W1066">
        <v>49</v>
      </c>
      <c r="X1066">
        <v>24.66</v>
      </c>
      <c r="Y1066">
        <v>1.82</v>
      </c>
      <c r="Z1066">
        <v>61.18</v>
      </c>
      <c r="AA1066">
        <v>2750</v>
      </c>
      <c r="AB1066">
        <v>1246.58</v>
      </c>
      <c r="AC1066">
        <v>217.51</v>
      </c>
      <c r="AD1066">
        <v>1310</v>
      </c>
      <c r="AE1066">
        <v>129.64</v>
      </c>
      <c r="AF1066">
        <v>5653.73</v>
      </c>
      <c r="AG1066">
        <v>-1306.26</v>
      </c>
      <c r="AH1066">
        <v>-16.82</v>
      </c>
    </row>
    <row r="1067" spans="1:34">
      <c r="A1067" t="s">
        <v>1444</v>
      </c>
      <c r="B1067" t="s">
        <v>258</v>
      </c>
      <c r="C1067" t="b">
        <v>0</v>
      </c>
      <c r="D1067" t="b">
        <v>0</v>
      </c>
      <c r="E1067" t="s">
        <v>80</v>
      </c>
      <c r="F1067" t="s">
        <v>82</v>
      </c>
      <c r="G1067" t="s">
        <v>1496</v>
      </c>
      <c r="H1067">
        <v>16.5</v>
      </c>
      <c r="I1067">
        <v>4</v>
      </c>
      <c r="J1067">
        <v>282</v>
      </c>
      <c r="K1067">
        <v>8641.639999999999</v>
      </c>
      <c r="L1067">
        <v>1983.67</v>
      </c>
      <c r="M1067">
        <v>21.57</v>
      </c>
      <c r="N1067">
        <v>6636.4</v>
      </c>
      <c r="O1067">
        <v>2620.08</v>
      </c>
      <c r="P1067">
        <v>4016.32</v>
      </c>
      <c r="Q1067">
        <v>53.2</v>
      </c>
      <c r="R1067">
        <v>272.59</v>
      </c>
      <c r="S1067">
        <v>497</v>
      </c>
      <c r="T1067">
        <v>220</v>
      </c>
      <c r="U1067">
        <v>29</v>
      </c>
      <c r="V1067">
        <v>62</v>
      </c>
      <c r="W1067">
        <v>38</v>
      </c>
      <c r="X1067">
        <v>23.53</v>
      </c>
      <c r="Y1067">
        <v>1.76</v>
      </c>
      <c r="Z1067">
        <v>60.52</v>
      </c>
      <c r="AA1067">
        <v>2672.58</v>
      </c>
      <c r="AB1067">
        <v>1246.58</v>
      </c>
      <c r="AC1067">
        <v>201.99</v>
      </c>
      <c r="AD1067">
        <v>1310</v>
      </c>
      <c r="AE1067">
        <v>249.44</v>
      </c>
      <c r="AF1067">
        <v>5680.59</v>
      </c>
      <c r="AG1067">
        <v>-1990.06</v>
      </c>
      <c r="AH1067">
        <v>-29.99</v>
      </c>
    </row>
    <row r="1068" spans="1:34">
      <c r="A1068" t="s">
        <v>1445</v>
      </c>
      <c r="B1068" t="s">
        <v>259</v>
      </c>
      <c r="C1068" t="b">
        <v>0</v>
      </c>
      <c r="D1068" t="b">
        <v>0</v>
      </c>
      <c r="E1068" t="s">
        <v>80</v>
      </c>
      <c r="F1068" t="s">
        <v>82</v>
      </c>
      <c r="G1068" t="s">
        <v>305</v>
      </c>
      <c r="H1068">
        <v>18.2</v>
      </c>
      <c r="I1068">
        <v>5</v>
      </c>
      <c r="J1068">
        <v>241</v>
      </c>
      <c r="K1068">
        <v>7584.29</v>
      </c>
      <c r="L1068">
        <v>279.12</v>
      </c>
      <c r="M1068">
        <v>9.57</v>
      </c>
      <c r="N1068">
        <v>7295.6</v>
      </c>
      <c r="O1068">
        <v>2289.59</v>
      </c>
      <c r="P1068">
        <v>5006.01</v>
      </c>
      <c r="Q1068">
        <v>63.34</v>
      </c>
      <c r="R1068">
        <v>211.48</v>
      </c>
      <c r="S1068">
        <v>435</v>
      </c>
      <c r="T1068">
        <v>176</v>
      </c>
      <c r="U1068">
        <v>3</v>
      </c>
      <c r="V1068">
        <v>65</v>
      </c>
      <c r="W1068">
        <v>24</v>
      </c>
      <c r="X1068">
        <v>30.27</v>
      </c>
      <c r="Y1068">
        <v>1.8</v>
      </c>
      <c r="Z1068">
        <v>68.62</v>
      </c>
      <c r="AA1068">
        <v>2322.58</v>
      </c>
      <c r="AB1068">
        <v>1246.58</v>
      </c>
      <c r="AC1068">
        <v>225.23</v>
      </c>
      <c r="AD1068">
        <v>110</v>
      </c>
      <c r="AE1068">
        <v>173.78</v>
      </c>
      <c r="AF1068">
        <v>4078.17</v>
      </c>
      <c r="AG1068">
        <v>653.02</v>
      </c>
      <c r="AH1068">
        <v>8.949999999999999</v>
      </c>
    </row>
    <row r="1069" spans="1:34">
      <c r="A1069" t="s">
        <v>1446</v>
      </c>
      <c r="B1069" t="s">
        <v>260</v>
      </c>
      <c r="C1069" t="b">
        <v>0</v>
      </c>
      <c r="D1069" t="b">
        <v>0</v>
      </c>
      <c r="E1069" t="s">
        <v>80</v>
      </c>
      <c r="F1069" t="s">
        <v>82</v>
      </c>
      <c r="G1069" t="s">
        <v>305</v>
      </c>
      <c r="H1069">
        <v>17.4</v>
      </c>
      <c r="I1069">
        <v>6</v>
      </c>
      <c r="J1069">
        <v>292</v>
      </c>
      <c r="K1069">
        <v>8686.809999999999</v>
      </c>
      <c r="L1069">
        <v>287.83</v>
      </c>
      <c r="M1069">
        <v>0</v>
      </c>
      <c r="N1069">
        <v>8398.98</v>
      </c>
      <c r="O1069">
        <v>2665.32</v>
      </c>
      <c r="P1069">
        <v>5733.66</v>
      </c>
      <c r="Q1069">
        <v>69.16</v>
      </c>
      <c r="R1069">
        <v>215.87</v>
      </c>
      <c r="S1069">
        <v>499</v>
      </c>
      <c r="T1069">
        <v>223</v>
      </c>
      <c r="U1069">
        <v>9</v>
      </c>
      <c r="V1069">
        <v>69</v>
      </c>
      <c r="W1069">
        <v>23</v>
      </c>
      <c r="X1069">
        <v>28.76</v>
      </c>
      <c r="Y1069">
        <v>1.71</v>
      </c>
      <c r="Z1069">
        <v>68.27</v>
      </c>
      <c r="AA1069">
        <v>2322.58</v>
      </c>
      <c r="AB1069">
        <v>1246.58</v>
      </c>
      <c r="AC1069">
        <v>208.02</v>
      </c>
      <c r="AD1069">
        <v>110</v>
      </c>
      <c r="AE1069">
        <v>242.27</v>
      </c>
      <c r="AF1069">
        <v>4129.45</v>
      </c>
      <c r="AG1069">
        <v>1319.18</v>
      </c>
      <c r="AH1069">
        <v>15.71</v>
      </c>
    </row>
    <row r="1070" spans="1:34">
      <c r="A1070" t="s">
        <v>1447</v>
      </c>
      <c r="B1070" t="s">
        <v>261</v>
      </c>
      <c r="C1070" t="b">
        <v>0</v>
      </c>
      <c r="D1070" t="b">
        <v>0</v>
      </c>
      <c r="E1070" t="s">
        <v>80</v>
      </c>
      <c r="F1070" t="s">
        <v>82</v>
      </c>
      <c r="G1070" t="s">
        <v>305</v>
      </c>
      <c r="H1070">
        <v>18.7</v>
      </c>
      <c r="I1070">
        <v>7</v>
      </c>
      <c r="J1070">
        <v>346</v>
      </c>
      <c r="K1070">
        <v>11805.12</v>
      </c>
      <c r="L1070">
        <v>344.32</v>
      </c>
      <c r="M1070">
        <v>53.92</v>
      </c>
      <c r="N1070">
        <v>11406.88</v>
      </c>
      <c r="O1070">
        <v>3629.47</v>
      </c>
      <c r="P1070">
        <v>7777.41</v>
      </c>
      <c r="Q1070">
        <v>95.41</v>
      </c>
      <c r="R1070">
        <v>276.02</v>
      </c>
      <c r="S1070">
        <v>672</v>
      </c>
      <c r="T1070">
        <v>246</v>
      </c>
      <c r="U1070">
        <v>14</v>
      </c>
      <c r="V1070">
        <v>100</v>
      </c>
      <c r="W1070">
        <v>37</v>
      </c>
      <c r="X1070">
        <v>32.97</v>
      </c>
      <c r="Y1070">
        <v>1.94</v>
      </c>
      <c r="Z1070">
        <v>68.18000000000001</v>
      </c>
      <c r="AA1070">
        <v>2322.58</v>
      </c>
      <c r="AB1070">
        <v>1246.58</v>
      </c>
      <c r="AC1070">
        <v>216.82</v>
      </c>
      <c r="AD1070">
        <v>110</v>
      </c>
      <c r="AE1070">
        <v>193.13</v>
      </c>
      <c r="AF1070">
        <v>4089.11</v>
      </c>
      <c r="AG1070">
        <v>3316.87</v>
      </c>
      <c r="AH1070">
        <v>29.08</v>
      </c>
    </row>
    <row r="1071" spans="1:34">
      <c r="A1071" t="s">
        <v>1448</v>
      </c>
      <c r="B1071" t="s">
        <v>262</v>
      </c>
      <c r="C1071" t="b">
        <v>1</v>
      </c>
      <c r="D1071" t="b">
        <v>0</v>
      </c>
      <c r="E1071" t="s">
        <v>80</v>
      </c>
      <c r="F1071" t="s">
        <v>82</v>
      </c>
      <c r="G1071" t="s">
        <v>305</v>
      </c>
      <c r="H1071">
        <v>18.5</v>
      </c>
      <c r="I1071">
        <v>8</v>
      </c>
      <c r="J1071">
        <v>249</v>
      </c>
      <c r="K1071">
        <v>9677.25</v>
      </c>
      <c r="L1071">
        <v>328.67</v>
      </c>
      <c r="M1071">
        <v>74.78</v>
      </c>
      <c r="N1071">
        <v>9273.799999999999</v>
      </c>
      <c r="O1071">
        <v>2924.94</v>
      </c>
      <c r="P1071">
        <v>6348.86</v>
      </c>
      <c r="Q1071">
        <v>74.81999999999999</v>
      </c>
      <c r="R1071">
        <v>330.45</v>
      </c>
      <c r="S1071">
        <v>550</v>
      </c>
      <c r="T1071">
        <v>195</v>
      </c>
      <c r="U1071">
        <v>15</v>
      </c>
      <c r="V1071">
        <v>54</v>
      </c>
      <c r="W1071">
        <v>42</v>
      </c>
      <c r="X1071">
        <v>37.24</v>
      </c>
      <c r="Y1071">
        <v>2.21</v>
      </c>
      <c r="Z1071">
        <v>68.45999999999999</v>
      </c>
      <c r="AA1071">
        <v>2322.58</v>
      </c>
      <c r="AB1071">
        <v>1246.58</v>
      </c>
      <c r="AC1071">
        <v>231.96</v>
      </c>
      <c r="AD1071">
        <v>110</v>
      </c>
      <c r="AE1071">
        <v>172.96</v>
      </c>
      <c r="AF1071">
        <v>4084.08</v>
      </c>
      <c r="AG1071">
        <v>1859.51</v>
      </c>
      <c r="AH1071">
        <v>20.05</v>
      </c>
    </row>
    <row r="1072" spans="1:34">
      <c r="A1072" t="s">
        <v>1449</v>
      </c>
      <c r="B1072" t="s">
        <v>263</v>
      </c>
      <c r="C1072" t="b">
        <v>1</v>
      </c>
      <c r="D1072" t="b">
        <v>0</v>
      </c>
      <c r="E1072" t="s">
        <v>80</v>
      </c>
      <c r="F1072" t="s">
        <v>82</v>
      </c>
      <c r="G1072" t="s">
        <v>305</v>
      </c>
      <c r="H1072">
        <v>17.7</v>
      </c>
      <c r="I1072">
        <v>9</v>
      </c>
      <c r="J1072">
        <v>255</v>
      </c>
      <c r="K1072">
        <v>10107.73</v>
      </c>
      <c r="L1072">
        <v>313.9</v>
      </c>
      <c r="M1072">
        <v>21.74</v>
      </c>
      <c r="N1072">
        <v>9772.09</v>
      </c>
      <c r="O1072">
        <v>3134.45</v>
      </c>
      <c r="P1072">
        <v>6637.64</v>
      </c>
      <c r="Q1072">
        <v>69.7</v>
      </c>
      <c r="R1072">
        <v>430.31</v>
      </c>
      <c r="S1072">
        <v>569</v>
      </c>
      <c r="T1072">
        <v>196</v>
      </c>
      <c r="U1072">
        <v>18</v>
      </c>
      <c r="V1072">
        <v>59</v>
      </c>
      <c r="W1072">
        <v>51</v>
      </c>
      <c r="X1072">
        <v>38.32</v>
      </c>
      <c r="Y1072">
        <v>2.23</v>
      </c>
      <c r="Z1072">
        <v>67.92</v>
      </c>
      <c r="AA1072">
        <v>2322.58</v>
      </c>
      <c r="AB1072">
        <v>1246.58</v>
      </c>
      <c r="AC1072">
        <v>201</v>
      </c>
      <c r="AD1072">
        <v>110</v>
      </c>
      <c r="AE1072">
        <v>185.04</v>
      </c>
      <c r="AF1072">
        <v>4065.2</v>
      </c>
      <c r="AG1072">
        <v>2072.43</v>
      </c>
      <c r="AH1072">
        <v>21.21</v>
      </c>
    </row>
    <row r="1073" spans="1:34">
      <c r="A1073" t="s">
        <v>518</v>
      </c>
      <c r="B1073" t="s">
        <v>75</v>
      </c>
      <c r="C1073" t="b">
        <v>0</v>
      </c>
      <c r="D1073" t="b">
        <v>0</v>
      </c>
      <c r="E1073" t="s">
        <v>80</v>
      </c>
      <c r="F1073" t="s">
        <v>82</v>
      </c>
      <c r="G1073" t="s">
        <v>305</v>
      </c>
      <c r="H1073">
        <v>16.1</v>
      </c>
      <c r="I1073">
        <v>10</v>
      </c>
      <c r="J1073">
        <v>217</v>
      </c>
      <c r="K1073">
        <v>6346.07</v>
      </c>
      <c r="L1073">
        <v>231.3</v>
      </c>
      <c r="M1073">
        <v>19.13</v>
      </c>
      <c r="N1073">
        <v>6095.64</v>
      </c>
      <c r="O1073">
        <v>1928.56</v>
      </c>
      <c r="P1073">
        <v>4167.08</v>
      </c>
      <c r="Q1073">
        <v>51.25</v>
      </c>
      <c r="R1073">
        <v>242.44</v>
      </c>
      <c r="S1073">
        <v>373</v>
      </c>
      <c r="T1073">
        <v>161</v>
      </c>
      <c r="U1073">
        <v>6</v>
      </c>
      <c r="V1073">
        <v>56</v>
      </c>
      <c r="W1073">
        <v>29</v>
      </c>
      <c r="X1073">
        <v>28.09</v>
      </c>
      <c r="Y1073">
        <v>1.72</v>
      </c>
      <c r="Z1073">
        <v>68.36</v>
      </c>
      <c r="AA1073">
        <v>2322.58</v>
      </c>
      <c r="AB1073">
        <v>1246.58</v>
      </c>
      <c r="AC1073">
        <v>200.73</v>
      </c>
      <c r="AD1073">
        <v>110</v>
      </c>
      <c r="AE1073">
        <v>211.02</v>
      </c>
      <c r="AF1073">
        <v>4090.91</v>
      </c>
      <c r="AG1073">
        <v>-217.52</v>
      </c>
      <c r="AH1073">
        <v>-3.57</v>
      </c>
    </row>
    <row r="1074" spans="1:34">
      <c r="A1074" t="s">
        <v>1450</v>
      </c>
      <c r="B1074" t="s">
        <v>258</v>
      </c>
      <c r="C1074" t="b">
        <v>0</v>
      </c>
      <c r="D1074" t="b">
        <v>0</v>
      </c>
      <c r="E1074" t="s">
        <v>80</v>
      </c>
      <c r="F1074" t="s">
        <v>82</v>
      </c>
      <c r="G1074" t="s">
        <v>305</v>
      </c>
      <c r="H1074">
        <v>15.1</v>
      </c>
      <c r="I1074">
        <v>11</v>
      </c>
      <c r="J1074">
        <v>231</v>
      </c>
      <c r="K1074">
        <v>7595.59</v>
      </c>
      <c r="L1074">
        <v>250.69</v>
      </c>
      <c r="M1074">
        <v>19.13</v>
      </c>
      <c r="N1074">
        <v>7325.77</v>
      </c>
      <c r="O1074">
        <v>2311.62</v>
      </c>
      <c r="P1074">
        <v>5014.15</v>
      </c>
      <c r="Q1074">
        <v>56.23</v>
      </c>
      <c r="R1074">
        <v>196.56</v>
      </c>
      <c r="S1074">
        <v>428</v>
      </c>
      <c r="T1074">
        <v>181</v>
      </c>
      <c r="U1074">
        <v>15</v>
      </c>
      <c r="V1074">
        <v>50</v>
      </c>
      <c r="W1074">
        <v>22</v>
      </c>
      <c r="X1074">
        <v>31.71</v>
      </c>
      <c r="Y1074">
        <v>1.85</v>
      </c>
      <c r="Z1074">
        <v>68.45</v>
      </c>
      <c r="AA1074">
        <v>2322.58</v>
      </c>
      <c r="AB1074">
        <v>1246.58</v>
      </c>
      <c r="AC1074">
        <v>233.1</v>
      </c>
      <c r="AD1074">
        <v>110</v>
      </c>
      <c r="AE1074">
        <v>175.33</v>
      </c>
      <c r="AF1074">
        <v>4087.59</v>
      </c>
      <c r="AG1074">
        <v>673.77</v>
      </c>
      <c r="AH1074">
        <v>9.199999999999999</v>
      </c>
    </row>
    <row r="1075" spans="1:34">
      <c r="A1075" t="s">
        <v>1451</v>
      </c>
      <c r="B1075" t="s">
        <v>259</v>
      </c>
      <c r="C1075" t="b">
        <v>0</v>
      </c>
      <c r="D1075" t="b">
        <v>0</v>
      </c>
      <c r="E1075" t="s">
        <v>80</v>
      </c>
      <c r="F1075" t="s">
        <v>82</v>
      </c>
      <c r="G1075" t="s">
        <v>81</v>
      </c>
      <c r="H1075">
        <v>16.2</v>
      </c>
      <c r="I1075">
        <v>12</v>
      </c>
      <c r="J1075">
        <v>264</v>
      </c>
      <c r="K1075">
        <v>7587.74</v>
      </c>
      <c r="L1075">
        <v>254.77</v>
      </c>
      <c r="M1075">
        <v>0</v>
      </c>
      <c r="N1075">
        <v>7332.97</v>
      </c>
      <c r="O1075">
        <v>2334.33</v>
      </c>
      <c r="P1075">
        <v>4998.64</v>
      </c>
      <c r="Q1075">
        <v>61.09</v>
      </c>
      <c r="R1075">
        <v>212.19</v>
      </c>
      <c r="S1075">
        <v>439</v>
      </c>
      <c r="T1075">
        <v>185</v>
      </c>
      <c r="U1075">
        <v>14</v>
      </c>
      <c r="V1075">
        <v>79</v>
      </c>
      <c r="W1075">
        <v>27</v>
      </c>
      <c r="X1075">
        <v>27.78</v>
      </c>
      <c r="Y1075">
        <v>1.66</v>
      </c>
      <c r="Z1075">
        <v>68.17</v>
      </c>
      <c r="AA1075">
        <v>2322.58</v>
      </c>
      <c r="AB1075">
        <v>1246.58</v>
      </c>
      <c r="AC1075">
        <v>222.77</v>
      </c>
      <c r="AD1075">
        <v>110</v>
      </c>
      <c r="AE1075">
        <v>197.41</v>
      </c>
      <c r="AF1075">
        <v>4099.34</v>
      </c>
      <c r="AG1075">
        <v>626.02</v>
      </c>
      <c r="AH1075">
        <v>8.539999999999999</v>
      </c>
    </row>
    <row r="1076" spans="1:34">
      <c r="A1076" t="s">
        <v>1452</v>
      </c>
      <c r="B1076" t="s">
        <v>260</v>
      </c>
      <c r="C1076" t="b">
        <v>0</v>
      </c>
      <c r="D1076" t="b">
        <v>0</v>
      </c>
      <c r="E1076" t="s">
        <v>80</v>
      </c>
      <c r="F1076" t="s">
        <v>82</v>
      </c>
      <c r="G1076" t="s">
        <v>81</v>
      </c>
      <c r="H1076">
        <v>16.4</v>
      </c>
      <c r="I1076">
        <v>13</v>
      </c>
      <c r="J1076">
        <v>279</v>
      </c>
      <c r="K1076">
        <v>8319.049999999999</v>
      </c>
      <c r="L1076">
        <v>370.41</v>
      </c>
      <c r="M1076">
        <v>20</v>
      </c>
      <c r="N1076">
        <v>7928.64</v>
      </c>
      <c r="O1076">
        <v>2599.75</v>
      </c>
      <c r="P1076">
        <v>5328.89</v>
      </c>
      <c r="Q1076">
        <v>63.04</v>
      </c>
      <c r="R1076">
        <v>340.2</v>
      </c>
      <c r="S1076">
        <v>481</v>
      </c>
      <c r="T1076">
        <v>220</v>
      </c>
      <c r="U1076">
        <v>16</v>
      </c>
      <c r="V1076">
        <v>59</v>
      </c>
      <c r="W1076">
        <v>41</v>
      </c>
      <c r="X1076">
        <v>28.42</v>
      </c>
      <c r="Y1076">
        <v>1.72</v>
      </c>
      <c r="Z1076">
        <v>67.20999999999999</v>
      </c>
      <c r="AA1076">
        <v>2322.58</v>
      </c>
      <c r="AB1076">
        <v>1246.58</v>
      </c>
      <c r="AC1076">
        <v>179.78</v>
      </c>
      <c r="AD1076">
        <v>110</v>
      </c>
      <c r="AE1076">
        <v>201.37</v>
      </c>
      <c r="AF1076">
        <v>4060.31</v>
      </c>
      <c r="AG1076">
        <v>865.34</v>
      </c>
      <c r="AH1076">
        <v>10.91</v>
      </c>
    </row>
    <row r="1077" spans="1:34">
      <c r="A1077" t="s">
        <v>1453</v>
      </c>
      <c r="B1077" t="s">
        <v>261</v>
      </c>
      <c r="C1077" t="b">
        <v>0</v>
      </c>
      <c r="D1077" t="b">
        <v>0</v>
      </c>
      <c r="E1077" t="s">
        <v>80</v>
      </c>
      <c r="F1077" t="s">
        <v>82</v>
      </c>
      <c r="G1077" t="s">
        <v>81</v>
      </c>
      <c r="H1077">
        <v>19.3</v>
      </c>
      <c r="I1077">
        <v>14</v>
      </c>
      <c r="J1077">
        <v>426</v>
      </c>
      <c r="K1077">
        <v>14266.83</v>
      </c>
      <c r="L1077">
        <v>485.22</v>
      </c>
      <c r="M1077">
        <v>28.7</v>
      </c>
      <c r="N1077">
        <v>13752.91</v>
      </c>
      <c r="O1077">
        <v>4319.93</v>
      </c>
      <c r="P1077">
        <v>9432.98</v>
      </c>
      <c r="Q1077">
        <v>111.07</v>
      </c>
      <c r="R1077">
        <v>417.96</v>
      </c>
      <c r="S1077">
        <v>813</v>
      </c>
      <c r="T1077">
        <v>316</v>
      </c>
      <c r="U1077">
        <v>16</v>
      </c>
      <c r="V1077">
        <v>110</v>
      </c>
      <c r="W1077">
        <v>47</v>
      </c>
      <c r="X1077">
        <v>32.28</v>
      </c>
      <c r="Y1077">
        <v>1.91</v>
      </c>
      <c r="Z1077">
        <v>68.59</v>
      </c>
      <c r="AA1077">
        <v>2322.58</v>
      </c>
      <c r="AB1077">
        <v>1246.58</v>
      </c>
      <c r="AC1077">
        <v>199.49</v>
      </c>
      <c r="AD1077">
        <v>110</v>
      </c>
      <c r="AE1077">
        <v>193.76</v>
      </c>
      <c r="AF1077">
        <v>4072.41</v>
      </c>
      <c r="AG1077">
        <v>4831.54</v>
      </c>
      <c r="AH1077">
        <v>35.13</v>
      </c>
    </row>
    <row r="1078" spans="1:34">
      <c r="A1078" t="s">
        <v>1454</v>
      </c>
      <c r="B1078" t="s">
        <v>262</v>
      </c>
      <c r="C1078" t="b">
        <v>1</v>
      </c>
      <c r="D1078" t="b">
        <v>0</v>
      </c>
      <c r="E1078" t="s">
        <v>80</v>
      </c>
      <c r="F1078" t="s">
        <v>82</v>
      </c>
      <c r="G1078" t="s">
        <v>81</v>
      </c>
      <c r="H1078">
        <v>18.8</v>
      </c>
      <c r="I1078">
        <v>15</v>
      </c>
      <c r="J1078">
        <v>298</v>
      </c>
      <c r="K1078">
        <v>11047.83</v>
      </c>
      <c r="L1078">
        <v>511.28</v>
      </c>
      <c r="M1078">
        <v>8.699999999999999</v>
      </c>
      <c r="N1078">
        <v>10527.85</v>
      </c>
      <c r="O1078">
        <v>3383.13</v>
      </c>
      <c r="P1078">
        <v>7144.72</v>
      </c>
      <c r="Q1078">
        <v>81.78</v>
      </c>
      <c r="R1078">
        <v>323.83</v>
      </c>
      <c r="S1078">
        <v>638</v>
      </c>
      <c r="T1078">
        <v>226</v>
      </c>
      <c r="U1078">
        <v>12</v>
      </c>
      <c r="V1078">
        <v>72</v>
      </c>
      <c r="W1078">
        <v>44</v>
      </c>
      <c r="X1078">
        <v>35.33</v>
      </c>
      <c r="Y1078">
        <v>2.14</v>
      </c>
      <c r="Z1078">
        <v>67.86</v>
      </c>
      <c r="AA1078">
        <v>2322.58</v>
      </c>
      <c r="AB1078">
        <v>1246.58</v>
      </c>
      <c r="AC1078">
        <v>183.24</v>
      </c>
      <c r="AD1078">
        <v>110</v>
      </c>
      <c r="AE1078">
        <v>229.16</v>
      </c>
      <c r="AF1078">
        <v>4091.56</v>
      </c>
      <c r="AG1078">
        <v>2647.55</v>
      </c>
      <c r="AH1078">
        <v>25.15</v>
      </c>
    </row>
    <row r="1079" spans="1:34">
      <c r="A1079" t="s">
        <v>1455</v>
      </c>
      <c r="B1079" t="s">
        <v>263</v>
      </c>
      <c r="C1079" t="b">
        <v>1</v>
      </c>
      <c r="D1079" t="b">
        <v>0</v>
      </c>
      <c r="E1079" t="s">
        <v>80</v>
      </c>
      <c r="F1079" t="s">
        <v>82</v>
      </c>
      <c r="G1079" t="s">
        <v>81</v>
      </c>
      <c r="H1079">
        <v>19.4</v>
      </c>
      <c r="I1079">
        <v>16</v>
      </c>
      <c r="J1079">
        <v>232</v>
      </c>
      <c r="K1079">
        <v>8963.450000000001</v>
      </c>
      <c r="L1079">
        <v>279.13</v>
      </c>
      <c r="M1079">
        <v>0</v>
      </c>
      <c r="N1079">
        <v>8684.32</v>
      </c>
      <c r="O1079">
        <v>2774.89</v>
      </c>
      <c r="P1079">
        <v>5909.43</v>
      </c>
      <c r="Q1079">
        <v>74.95</v>
      </c>
      <c r="R1079">
        <v>261.57</v>
      </c>
      <c r="S1079">
        <v>508</v>
      </c>
      <c r="T1079">
        <v>180</v>
      </c>
      <c r="U1079">
        <v>7</v>
      </c>
      <c r="V1079">
        <v>52</v>
      </c>
      <c r="W1079">
        <v>30</v>
      </c>
      <c r="X1079">
        <v>37.43</v>
      </c>
      <c r="Y1079">
        <v>2.19</v>
      </c>
      <c r="Z1079">
        <v>68.05</v>
      </c>
      <c r="AA1079">
        <v>2322.58</v>
      </c>
      <c r="AB1079">
        <v>1246.58</v>
      </c>
      <c r="AC1079">
        <v>208.34</v>
      </c>
      <c r="AD1079">
        <v>110</v>
      </c>
      <c r="AE1079">
        <v>248.22</v>
      </c>
      <c r="AF1079">
        <v>4135.72</v>
      </c>
      <c r="AG1079">
        <v>1437.19</v>
      </c>
      <c r="AH1079">
        <v>16.55</v>
      </c>
    </row>
    <row r="1080" spans="1:34">
      <c r="A1080" t="s">
        <v>519</v>
      </c>
      <c r="B1080" t="s">
        <v>75</v>
      </c>
      <c r="C1080" t="b">
        <v>0</v>
      </c>
      <c r="D1080" t="b">
        <v>0</v>
      </c>
      <c r="E1080" t="s">
        <v>80</v>
      </c>
      <c r="F1080" t="s">
        <v>82</v>
      </c>
      <c r="G1080" t="s">
        <v>81</v>
      </c>
      <c r="H1080">
        <v>17.5</v>
      </c>
      <c r="I1080">
        <v>17</v>
      </c>
      <c r="J1080">
        <v>276</v>
      </c>
      <c r="K1080">
        <v>8454.719999999999</v>
      </c>
      <c r="L1080">
        <v>300.85</v>
      </c>
      <c r="M1080">
        <v>66.95</v>
      </c>
      <c r="N1080">
        <v>8086.92</v>
      </c>
      <c r="O1080">
        <v>2559.1</v>
      </c>
      <c r="P1080">
        <v>5527.82</v>
      </c>
      <c r="Q1080">
        <v>63.87</v>
      </c>
      <c r="R1080">
        <v>314.65</v>
      </c>
      <c r="S1080">
        <v>487</v>
      </c>
      <c r="T1080">
        <v>215</v>
      </c>
      <c r="U1080">
        <v>11</v>
      </c>
      <c r="V1080">
        <v>61</v>
      </c>
      <c r="W1080">
        <v>37</v>
      </c>
      <c r="X1080">
        <v>29.3</v>
      </c>
      <c r="Y1080">
        <v>1.76</v>
      </c>
      <c r="Z1080">
        <v>68.36</v>
      </c>
      <c r="AA1080">
        <v>2322.58</v>
      </c>
      <c r="AB1080">
        <v>1246.58</v>
      </c>
      <c r="AC1080">
        <v>177.41</v>
      </c>
      <c r="AD1080">
        <v>110</v>
      </c>
      <c r="AE1080">
        <v>165.87</v>
      </c>
      <c r="AF1080">
        <v>4022.44</v>
      </c>
      <c r="AG1080">
        <v>1126.86</v>
      </c>
      <c r="AH1080">
        <v>13.93</v>
      </c>
    </row>
    <row r="1081" spans="1:34">
      <c r="A1081" t="s">
        <v>1456</v>
      </c>
      <c r="B1081" t="s">
        <v>258</v>
      </c>
      <c r="C1081" t="b">
        <v>0</v>
      </c>
      <c r="D1081" t="b">
        <v>0</v>
      </c>
      <c r="E1081" t="s">
        <v>80</v>
      </c>
      <c r="F1081" t="s">
        <v>82</v>
      </c>
      <c r="G1081" t="s">
        <v>81</v>
      </c>
      <c r="H1081">
        <v>17.4</v>
      </c>
      <c r="I1081">
        <v>18</v>
      </c>
      <c r="J1081">
        <v>275</v>
      </c>
      <c r="K1081">
        <v>7806.82</v>
      </c>
      <c r="L1081">
        <v>395.64</v>
      </c>
      <c r="M1081">
        <v>20</v>
      </c>
      <c r="N1081">
        <v>7391.18</v>
      </c>
      <c r="O1081">
        <v>2361.18</v>
      </c>
      <c r="P1081">
        <v>5030</v>
      </c>
      <c r="Q1081">
        <v>61.95</v>
      </c>
      <c r="R1081">
        <v>193.43</v>
      </c>
      <c r="S1081">
        <v>448</v>
      </c>
      <c r="T1081">
        <v>207</v>
      </c>
      <c r="U1081">
        <v>13</v>
      </c>
      <c r="V1081">
        <v>68</v>
      </c>
      <c r="W1081">
        <v>24</v>
      </c>
      <c r="X1081">
        <v>26.88</v>
      </c>
      <c r="Y1081">
        <v>1.63</v>
      </c>
      <c r="Z1081">
        <v>68.05</v>
      </c>
      <c r="AA1081">
        <v>2322.58</v>
      </c>
      <c r="AB1081">
        <v>1246.58</v>
      </c>
      <c r="AC1081">
        <v>225.02</v>
      </c>
      <c r="AD1081">
        <v>110</v>
      </c>
      <c r="AE1081">
        <v>217</v>
      </c>
      <c r="AF1081">
        <v>4121.18</v>
      </c>
      <c r="AG1081">
        <v>653.4400000000001</v>
      </c>
      <c r="AH1081">
        <v>8.84</v>
      </c>
    </row>
    <row r="1082" spans="1:34">
      <c r="A1082" t="s">
        <v>1457</v>
      </c>
      <c r="B1082" t="s">
        <v>259</v>
      </c>
      <c r="C1082" t="b">
        <v>0</v>
      </c>
      <c r="D1082" t="b">
        <v>0</v>
      </c>
      <c r="E1082" t="s">
        <v>80</v>
      </c>
      <c r="F1082" t="s">
        <v>82</v>
      </c>
      <c r="G1082" t="s">
        <v>81</v>
      </c>
      <c r="H1082">
        <v>16.9</v>
      </c>
      <c r="I1082">
        <v>19</v>
      </c>
      <c r="J1082">
        <v>276</v>
      </c>
      <c r="K1082">
        <v>8169.52</v>
      </c>
      <c r="L1082">
        <v>239.99</v>
      </c>
      <c r="M1082">
        <v>31.3</v>
      </c>
      <c r="N1082">
        <v>7898.23</v>
      </c>
      <c r="O1082">
        <v>2458.98</v>
      </c>
      <c r="P1082">
        <v>5439.25</v>
      </c>
      <c r="Q1082">
        <v>56.52</v>
      </c>
      <c r="R1082">
        <v>307.85</v>
      </c>
      <c r="S1082">
        <v>474</v>
      </c>
      <c r="T1082">
        <v>205</v>
      </c>
      <c r="U1082">
        <v>12</v>
      </c>
      <c r="V1082">
        <v>71</v>
      </c>
      <c r="W1082">
        <v>37</v>
      </c>
      <c r="X1082">
        <v>28.62</v>
      </c>
      <c r="Y1082">
        <v>1.72</v>
      </c>
      <c r="Z1082">
        <v>68.87</v>
      </c>
      <c r="AA1082">
        <v>2322.58</v>
      </c>
      <c r="AB1082">
        <v>1246.58</v>
      </c>
      <c r="AC1082">
        <v>192.17</v>
      </c>
      <c r="AD1082">
        <v>110</v>
      </c>
      <c r="AE1082">
        <v>176.44</v>
      </c>
      <c r="AF1082">
        <v>4047.77</v>
      </c>
      <c r="AG1082">
        <v>1027.11</v>
      </c>
      <c r="AH1082">
        <v>13</v>
      </c>
    </row>
    <row r="1083" spans="1:34">
      <c r="A1083" t="s">
        <v>1458</v>
      </c>
      <c r="B1083" t="s">
        <v>260</v>
      </c>
      <c r="C1083" t="b">
        <v>0</v>
      </c>
      <c r="D1083" t="b">
        <v>0</v>
      </c>
      <c r="E1083" t="s">
        <v>80</v>
      </c>
      <c r="F1083" t="s">
        <v>82</v>
      </c>
      <c r="G1083" t="s">
        <v>81</v>
      </c>
      <c r="H1083">
        <v>16</v>
      </c>
      <c r="I1083">
        <v>20</v>
      </c>
      <c r="J1083">
        <v>265</v>
      </c>
      <c r="K1083">
        <v>8493.790000000001</v>
      </c>
      <c r="L1083">
        <v>329.54</v>
      </c>
      <c r="M1083">
        <v>39.13</v>
      </c>
      <c r="N1083">
        <v>8125.12</v>
      </c>
      <c r="O1083">
        <v>2574.88</v>
      </c>
      <c r="P1083">
        <v>5550.24</v>
      </c>
      <c r="Q1083">
        <v>67.02</v>
      </c>
      <c r="R1083">
        <v>292.59</v>
      </c>
      <c r="S1083">
        <v>496</v>
      </c>
      <c r="T1083">
        <v>197</v>
      </c>
      <c r="U1083">
        <v>6</v>
      </c>
      <c r="V1083">
        <v>68</v>
      </c>
      <c r="W1083">
        <v>37</v>
      </c>
      <c r="X1083">
        <v>30.66</v>
      </c>
      <c r="Y1083">
        <v>1.87</v>
      </c>
      <c r="Z1083">
        <v>68.31</v>
      </c>
      <c r="AA1083">
        <v>2322.58</v>
      </c>
      <c r="AB1083">
        <v>1246.58</v>
      </c>
      <c r="AC1083">
        <v>201.25</v>
      </c>
      <c r="AD1083">
        <v>110</v>
      </c>
      <c r="AE1083">
        <v>226.12</v>
      </c>
      <c r="AF1083">
        <v>4106.53</v>
      </c>
      <c r="AG1083">
        <v>1084.1</v>
      </c>
      <c r="AH1083">
        <v>13.34</v>
      </c>
    </row>
    <row r="1084" spans="1:34">
      <c r="A1084" t="s">
        <v>1459</v>
      </c>
      <c r="B1084" t="s">
        <v>261</v>
      </c>
      <c r="C1084" t="b">
        <v>0</v>
      </c>
      <c r="D1084" t="b">
        <v>0</v>
      </c>
      <c r="E1084" t="s">
        <v>80</v>
      </c>
      <c r="F1084" t="s">
        <v>82</v>
      </c>
      <c r="G1084" t="s">
        <v>81</v>
      </c>
      <c r="H1084">
        <v>16.3</v>
      </c>
      <c r="I1084">
        <v>21</v>
      </c>
      <c r="J1084">
        <v>294</v>
      </c>
      <c r="K1084">
        <v>9385.16</v>
      </c>
      <c r="L1084">
        <v>403.48</v>
      </c>
      <c r="M1084">
        <v>45.22</v>
      </c>
      <c r="N1084">
        <v>8936.459999999999</v>
      </c>
      <c r="O1084">
        <v>2857.15</v>
      </c>
      <c r="P1084">
        <v>6079.31</v>
      </c>
      <c r="Q1084">
        <v>71.73</v>
      </c>
      <c r="R1084">
        <v>341.09</v>
      </c>
      <c r="S1084">
        <v>533</v>
      </c>
      <c r="T1084">
        <v>219</v>
      </c>
      <c r="U1084">
        <v>11</v>
      </c>
      <c r="V1084">
        <v>75</v>
      </c>
      <c r="W1084">
        <v>39</v>
      </c>
      <c r="X1084">
        <v>30.4</v>
      </c>
      <c r="Y1084">
        <v>1.81</v>
      </c>
      <c r="Z1084">
        <v>68.03</v>
      </c>
      <c r="AA1084">
        <v>2322.58</v>
      </c>
      <c r="AB1084">
        <v>1246.58</v>
      </c>
      <c r="AC1084">
        <v>185.53</v>
      </c>
      <c r="AD1084">
        <v>110</v>
      </c>
      <c r="AE1084">
        <v>202.48</v>
      </c>
      <c r="AF1084">
        <v>4067.17</v>
      </c>
      <c r="AG1084">
        <v>1599.32</v>
      </c>
      <c r="AH1084">
        <v>17.9</v>
      </c>
    </row>
    <row r="1085" spans="1:34">
      <c r="A1085" t="s">
        <v>1460</v>
      </c>
      <c r="B1085" t="s">
        <v>262</v>
      </c>
      <c r="C1085" t="b">
        <v>1</v>
      </c>
      <c r="D1085" t="b">
        <v>0</v>
      </c>
      <c r="E1085" t="s">
        <v>80</v>
      </c>
      <c r="F1085" t="s">
        <v>82</v>
      </c>
      <c r="G1085" t="s">
        <v>81</v>
      </c>
      <c r="H1085">
        <v>16.6</v>
      </c>
      <c r="I1085">
        <v>22</v>
      </c>
      <c r="J1085">
        <v>218</v>
      </c>
      <c r="K1085">
        <v>8279.99</v>
      </c>
      <c r="L1085">
        <v>191.29</v>
      </c>
      <c r="M1085">
        <v>58.26</v>
      </c>
      <c r="N1085">
        <v>8030.44</v>
      </c>
      <c r="O1085">
        <v>2502.42</v>
      </c>
      <c r="P1085">
        <v>5528.02</v>
      </c>
      <c r="Q1085">
        <v>62.56</v>
      </c>
      <c r="R1085">
        <v>328.73</v>
      </c>
      <c r="S1085">
        <v>487</v>
      </c>
      <c r="T1085">
        <v>172</v>
      </c>
      <c r="U1085">
        <v>15</v>
      </c>
      <c r="V1085">
        <v>46</v>
      </c>
      <c r="W1085">
        <v>39</v>
      </c>
      <c r="X1085">
        <v>36.84</v>
      </c>
      <c r="Y1085">
        <v>2.23</v>
      </c>
      <c r="Z1085">
        <v>68.84</v>
      </c>
      <c r="AA1085">
        <v>2322.58</v>
      </c>
      <c r="AB1085">
        <v>1246.58</v>
      </c>
      <c r="AC1085">
        <v>232.16</v>
      </c>
      <c r="AD1085">
        <v>110</v>
      </c>
      <c r="AE1085">
        <v>193.91</v>
      </c>
      <c r="AF1085">
        <v>4105.23</v>
      </c>
      <c r="AG1085">
        <v>1031.5</v>
      </c>
      <c r="AH1085">
        <v>12.84</v>
      </c>
    </row>
    <row r="1086" spans="1:34">
      <c r="A1086" t="s">
        <v>1461</v>
      </c>
      <c r="B1086" t="s">
        <v>263</v>
      </c>
      <c r="C1086" t="b">
        <v>1</v>
      </c>
      <c r="D1086" t="b">
        <v>0</v>
      </c>
      <c r="E1086" t="s">
        <v>80</v>
      </c>
      <c r="F1086" t="s">
        <v>82</v>
      </c>
      <c r="G1086" t="s">
        <v>81</v>
      </c>
      <c r="H1086">
        <v>16.7</v>
      </c>
      <c r="I1086">
        <v>23</v>
      </c>
      <c r="J1086">
        <v>253</v>
      </c>
      <c r="K1086">
        <v>9201.83</v>
      </c>
      <c r="L1086">
        <v>269.57</v>
      </c>
      <c r="M1086">
        <v>0</v>
      </c>
      <c r="N1086">
        <v>8932.26</v>
      </c>
      <c r="O1086">
        <v>2856.52</v>
      </c>
      <c r="P1086">
        <v>6075.74</v>
      </c>
      <c r="Q1086">
        <v>78.36</v>
      </c>
      <c r="R1086">
        <v>286.25</v>
      </c>
      <c r="S1086">
        <v>535</v>
      </c>
      <c r="T1086">
        <v>186</v>
      </c>
      <c r="U1086">
        <v>9</v>
      </c>
      <c r="V1086">
        <v>67</v>
      </c>
      <c r="W1086">
        <v>41</v>
      </c>
      <c r="X1086">
        <v>35.31</v>
      </c>
      <c r="Y1086">
        <v>2.11</v>
      </c>
      <c r="Z1086">
        <v>68.02</v>
      </c>
      <c r="AA1086">
        <v>2322.58</v>
      </c>
      <c r="AB1086">
        <v>1246.58</v>
      </c>
      <c r="AC1086">
        <v>205.49</v>
      </c>
      <c r="AD1086">
        <v>110</v>
      </c>
      <c r="AE1086">
        <v>185.71</v>
      </c>
      <c r="AF1086">
        <v>4070.36</v>
      </c>
      <c r="AG1086">
        <v>1640.77</v>
      </c>
      <c r="AH1086">
        <v>18.37</v>
      </c>
    </row>
    <row r="1087" spans="1:34">
      <c r="A1087" t="s">
        <v>520</v>
      </c>
      <c r="B1087" t="s">
        <v>75</v>
      </c>
      <c r="C1087" t="b">
        <v>0</v>
      </c>
      <c r="D1087" t="b">
        <v>0</v>
      </c>
      <c r="E1087" t="s">
        <v>80</v>
      </c>
      <c r="F1087" t="s">
        <v>82</v>
      </c>
      <c r="G1087" t="s">
        <v>81</v>
      </c>
      <c r="H1087">
        <v>16.5</v>
      </c>
      <c r="I1087">
        <v>24</v>
      </c>
      <c r="J1087">
        <v>251</v>
      </c>
      <c r="K1087">
        <v>7106.9</v>
      </c>
      <c r="L1087">
        <v>265.2</v>
      </c>
      <c r="M1087">
        <v>0</v>
      </c>
      <c r="N1087">
        <v>6841.7</v>
      </c>
      <c r="O1087">
        <v>2154.22</v>
      </c>
      <c r="P1087">
        <v>4687.48</v>
      </c>
      <c r="Q1087">
        <v>58.47</v>
      </c>
      <c r="R1087">
        <v>203.14</v>
      </c>
      <c r="S1087">
        <v>408</v>
      </c>
      <c r="T1087">
        <v>192</v>
      </c>
      <c r="U1087">
        <v>7</v>
      </c>
      <c r="V1087">
        <v>59</v>
      </c>
      <c r="W1087">
        <v>24</v>
      </c>
      <c r="X1087">
        <v>27.26</v>
      </c>
      <c r="Y1087">
        <v>1.63</v>
      </c>
      <c r="Z1087">
        <v>68.51000000000001</v>
      </c>
      <c r="AA1087">
        <v>2322.58</v>
      </c>
      <c r="AB1087">
        <v>1246.58</v>
      </c>
      <c r="AC1087">
        <v>213.07</v>
      </c>
      <c r="AD1087">
        <v>110</v>
      </c>
      <c r="AE1087">
        <v>143.78</v>
      </c>
      <c r="AF1087">
        <v>4036.01</v>
      </c>
      <c r="AG1087">
        <v>389.86</v>
      </c>
      <c r="AH1087">
        <v>5.7</v>
      </c>
    </row>
    <row r="1088" spans="1:34">
      <c r="A1088" t="s">
        <v>1462</v>
      </c>
      <c r="B1088" t="s">
        <v>258</v>
      </c>
      <c r="C1088" t="b">
        <v>0</v>
      </c>
      <c r="D1088" t="b">
        <v>0</v>
      </c>
      <c r="E1088" t="s">
        <v>80</v>
      </c>
      <c r="F1088" t="s">
        <v>82</v>
      </c>
      <c r="G1088" t="s">
        <v>81</v>
      </c>
      <c r="H1088">
        <v>12.8</v>
      </c>
      <c r="I1088">
        <v>25</v>
      </c>
      <c r="J1088">
        <v>201</v>
      </c>
      <c r="K1088">
        <v>7012.13</v>
      </c>
      <c r="L1088">
        <v>420.33</v>
      </c>
      <c r="M1088">
        <v>0</v>
      </c>
      <c r="N1088">
        <v>6591.8</v>
      </c>
      <c r="O1088">
        <v>2177.46</v>
      </c>
      <c r="P1088">
        <v>4414.34</v>
      </c>
      <c r="Q1088">
        <v>44.43</v>
      </c>
      <c r="R1088">
        <v>208.54</v>
      </c>
      <c r="S1088">
        <v>417</v>
      </c>
      <c r="T1088">
        <v>157</v>
      </c>
      <c r="U1088">
        <v>2</v>
      </c>
      <c r="V1088">
        <v>44</v>
      </c>
      <c r="W1088">
        <v>26</v>
      </c>
      <c r="X1088">
        <v>32.8</v>
      </c>
      <c r="Y1088">
        <v>2.07</v>
      </c>
      <c r="Z1088">
        <v>66.97</v>
      </c>
      <c r="AA1088">
        <v>2322.58</v>
      </c>
      <c r="AB1088">
        <v>1246.58</v>
      </c>
      <c r="AC1088">
        <v>207.19</v>
      </c>
      <c r="AD1088">
        <v>110</v>
      </c>
      <c r="AE1088">
        <v>198.22</v>
      </c>
      <c r="AF1088">
        <v>4084.57</v>
      </c>
      <c r="AG1088">
        <v>76.8</v>
      </c>
      <c r="AH1088">
        <v>1.17</v>
      </c>
    </row>
    <row r="1089" spans="1:34">
      <c r="A1089" t="s">
        <v>1463</v>
      </c>
      <c r="B1089" t="s">
        <v>259</v>
      </c>
      <c r="C1089" t="b">
        <v>0</v>
      </c>
      <c r="D1089" t="b">
        <v>0</v>
      </c>
      <c r="E1089" t="s">
        <v>80</v>
      </c>
      <c r="F1089" t="s">
        <v>82</v>
      </c>
      <c r="G1089" t="s">
        <v>81</v>
      </c>
      <c r="H1089">
        <v>15.1</v>
      </c>
      <c r="I1089">
        <v>26</v>
      </c>
      <c r="J1089">
        <v>250</v>
      </c>
      <c r="K1089">
        <v>7129.43</v>
      </c>
      <c r="L1089">
        <v>292.15</v>
      </c>
      <c r="M1089">
        <v>0</v>
      </c>
      <c r="N1089">
        <v>6837.28</v>
      </c>
      <c r="O1089">
        <v>2198.61</v>
      </c>
      <c r="P1089">
        <v>4638.67</v>
      </c>
      <c r="Q1089">
        <v>50.62</v>
      </c>
      <c r="R1089">
        <v>280.03</v>
      </c>
      <c r="S1089">
        <v>408</v>
      </c>
      <c r="T1089">
        <v>180</v>
      </c>
      <c r="U1089">
        <v>5</v>
      </c>
      <c r="V1089">
        <v>70</v>
      </c>
      <c r="W1089">
        <v>32</v>
      </c>
      <c r="X1089">
        <v>27.35</v>
      </c>
      <c r="Y1089">
        <v>1.63</v>
      </c>
      <c r="Z1089">
        <v>67.84</v>
      </c>
      <c r="AA1089">
        <v>2322.58</v>
      </c>
      <c r="AB1089">
        <v>1246.58</v>
      </c>
      <c r="AC1089">
        <v>202.5</v>
      </c>
      <c r="AD1089">
        <v>110</v>
      </c>
      <c r="AE1089">
        <v>161.4</v>
      </c>
      <c r="AF1089">
        <v>4043.06</v>
      </c>
      <c r="AG1089">
        <v>264.96</v>
      </c>
      <c r="AH1089">
        <v>3.88</v>
      </c>
    </row>
    <row r="1090" spans="1:34">
      <c r="A1090" t="s">
        <v>1464</v>
      </c>
      <c r="B1090" t="s">
        <v>260</v>
      </c>
      <c r="C1090" t="b">
        <v>0</v>
      </c>
      <c r="D1090" t="b">
        <v>0</v>
      </c>
      <c r="E1090" t="s">
        <v>80</v>
      </c>
      <c r="F1090" t="s">
        <v>82</v>
      </c>
      <c r="G1090" t="s">
        <v>81</v>
      </c>
      <c r="H1090">
        <v>17.4</v>
      </c>
      <c r="I1090">
        <v>27</v>
      </c>
      <c r="J1090">
        <v>265</v>
      </c>
      <c r="K1090">
        <v>7176.45</v>
      </c>
      <c r="L1090">
        <v>413.9</v>
      </c>
      <c r="M1090">
        <v>0</v>
      </c>
      <c r="N1090">
        <v>6762.55</v>
      </c>
      <c r="O1090">
        <v>2191.01</v>
      </c>
      <c r="P1090">
        <v>4571.54</v>
      </c>
      <c r="Q1090">
        <v>52.55</v>
      </c>
      <c r="R1090">
        <v>176.9</v>
      </c>
      <c r="S1090">
        <v>405</v>
      </c>
      <c r="T1090">
        <v>201</v>
      </c>
      <c r="U1090">
        <v>12</v>
      </c>
      <c r="V1090">
        <v>64</v>
      </c>
      <c r="W1090">
        <v>26</v>
      </c>
      <c r="X1090">
        <v>25.52</v>
      </c>
      <c r="Y1090">
        <v>1.53</v>
      </c>
      <c r="Z1090">
        <v>67.59999999999999</v>
      </c>
      <c r="AA1090">
        <v>2322.58</v>
      </c>
      <c r="AB1090">
        <v>1246.58</v>
      </c>
      <c r="AC1090">
        <v>204.88</v>
      </c>
      <c r="AD1090">
        <v>110</v>
      </c>
      <c r="AE1090">
        <v>188.82</v>
      </c>
      <c r="AF1090">
        <v>4072.86</v>
      </c>
      <c r="AG1090">
        <v>269.23</v>
      </c>
      <c r="AH1090">
        <v>3.98</v>
      </c>
    </row>
    <row r="1091" spans="1:34">
      <c r="A1091" t="s">
        <v>1465</v>
      </c>
      <c r="B1091" t="s">
        <v>261</v>
      </c>
      <c r="C1091" t="b">
        <v>0</v>
      </c>
      <c r="D1091" t="b">
        <v>0</v>
      </c>
      <c r="E1091" t="s">
        <v>80</v>
      </c>
      <c r="F1091" t="s">
        <v>82</v>
      </c>
      <c r="G1091" t="s">
        <v>1477</v>
      </c>
      <c r="H1091">
        <v>17</v>
      </c>
      <c r="I1091">
        <v>0</v>
      </c>
      <c r="J1091">
        <v>334</v>
      </c>
      <c r="K1091">
        <v>11611.13</v>
      </c>
      <c r="L1091">
        <v>347.81</v>
      </c>
      <c r="M1091">
        <v>0</v>
      </c>
      <c r="N1091">
        <v>11263.32</v>
      </c>
      <c r="O1091">
        <v>3511.82</v>
      </c>
      <c r="P1091">
        <v>7751.5</v>
      </c>
      <c r="Q1091">
        <v>87.31999999999999</v>
      </c>
      <c r="R1091">
        <v>355.87</v>
      </c>
      <c r="S1091">
        <v>664</v>
      </c>
      <c r="T1091">
        <v>246</v>
      </c>
      <c r="U1091">
        <v>13</v>
      </c>
      <c r="V1091">
        <v>88</v>
      </c>
      <c r="W1091">
        <v>44</v>
      </c>
      <c r="X1091">
        <v>33.72</v>
      </c>
      <c r="Y1091">
        <v>1.99</v>
      </c>
      <c r="Z1091">
        <v>68.81999999999999</v>
      </c>
      <c r="AA1091">
        <v>2322.58</v>
      </c>
      <c r="AB1091">
        <v>1246.58</v>
      </c>
      <c r="AC1091">
        <v>206.52</v>
      </c>
      <c r="AD1091">
        <v>110</v>
      </c>
      <c r="AE1091">
        <v>214.76</v>
      </c>
      <c r="AF1091">
        <v>4100.44</v>
      </c>
      <c r="AG1091">
        <v>3207.87</v>
      </c>
      <c r="AH1091">
        <v>28.48</v>
      </c>
    </row>
    <row r="1092" spans="1:34">
      <c r="A1092" t="s">
        <v>1466</v>
      </c>
      <c r="B1092" t="s">
        <v>262</v>
      </c>
      <c r="C1092" t="b">
        <v>1</v>
      </c>
      <c r="D1092" t="b">
        <v>0</v>
      </c>
      <c r="E1092" t="s">
        <v>80</v>
      </c>
      <c r="F1092" t="s">
        <v>82</v>
      </c>
      <c r="G1092" t="s">
        <v>1477</v>
      </c>
      <c r="H1092">
        <v>17.7</v>
      </c>
      <c r="I1092">
        <v>1</v>
      </c>
      <c r="J1092">
        <v>308</v>
      </c>
      <c r="K1092">
        <v>13293.91</v>
      </c>
      <c r="L1092">
        <v>389.55</v>
      </c>
      <c r="M1092">
        <v>14.78</v>
      </c>
      <c r="N1092">
        <v>12889.58</v>
      </c>
      <c r="O1092">
        <v>4073.75</v>
      </c>
      <c r="P1092">
        <v>8815.83</v>
      </c>
      <c r="Q1092">
        <v>109.53</v>
      </c>
      <c r="R1092">
        <v>498.49</v>
      </c>
      <c r="S1092">
        <v>755</v>
      </c>
      <c r="T1092">
        <v>240</v>
      </c>
      <c r="U1092">
        <v>13</v>
      </c>
      <c r="V1092">
        <v>68</v>
      </c>
      <c r="W1092">
        <v>48</v>
      </c>
      <c r="X1092">
        <v>41.85</v>
      </c>
      <c r="Y1092">
        <v>2.45</v>
      </c>
      <c r="Z1092">
        <v>68.40000000000001</v>
      </c>
      <c r="AA1092">
        <v>2322.58</v>
      </c>
      <c r="AB1092">
        <v>1246.58</v>
      </c>
      <c r="AC1092">
        <v>226.15</v>
      </c>
      <c r="AD1092">
        <v>110</v>
      </c>
      <c r="AE1092">
        <v>168.08</v>
      </c>
      <c r="AF1092">
        <v>4073.39</v>
      </c>
      <c r="AG1092">
        <v>4134.42</v>
      </c>
      <c r="AH1092">
        <v>32.08</v>
      </c>
    </row>
    <row r="1093" spans="1:34">
      <c r="A1093" t="s">
        <v>1467</v>
      </c>
      <c r="B1093" t="s">
        <v>263</v>
      </c>
      <c r="C1093" t="b">
        <v>1</v>
      </c>
      <c r="D1093" t="b">
        <v>0</v>
      </c>
      <c r="E1093" t="s">
        <v>80</v>
      </c>
      <c r="F1093" t="s">
        <v>82</v>
      </c>
      <c r="G1093" t="s">
        <v>1477</v>
      </c>
      <c r="H1093">
        <v>18.5</v>
      </c>
      <c r="I1093">
        <v>2</v>
      </c>
      <c r="J1093">
        <v>274</v>
      </c>
      <c r="K1093">
        <v>10400.81</v>
      </c>
      <c r="L1093">
        <v>437.37</v>
      </c>
      <c r="M1093">
        <v>0</v>
      </c>
      <c r="N1093">
        <v>9963.440000000001</v>
      </c>
      <c r="O1093">
        <v>3189.95</v>
      </c>
      <c r="P1093">
        <v>6773.49</v>
      </c>
      <c r="Q1093">
        <v>86.2</v>
      </c>
      <c r="R1093">
        <v>243.53</v>
      </c>
      <c r="S1093">
        <v>592</v>
      </c>
      <c r="T1093">
        <v>201</v>
      </c>
      <c r="U1093">
        <v>16</v>
      </c>
      <c r="V1093">
        <v>73</v>
      </c>
      <c r="W1093">
        <v>31</v>
      </c>
      <c r="X1093">
        <v>36.36</v>
      </c>
      <c r="Y1093">
        <v>2.16</v>
      </c>
      <c r="Z1093">
        <v>67.98</v>
      </c>
      <c r="AA1093">
        <v>2322.58</v>
      </c>
      <c r="AB1093">
        <v>1246.58</v>
      </c>
      <c r="AC1093">
        <v>215.78</v>
      </c>
      <c r="AD1093">
        <v>110</v>
      </c>
      <c r="AE1093">
        <v>181.5</v>
      </c>
      <c r="AF1093">
        <v>4076.44</v>
      </c>
      <c r="AG1093">
        <v>2367.32</v>
      </c>
      <c r="AH1093">
        <v>23.76</v>
      </c>
    </row>
    <row r="1094" spans="1:34">
      <c r="A1094" t="s">
        <v>521</v>
      </c>
      <c r="B1094" t="s">
        <v>75</v>
      </c>
      <c r="C1094" t="b">
        <v>0</v>
      </c>
      <c r="D1094" t="b">
        <v>0</v>
      </c>
      <c r="E1094" t="s">
        <v>80</v>
      </c>
      <c r="F1094" t="s">
        <v>82</v>
      </c>
      <c r="G1094" t="s">
        <v>1477</v>
      </c>
      <c r="H1094">
        <v>17.9</v>
      </c>
      <c r="I1094">
        <v>3</v>
      </c>
      <c r="J1094">
        <v>305</v>
      </c>
      <c r="K1094">
        <v>8966.82</v>
      </c>
      <c r="L1094">
        <v>359.12</v>
      </c>
      <c r="M1094">
        <v>2.61</v>
      </c>
      <c r="N1094">
        <v>8605.09</v>
      </c>
      <c r="O1094">
        <v>2717.26</v>
      </c>
      <c r="P1094">
        <v>5887.83</v>
      </c>
      <c r="Q1094">
        <v>71.70999999999999</v>
      </c>
      <c r="R1094">
        <v>248.53</v>
      </c>
      <c r="S1094">
        <v>534</v>
      </c>
      <c r="T1094">
        <v>234</v>
      </c>
      <c r="U1094">
        <v>8</v>
      </c>
      <c r="V1094">
        <v>71</v>
      </c>
      <c r="W1094">
        <v>31</v>
      </c>
      <c r="X1094">
        <v>28.21</v>
      </c>
      <c r="Y1094">
        <v>1.75</v>
      </c>
      <c r="Z1094">
        <v>68.42</v>
      </c>
      <c r="AA1094">
        <v>2322.58</v>
      </c>
      <c r="AB1094">
        <v>1246.58</v>
      </c>
      <c r="AC1094">
        <v>214.17</v>
      </c>
      <c r="AD1094">
        <v>110</v>
      </c>
      <c r="AE1094">
        <v>161.11</v>
      </c>
      <c r="AF1094">
        <v>4054.44</v>
      </c>
      <c r="AG1094">
        <v>1513.15</v>
      </c>
      <c r="AH1094">
        <v>17.58</v>
      </c>
    </row>
    <row r="1095" spans="1:34">
      <c r="A1095" t="s">
        <v>1468</v>
      </c>
      <c r="B1095" t="s">
        <v>258</v>
      </c>
      <c r="C1095" t="b">
        <v>0</v>
      </c>
      <c r="D1095" t="b">
        <v>0</v>
      </c>
      <c r="E1095" t="s">
        <v>80</v>
      </c>
      <c r="F1095" t="s">
        <v>82</v>
      </c>
      <c r="G1095" t="s">
        <v>1477</v>
      </c>
      <c r="H1095">
        <v>16.1</v>
      </c>
      <c r="I1095">
        <v>4</v>
      </c>
      <c r="J1095">
        <v>238</v>
      </c>
      <c r="K1095">
        <v>7455.63</v>
      </c>
      <c r="L1095">
        <v>258.27</v>
      </c>
      <c r="M1095">
        <v>16.52</v>
      </c>
      <c r="N1095">
        <v>7180.84</v>
      </c>
      <c r="O1095">
        <v>2317.56</v>
      </c>
      <c r="P1095">
        <v>4863.28</v>
      </c>
      <c r="Q1095">
        <v>60.45</v>
      </c>
      <c r="R1095">
        <v>219.7</v>
      </c>
      <c r="S1095">
        <v>434</v>
      </c>
      <c r="T1095">
        <v>187</v>
      </c>
      <c r="U1095">
        <v>10</v>
      </c>
      <c r="V1095">
        <v>51</v>
      </c>
      <c r="W1095">
        <v>28</v>
      </c>
      <c r="X1095">
        <v>30.17</v>
      </c>
      <c r="Y1095">
        <v>1.82</v>
      </c>
      <c r="Z1095">
        <v>67.73</v>
      </c>
      <c r="AA1095">
        <v>2322.58</v>
      </c>
      <c r="AB1095">
        <v>1246.58</v>
      </c>
      <c r="AC1095">
        <v>223.37</v>
      </c>
      <c r="AD1095">
        <v>110</v>
      </c>
      <c r="AE1095">
        <v>227.13</v>
      </c>
      <c r="AF1095">
        <v>4129.66</v>
      </c>
      <c r="AG1095">
        <v>453.47</v>
      </c>
      <c r="AH1095">
        <v>6.31</v>
      </c>
    </row>
    <row r="1096" spans="1:34">
      <c r="A1096" t="s">
        <v>1469</v>
      </c>
      <c r="B1096" t="s">
        <v>259</v>
      </c>
      <c r="C1096" t="b">
        <v>0</v>
      </c>
      <c r="D1096" t="b">
        <v>0</v>
      </c>
      <c r="E1096" t="s">
        <v>80</v>
      </c>
      <c r="F1096" t="s">
        <v>82</v>
      </c>
      <c r="G1096" t="s">
        <v>81</v>
      </c>
      <c r="H1096">
        <v>13.9</v>
      </c>
      <c r="I1096">
        <v>5</v>
      </c>
      <c r="J1096">
        <v>231</v>
      </c>
      <c r="K1096">
        <v>6809.43</v>
      </c>
      <c r="L1096">
        <v>251.3</v>
      </c>
      <c r="M1096">
        <v>20</v>
      </c>
      <c r="N1096">
        <v>6538.13</v>
      </c>
      <c r="O1096">
        <v>2032.03</v>
      </c>
      <c r="P1096">
        <v>4506.1</v>
      </c>
      <c r="Q1096">
        <v>48.45</v>
      </c>
      <c r="R1096">
        <v>277.07</v>
      </c>
      <c r="S1096">
        <v>391</v>
      </c>
      <c r="T1096">
        <v>180</v>
      </c>
      <c r="U1096">
        <v>15</v>
      </c>
      <c r="V1096">
        <v>51</v>
      </c>
      <c r="W1096">
        <v>31</v>
      </c>
      <c r="X1096">
        <v>28.3</v>
      </c>
      <c r="Y1096">
        <v>1.69</v>
      </c>
      <c r="Z1096">
        <v>68.92</v>
      </c>
      <c r="AA1096">
        <v>2322.58</v>
      </c>
      <c r="AB1096">
        <v>1246.58</v>
      </c>
      <c r="AC1096">
        <v>210.58</v>
      </c>
      <c r="AD1096">
        <v>110</v>
      </c>
      <c r="AE1096">
        <v>233.96</v>
      </c>
      <c r="AF1096">
        <v>4123.7</v>
      </c>
      <c r="AG1096">
        <v>56.88</v>
      </c>
      <c r="AH1096">
        <v>0.87</v>
      </c>
    </row>
    <row r="1097" spans="1:34">
      <c r="A1097" t="s">
        <v>1470</v>
      </c>
      <c r="B1097" t="s">
        <v>260</v>
      </c>
      <c r="C1097" t="b">
        <v>0</v>
      </c>
      <c r="D1097" t="b">
        <v>0</v>
      </c>
      <c r="E1097" t="s">
        <v>80</v>
      </c>
      <c r="F1097" t="s">
        <v>82</v>
      </c>
      <c r="G1097" t="s">
        <v>81</v>
      </c>
      <c r="H1097">
        <v>14</v>
      </c>
      <c r="I1097">
        <v>6</v>
      </c>
      <c r="J1097">
        <v>283</v>
      </c>
      <c r="K1097">
        <v>8749.57</v>
      </c>
      <c r="L1097">
        <v>449.54</v>
      </c>
      <c r="M1097">
        <v>13.91</v>
      </c>
      <c r="N1097">
        <v>8286.120000000001</v>
      </c>
      <c r="O1097">
        <v>2732.06</v>
      </c>
      <c r="P1097">
        <v>5554.06</v>
      </c>
      <c r="Q1097">
        <v>66.67</v>
      </c>
      <c r="R1097">
        <v>272.21</v>
      </c>
      <c r="S1097">
        <v>500</v>
      </c>
      <c r="T1097">
        <v>222</v>
      </c>
      <c r="U1097">
        <v>8</v>
      </c>
      <c r="V1097">
        <v>61</v>
      </c>
      <c r="W1097">
        <v>33</v>
      </c>
      <c r="X1097">
        <v>29.28</v>
      </c>
      <c r="Y1097">
        <v>1.77</v>
      </c>
      <c r="Z1097">
        <v>67.03</v>
      </c>
      <c r="AA1097">
        <v>2322.58</v>
      </c>
      <c r="AB1097">
        <v>1246.58</v>
      </c>
      <c r="AC1097">
        <v>208.4</v>
      </c>
      <c r="AD1097">
        <v>110</v>
      </c>
      <c r="AE1097">
        <v>186.46</v>
      </c>
      <c r="AF1097">
        <v>4074.02</v>
      </c>
      <c r="AG1097">
        <v>1141.16</v>
      </c>
      <c r="AH1097">
        <v>13.77</v>
      </c>
    </row>
  </sheetData>
  <autoFilter ref="A1:AH109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7.7109375" customWidth="1"/>
    <col min="4" max="5" width="10.7109375" customWidth="1"/>
    <col min="6" max="6" width="11.7109375" customWidth="1"/>
    <col min="7" max="7" width="10.7109375" customWidth="1"/>
    <col min="8" max="10" width="11.7109375" customWidth="1"/>
    <col min="11" max="12" width="10.7109375" customWidth="1"/>
    <col min="13" max="13" width="11.7109375" customWidth="1"/>
    <col min="14" max="14" width="10.7109375" customWidth="1"/>
    <col min="15" max="15" width="12.7109375" customWidth="1"/>
    <col min="16" max="17" width="14.7109375" customWidth="1"/>
    <col min="18" max="18" width="11.7109375" customWidth="1"/>
    <col min="19" max="22" width="13.7109375" customWidth="1"/>
    <col min="23" max="23" width="11.7109375" customWidth="1"/>
    <col min="24" max="26" width="10.7109375" customWidth="1"/>
    <col min="27" max="27" width="43.7109375" customWidth="1"/>
  </cols>
  <sheetData>
    <row r="1" spans="1:27">
      <c r="A1" s="1" t="s">
        <v>48</v>
      </c>
      <c r="B1" s="1" t="s">
        <v>49</v>
      </c>
      <c r="C1" s="1" t="s">
        <v>50</v>
      </c>
      <c r="D1" s="1" t="s">
        <v>1512</v>
      </c>
      <c r="E1" s="1" t="s">
        <v>1513</v>
      </c>
      <c r="F1" s="1" t="s">
        <v>53</v>
      </c>
      <c r="G1" s="1" t="s">
        <v>54</v>
      </c>
      <c r="H1" s="1" t="s">
        <v>57</v>
      </c>
      <c r="I1" s="1" t="s">
        <v>59</v>
      </c>
      <c r="J1" s="1" t="s">
        <v>60</v>
      </c>
      <c r="K1" s="1" t="s">
        <v>1514</v>
      </c>
      <c r="L1" s="1" t="s">
        <v>1515</v>
      </c>
      <c r="M1" s="1" t="s">
        <v>350</v>
      </c>
      <c r="N1" s="1" t="s">
        <v>1516</v>
      </c>
      <c r="O1" s="1" t="s">
        <v>1517</v>
      </c>
      <c r="P1" s="1" t="s">
        <v>1518</v>
      </c>
      <c r="Q1" s="1" t="s">
        <v>1519</v>
      </c>
      <c r="R1" s="1" t="s">
        <v>1520</v>
      </c>
      <c r="S1" s="1" t="s">
        <v>1521</v>
      </c>
      <c r="T1" s="1" t="s">
        <v>1522</v>
      </c>
      <c r="U1" s="1" t="s">
        <v>1523</v>
      </c>
      <c r="V1" s="1" t="s">
        <v>1524</v>
      </c>
      <c r="W1" s="1" t="s">
        <v>1525</v>
      </c>
      <c r="X1" s="1" t="s">
        <v>1526</v>
      </c>
      <c r="Y1" s="1" t="s">
        <v>1527</v>
      </c>
      <c r="Z1" s="1" t="s">
        <v>1528</v>
      </c>
      <c r="AA1" s="1" t="s">
        <v>1529</v>
      </c>
    </row>
    <row r="2" spans="1:27">
      <c r="A2" t="s">
        <v>1530</v>
      </c>
      <c r="B2" t="s">
        <v>1569</v>
      </c>
      <c r="C2" t="s">
        <v>1608</v>
      </c>
      <c r="D2">
        <v>56046</v>
      </c>
      <c r="E2">
        <v>50580</v>
      </c>
      <c r="F2">
        <v>1104207.3</v>
      </c>
      <c r="G2">
        <v>43704.36</v>
      </c>
      <c r="H2">
        <v>1057480.58</v>
      </c>
      <c r="I2">
        <v>324504.66</v>
      </c>
      <c r="J2">
        <v>732975.92</v>
      </c>
      <c r="K2">
        <v>1096</v>
      </c>
      <c r="L2">
        <v>18.87</v>
      </c>
      <c r="M2">
        <v>69.31</v>
      </c>
      <c r="N2">
        <v>11.07</v>
      </c>
      <c r="O2">
        <v>12.62</v>
      </c>
      <c r="P2">
        <v>12.56</v>
      </c>
      <c r="Q2">
        <v>51.14</v>
      </c>
      <c r="R2">
        <v>1</v>
      </c>
      <c r="S2">
        <v>0.52</v>
      </c>
      <c r="T2">
        <v>1.16</v>
      </c>
      <c r="U2">
        <v>1.2</v>
      </c>
      <c r="V2">
        <v>1.11</v>
      </c>
      <c r="W2" t="s">
        <v>267</v>
      </c>
      <c r="X2">
        <v>17572</v>
      </c>
      <c r="Y2">
        <v>18849</v>
      </c>
      <c r="Z2">
        <v>19625</v>
      </c>
      <c r="AA2" t="s">
        <v>1616</v>
      </c>
    </row>
    <row r="3" spans="1:27">
      <c r="A3" t="s">
        <v>1531</v>
      </c>
      <c r="B3" t="s">
        <v>1570</v>
      </c>
      <c r="C3" t="s">
        <v>87</v>
      </c>
      <c r="D3">
        <v>44914</v>
      </c>
      <c r="E3">
        <v>41251</v>
      </c>
      <c r="F3">
        <v>843597.89</v>
      </c>
      <c r="G3">
        <v>37880.1</v>
      </c>
      <c r="H3">
        <v>803220.4</v>
      </c>
      <c r="I3">
        <v>238636.68</v>
      </c>
      <c r="J3">
        <v>564583.72</v>
      </c>
      <c r="K3">
        <v>1096</v>
      </c>
      <c r="L3">
        <v>17.88</v>
      </c>
      <c r="M3">
        <v>70.29000000000001</v>
      </c>
      <c r="N3">
        <v>8.869999999999999</v>
      </c>
      <c r="O3">
        <v>9.58</v>
      </c>
      <c r="P3">
        <v>9.67</v>
      </c>
      <c r="Q3">
        <v>40.98</v>
      </c>
      <c r="R3">
        <v>2</v>
      </c>
      <c r="S3">
        <v>1.52</v>
      </c>
      <c r="T3">
        <v>1.08</v>
      </c>
      <c r="U3">
        <v>0.37</v>
      </c>
      <c r="V3">
        <v>1.02</v>
      </c>
      <c r="W3" t="s">
        <v>265</v>
      </c>
      <c r="X3">
        <v>14114</v>
      </c>
      <c r="Y3">
        <v>14891</v>
      </c>
      <c r="Z3">
        <v>15909</v>
      </c>
      <c r="AA3" t="s">
        <v>1616</v>
      </c>
    </row>
    <row r="4" spans="1:27">
      <c r="A4" t="s">
        <v>1532</v>
      </c>
      <c r="B4" t="s">
        <v>1571</v>
      </c>
      <c r="C4" t="s">
        <v>1608</v>
      </c>
      <c r="D4">
        <v>35098</v>
      </c>
      <c r="E4">
        <v>33393</v>
      </c>
      <c r="F4">
        <v>630611.3</v>
      </c>
      <c r="G4">
        <v>37205.29</v>
      </c>
      <c r="H4">
        <v>591721.23</v>
      </c>
      <c r="I4">
        <v>149728.32</v>
      </c>
      <c r="J4">
        <v>441992.91</v>
      </c>
      <c r="K4">
        <v>1096</v>
      </c>
      <c r="L4">
        <v>16.86</v>
      </c>
      <c r="M4">
        <v>74.7</v>
      </c>
      <c r="N4">
        <v>6.93</v>
      </c>
      <c r="O4">
        <v>7.06</v>
      </c>
      <c r="P4">
        <v>7.57</v>
      </c>
      <c r="Q4">
        <v>32.02</v>
      </c>
      <c r="R4">
        <v>3</v>
      </c>
      <c r="S4">
        <v>0.5600000000000001</v>
      </c>
      <c r="T4">
        <v>1.1</v>
      </c>
      <c r="U4">
        <v>1.19</v>
      </c>
      <c r="V4">
        <v>1.15</v>
      </c>
      <c r="W4" t="s">
        <v>271</v>
      </c>
      <c r="X4">
        <v>10738</v>
      </c>
      <c r="Y4">
        <v>11893</v>
      </c>
      <c r="Z4">
        <v>12467</v>
      </c>
      <c r="AA4" t="s">
        <v>1616</v>
      </c>
    </row>
    <row r="5" spans="1:27">
      <c r="A5" t="s">
        <v>1533</v>
      </c>
      <c r="B5" t="s">
        <v>1572</v>
      </c>
      <c r="C5" t="s">
        <v>1608</v>
      </c>
      <c r="D5">
        <v>27246</v>
      </c>
      <c r="E5">
        <v>25965</v>
      </c>
      <c r="F5">
        <v>381904.62</v>
      </c>
      <c r="G5">
        <v>26142.78</v>
      </c>
      <c r="H5">
        <v>354699.99</v>
      </c>
      <c r="I5">
        <v>65923.75</v>
      </c>
      <c r="J5">
        <v>288776.24</v>
      </c>
      <c r="K5">
        <v>1096</v>
      </c>
      <c r="L5">
        <v>13.02</v>
      </c>
      <c r="M5">
        <v>81.41</v>
      </c>
      <c r="N5">
        <v>5.38</v>
      </c>
      <c r="O5">
        <v>4.23</v>
      </c>
      <c r="P5">
        <v>4.95</v>
      </c>
      <c r="Q5">
        <v>24.86</v>
      </c>
      <c r="R5">
        <v>4</v>
      </c>
      <c r="S5">
        <v>0.53</v>
      </c>
      <c r="T5">
        <v>1.11</v>
      </c>
      <c r="U5">
        <v>1.21</v>
      </c>
      <c r="V5">
        <v>1.15</v>
      </c>
      <c r="W5" t="s">
        <v>267</v>
      </c>
      <c r="X5">
        <v>7994</v>
      </c>
      <c r="Y5">
        <v>9229</v>
      </c>
      <c r="Z5">
        <v>10023</v>
      </c>
      <c r="AA5" t="s">
        <v>1616</v>
      </c>
    </row>
    <row r="6" spans="1:27">
      <c r="A6" t="s">
        <v>1534</v>
      </c>
      <c r="B6" t="s">
        <v>1573</v>
      </c>
      <c r="C6" t="s">
        <v>1609</v>
      </c>
      <c r="D6">
        <v>17538</v>
      </c>
      <c r="E6">
        <v>16890</v>
      </c>
      <c r="F6">
        <v>366018.06</v>
      </c>
      <c r="G6">
        <v>13942.08</v>
      </c>
      <c r="H6">
        <v>350980.3</v>
      </c>
      <c r="I6">
        <v>116876.92</v>
      </c>
      <c r="J6">
        <v>234103.38</v>
      </c>
      <c r="K6">
        <v>1095</v>
      </c>
      <c r="L6">
        <v>20.01</v>
      </c>
      <c r="M6">
        <v>66.7</v>
      </c>
      <c r="N6">
        <v>3.46</v>
      </c>
      <c r="O6">
        <v>4.19</v>
      </c>
      <c r="P6">
        <v>4.01</v>
      </c>
      <c r="Q6">
        <v>16.02</v>
      </c>
      <c r="R6">
        <v>5</v>
      </c>
      <c r="S6">
        <v>0.53</v>
      </c>
      <c r="T6">
        <v>1.13</v>
      </c>
      <c r="U6">
        <v>1.16</v>
      </c>
      <c r="V6">
        <v>1.18</v>
      </c>
      <c r="W6" t="s">
        <v>271</v>
      </c>
      <c r="X6">
        <v>5344</v>
      </c>
      <c r="Y6">
        <v>5881</v>
      </c>
      <c r="Z6">
        <v>6313</v>
      </c>
      <c r="AA6" t="s">
        <v>1617</v>
      </c>
    </row>
    <row r="7" spans="1:27">
      <c r="A7" t="s">
        <v>1535</v>
      </c>
      <c r="B7" t="s">
        <v>1574</v>
      </c>
      <c r="C7" t="s">
        <v>1608</v>
      </c>
      <c r="D7">
        <v>18771</v>
      </c>
      <c r="E7">
        <v>18014</v>
      </c>
      <c r="F7">
        <v>359996.64</v>
      </c>
      <c r="G7">
        <v>16103.16</v>
      </c>
      <c r="H7">
        <v>343092.58</v>
      </c>
      <c r="I7">
        <v>59412.85</v>
      </c>
      <c r="J7">
        <v>283679.73</v>
      </c>
      <c r="K7">
        <v>1096</v>
      </c>
      <c r="L7">
        <v>18.28</v>
      </c>
      <c r="M7">
        <v>82.68000000000001</v>
      </c>
      <c r="N7">
        <v>3.71</v>
      </c>
      <c r="O7">
        <v>4.09</v>
      </c>
      <c r="P7">
        <v>4.86</v>
      </c>
      <c r="Q7">
        <v>17.13</v>
      </c>
      <c r="R7">
        <v>6</v>
      </c>
      <c r="S7">
        <v>0.53</v>
      </c>
      <c r="T7">
        <v>1.11</v>
      </c>
      <c r="U7">
        <v>1.23</v>
      </c>
      <c r="V7">
        <v>1.13</v>
      </c>
      <c r="W7" t="s">
        <v>267</v>
      </c>
      <c r="X7">
        <v>5919</v>
      </c>
      <c r="Y7">
        <v>6313</v>
      </c>
      <c r="Z7">
        <v>6539</v>
      </c>
      <c r="AA7" t="s">
        <v>1616</v>
      </c>
    </row>
    <row r="8" spans="1:27">
      <c r="A8" t="s">
        <v>1536</v>
      </c>
      <c r="B8" t="s">
        <v>1575</v>
      </c>
      <c r="C8" t="s">
        <v>87</v>
      </c>
      <c r="D8">
        <v>20951</v>
      </c>
      <c r="E8">
        <v>20062</v>
      </c>
      <c r="F8">
        <v>357146.47</v>
      </c>
      <c r="G8">
        <v>19350.68</v>
      </c>
      <c r="H8">
        <v>336839.35</v>
      </c>
      <c r="I8">
        <v>81908.39</v>
      </c>
      <c r="J8">
        <v>254930.96</v>
      </c>
      <c r="K8">
        <v>1096</v>
      </c>
      <c r="L8">
        <v>16.08</v>
      </c>
      <c r="M8">
        <v>75.68000000000001</v>
      </c>
      <c r="N8">
        <v>4.14</v>
      </c>
      <c r="O8">
        <v>4.02</v>
      </c>
      <c r="P8">
        <v>4.37</v>
      </c>
      <c r="Q8">
        <v>19.12</v>
      </c>
      <c r="R8">
        <v>7</v>
      </c>
      <c r="S8">
        <v>1.53</v>
      </c>
      <c r="T8">
        <v>1.04</v>
      </c>
      <c r="U8">
        <v>0.39</v>
      </c>
      <c r="V8">
        <v>1.04</v>
      </c>
      <c r="W8" t="s">
        <v>274</v>
      </c>
      <c r="X8">
        <v>6510</v>
      </c>
      <c r="Y8">
        <v>7014</v>
      </c>
      <c r="Z8">
        <v>7427</v>
      </c>
      <c r="AA8" t="s">
        <v>1616</v>
      </c>
    </row>
    <row r="9" spans="1:27">
      <c r="A9" t="s">
        <v>1537</v>
      </c>
      <c r="B9" t="s">
        <v>1576</v>
      </c>
      <c r="C9" t="s">
        <v>1610</v>
      </c>
      <c r="D9">
        <v>11955</v>
      </c>
      <c r="E9">
        <v>11422</v>
      </c>
      <c r="F9">
        <v>308698.26</v>
      </c>
      <c r="G9">
        <v>5784.34</v>
      </c>
      <c r="H9">
        <v>301909.1</v>
      </c>
      <c r="I9">
        <v>128586.66</v>
      </c>
      <c r="J9">
        <v>173322.44</v>
      </c>
      <c r="K9">
        <v>1095</v>
      </c>
      <c r="L9">
        <v>25.25</v>
      </c>
      <c r="M9">
        <v>57.41</v>
      </c>
      <c r="N9">
        <v>2.36</v>
      </c>
      <c r="O9">
        <v>3.6</v>
      </c>
      <c r="P9">
        <v>2.97</v>
      </c>
      <c r="Q9">
        <v>10.92</v>
      </c>
      <c r="R9">
        <v>8</v>
      </c>
      <c r="S9">
        <v>0.99</v>
      </c>
      <c r="T9">
        <v>1.19</v>
      </c>
      <c r="U9">
        <v>0.76</v>
      </c>
      <c r="V9">
        <v>1.06</v>
      </c>
      <c r="W9" t="s">
        <v>265</v>
      </c>
      <c r="X9">
        <v>3651</v>
      </c>
      <c r="Y9">
        <v>3989</v>
      </c>
      <c r="Z9">
        <v>4315</v>
      </c>
      <c r="AA9" t="s">
        <v>1617</v>
      </c>
    </row>
    <row r="10" spans="1:27">
      <c r="A10" t="s">
        <v>1538</v>
      </c>
      <c r="B10" t="s">
        <v>1577</v>
      </c>
      <c r="C10" t="s">
        <v>87</v>
      </c>
      <c r="D10">
        <v>22460</v>
      </c>
      <c r="E10">
        <v>21709</v>
      </c>
      <c r="F10">
        <v>295674.58</v>
      </c>
      <c r="G10">
        <v>20658.9</v>
      </c>
      <c r="H10">
        <v>274236.55</v>
      </c>
      <c r="I10">
        <v>49171</v>
      </c>
      <c r="J10">
        <v>225065.55</v>
      </c>
      <c r="K10">
        <v>1096</v>
      </c>
      <c r="L10">
        <v>12.21</v>
      </c>
      <c r="M10">
        <v>82.06999999999999</v>
      </c>
      <c r="N10">
        <v>4.44</v>
      </c>
      <c r="O10">
        <v>3.27</v>
      </c>
      <c r="P10">
        <v>3.86</v>
      </c>
      <c r="Q10">
        <v>20.49</v>
      </c>
      <c r="R10">
        <v>9</v>
      </c>
      <c r="S10">
        <v>1.56</v>
      </c>
      <c r="T10">
        <v>0.98</v>
      </c>
      <c r="U10">
        <v>0.4</v>
      </c>
      <c r="V10">
        <v>1.06</v>
      </c>
      <c r="W10" t="s">
        <v>274</v>
      </c>
      <c r="X10">
        <v>6605</v>
      </c>
      <c r="Y10">
        <v>7630</v>
      </c>
      <c r="Z10">
        <v>8225</v>
      </c>
      <c r="AA10" t="s">
        <v>1616</v>
      </c>
    </row>
    <row r="11" spans="1:27">
      <c r="A11" t="s">
        <v>1539</v>
      </c>
      <c r="B11" t="s">
        <v>1578</v>
      </c>
      <c r="C11" t="s">
        <v>1611</v>
      </c>
      <c r="D11">
        <v>9560</v>
      </c>
      <c r="E11">
        <v>9103</v>
      </c>
      <c r="F11">
        <v>232786</v>
      </c>
      <c r="G11">
        <v>6603.27</v>
      </c>
      <c r="H11">
        <v>225768.78</v>
      </c>
      <c r="I11">
        <v>47800</v>
      </c>
      <c r="J11">
        <v>177968.78</v>
      </c>
      <c r="K11">
        <v>1073</v>
      </c>
      <c r="L11">
        <v>23.62</v>
      </c>
      <c r="M11">
        <v>78.83</v>
      </c>
      <c r="N11">
        <v>1.89</v>
      </c>
      <c r="O11">
        <v>2.69</v>
      </c>
      <c r="P11">
        <v>3.05</v>
      </c>
      <c r="Q11">
        <v>8.91</v>
      </c>
      <c r="R11">
        <v>10</v>
      </c>
      <c r="S11">
        <v>1.17</v>
      </c>
      <c r="T11">
        <v>1.56</v>
      </c>
      <c r="U11">
        <v>0.41</v>
      </c>
      <c r="V11">
        <v>0.86</v>
      </c>
      <c r="W11" t="s">
        <v>265</v>
      </c>
      <c r="X11">
        <v>2744</v>
      </c>
      <c r="Y11">
        <v>3224</v>
      </c>
      <c r="Z11">
        <v>3592</v>
      </c>
      <c r="AA11" t="s">
        <v>1618</v>
      </c>
    </row>
    <row r="12" spans="1:27">
      <c r="A12" t="s">
        <v>1540</v>
      </c>
      <c r="B12" t="s">
        <v>1579</v>
      </c>
      <c r="C12" t="s">
        <v>1608</v>
      </c>
      <c r="D12">
        <v>11286</v>
      </c>
      <c r="E12">
        <v>10904</v>
      </c>
      <c r="F12">
        <v>232186.71</v>
      </c>
      <c r="G12">
        <v>9164.93</v>
      </c>
      <c r="H12">
        <v>222367.68</v>
      </c>
      <c r="I12">
        <v>66694.67999999999</v>
      </c>
      <c r="J12">
        <v>155673</v>
      </c>
      <c r="K12">
        <v>1095</v>
      </c>
      <c r="L12">
        <v>19.7</v>
      </c>
      <c r="M12">
        <v>70.01000000000001</v>
      </c>
      <c r="N12">
        <v>2.23</v>
      </c>
      <c r="O12">
        <v>2.65</v>
      </c>
      <c r="P12">
        <v>2.67</v>
      </c>
      <c r="Q12">
        <v>10.31</v>
      </c>
      <c r="R12">
        <v>11</v>
      </c>
      <c r="S12">
        <v>0.5600000000000001</v>
      </c>
      <c r="T12">
        <v>1.11</v>
      </c>
      <c r="U12">
        <v>1.18</v>
      </c>
      <c r="V12">
        <v>1.15</v>
      </c>
      <c r="W12" t="s">
        <v>267</v>
      </c>
      <c r="X12">
        <v>3484</v>
      </c>
      <c r="Y12">
        <v>3711</v>
      </c>
      <c r="Z12">
        <v>4091</v>
      </c>
      <c r="AA12" t="s">
        <v>1618</v>
      </c>
    </row>
    <row r="13" spans="1:27">
      <c r="A13" t="s">
        <v>1541</v>
      </c>
      <c r="B13" t="s">
        <v>1580</v>
      </c>
      <c r="C13" t="s">
        <v>1610</v>
      </c>
      <c r="D13">
        <v>9425</v>
      </c>
      <c r="E13">
        <v>9125</v>
      </c>
      <c r="F13">
        <v>221299</v>
      </c>
      <c r="G13">
        <v>4375.34</v>
      </c>
      <c r="H13">
        <v>216280.32</v>
      </c>
      <c r="I13">
        <v>94664.08</v>
      </c>
      <c r="J13">
        <v>121616.24</v>
      </c>
      <c r="K13">
        <v>1094</v>
      </c>
      <c r="L13">
        <v>22.95</v>
      </c>
      <c r="M13">
        <v>56.23</v>
      </c>
      <c r="N13">
        <v>1.86</v>
      </c>
      <c r="O13">
        <v>2.58</v>
      </c>
      <c r="P13">
        <v>2.08</v>
      </c>
      <c r="Q13">
        <v>8.619999999999999</v>
      </c>
      <c r="R13">
        <v>12</v>
      </c>
      <c r="S13">
        <v>0.99</v>
      </c>
      <c r="T13">
        <v>1.16</v>
      </c>
      <c r="U13">
        <v>0.77</v>
      </c>
      <c r="V13">
        <v>1.08</v>
      </c>
      <c r="W13" t="s">
        <v>265</v>
      </c>
      <c r="X13">
        <v>2838</v>
      </c>
      <c r="Y13">
        <v>3117</v>
      </c>
      <c r="Z13">
        <v>3470</v>
      </c>
      <c r="AA13" t="s">
        <v>1619</v>
      </c>
    </row>
    <row r="14" spans="1:27">
      <c r="A14" t="s">
        <v>1542</v>
      </c>
      <c r="B14" t="s">
        <v>1581</v>
      </c>
      <c r="C14" t="s">
        <v>87</v>
      </c>
      <c r="D14">
        <v>11231</v>
      </c>
      <c r="E14">
        <v>10866</v>
      </c>
      <c r="F14">
        <v>220713.7</v>
      </c>
      <c r="G14">
        <v>9795.370000000001</v>
      </c>
      <c r="H14">
        <v>210216.99</v>
      </c>
      <c r="I14">
        <v>60913.85</v>
      </c>
      <c r="J14">
        <v>149303.14</v>
      </c>
      <c r="K14">
        <v>1091</v>
      </c>
      <c r="L14">
        <v>18.72</v>
      </c>
      <c r="M14">
        <v>71.02</v>
      </c>
      <c r="N14">
        <v>2.22</v>
      </c>
      <c r="O14">
        <v>2.51</v>
      </c>
      <c r="P14">
        <v>2.56</v>
      </c>
      <c r="Q14">
        <v>10.29</v>
      </c>
      <c r="R14">
        <v>13</v>
      </c>
      <c r="S14">
        <v>1.56</v>
      </c>
      <c r="T14">
        <v>1.05</v>
      </c>
      <c r="U14">
        <v>0.37</v>
      </c>
      <c r="V14">
        <v>1.02</v>
      </c>
      <c r="W14" t="s">
        <v>274</v>
      </c>
      <c r="X14">
        <v>3480</v>
      </c>
      <c r="Y14">
        <v>3866</v>
      </c>
      <c r="Z14">
        <v>3885</v>
      </c>
      <c r="AA14" t="s">
        <v>1618</v>
      </c>
    </row>
    <row r="15" spans="1:27">
      <c r="A15" t="s">
        <v>85</v>
      </c>
      <c r="B15" t="s">
        <v>86</v>
      </c>
      <c r="C15" t="s">
        <v>87</v>
      </c>
      <c r="D15">
        <v>13024</v>
      </c>
      <c r="E15">
        <v>12677</v>
      </c>
      <c r="F15">
        <v>221872.01</v>
      </c>
      <c r="G15">
        <v>11560.54</v>
      </c>
      <c r="H15">
        <v>209848.78</v>
      </c>
      <c r="I15">
        <v>47988.19</v>
      </c>
      <c r="J15">
        <v>161860.59</v>
      </c>
      <c r="K15">
        <v>1088</v>
      </c>
      <c r="L15">
        <v>16.11</v>
      </c>
      <c r="M15">
        <v>77.13</v>
      </c>
      <c r="N15">
        <v>2.57</v>
      </c>
      <c r="O15">
        <v>2.5</v>
      </c>
      <c r="P15">
        <v>2.77</v>
      </c>
      <c r="Q15">
        <v>11.97</v>
      </c>
      <c r="R15">
        <v>14</v>
      </c>
      <c r="S15">
        <v>1.53</v>
      </c>
      <c r="T15">
        <v>0.99</v>
      </c>
      <c r="U15">
        <v>0.39</v>
      </c>
      <c r="V15">
        <v>1.1</v>
      </c>
      <c r="W15" t="s">
        <v>274</v>
      </c>
      <c r="X15">
        <v>4173</v>
      </c>
      <c r="Y15">
        <v>4406</v>
      </c>
      <c r="Z15">
        <v>4445</v>
      </c>
      <c r="AA15" t="s">
        <v>1616</v>
      </c>
    </row>
    <row r="16" spans="1:27">
      <c r="A16" t="s">
        <v>1543</v>
      </c>
      <c r="B16" t="s">
        <v>1582</v>
      </c>
      <c r="C16" t="s">
        <v>87</v>
      </c>
      <c r="D16">
        <v>13683</v>
      </c>
      <c r="E16">
        <v>13233</v>
      </c>
      <c r="F16">
        <v>221219.01</v>
      </c>
      <c r="G16">
        <v>12644.47</v>
      </c>
      <c r="H16">
        <v>208032.95</v>
      </c>
      <c r="I16">
        <v>48969.73</v>
      </c>
      <c r="J16">
        <v>159063.22</v>
      </c>
      <c r="K16">
        <v>1095</v>
      </c>
      <c r="L16">
        <v>15.2</v>
      </c>
      <c r="M16">
        <v>76.45999999999999</v>
      </c>
      <c r="N16">
        <v>2.7</v>
      </c>
      <c r="O16">
        <v>2.48</v>
      </c>
      <c r="P16">
        <v>2.73</v>
      </c>
      <c r="Q16">
        <v>12.5</v>
      </c>
      <c r="R16">
        <v>15</v>
      </c>
      <c r="S16">
        <v>1.54</v>
      </c>
      <c r="T16">
        <v>1</v>
      </c>
      <c r="U16">
        <v>0.41</v>
      </c>
      <c r="V16">
        <v>1.05</v>
      </c>
      <c r="W16" t="s">
        <v>274</v>
      </c>
      <c r="X16">
        <v>4340</v>
      </c>
      <c r="Y16">
        <v>4610</v>
      </c>
      <c r="Z16">
        <v>4733</v>
      </c>
      <c r="AA16" t="s">
        <v>1616</v>
      </c>
    </row>
    <row r="17" spans="1:27">
      <c r="A17" t="s">
        <v>1544</v>
      </c>
      <c r="B17" t="s">
        <v>1583</v>
      </c>
      <c r="C17" t="s">
        <v>1609</v>
      </c>
      <c r="D17">
        <v>10756</v>
      </c>
      <c r="E17">
        <v>10454</v>
      </c>
      <c r="F17">
        <v>215120</v>
      </c>
      <c r="G17">
        <v>9453</v>
      </c>
      <c r="H17">
        <v>205022</v>
      </c>
      <c r="I17">
        <v>69461.46000000001</v>
      </c>
      <c r="J17">
        <v>135560.54</v>
      </c>
      <c r="K17">
        <v>1090</v>
      </c>
      <c r="L17">
        <v>19.06</v>
      </c>
      <c r="M17">
        <v>66.12</v>
      </c>
      <c r="N17">
        <v>2.12</v>
      </c>
      <c r="O17">
        <v>2.45</v>
      </c>
      <c r="P17">
        <v>2.32</v>
      </c>
      <c r="Q17">
        <v>9.869999999999999</v>
      </c>
      <c r="R17">
        <v>16</v>
      </c>
      <c r="S17">
        <v>1.5</v>
      </c>
      <c r="T17">
        <v>1.04</v>
      </c>
      <c r="U17">
        <v>0.41</v>
      </c>
      <c r="V17">
        <v>1.06</v>
      </c>
      <c r="W17" t="s">
        <v>274</v>
      </c>
      <c r="X17">
        <v>3258</v>
      </c>
      <c r="Y17">
        <v>3624</v>
      </c>
      <c r="Z17">
        <v>3874</v>
      </c>
      <c r="AA17" t="s">
        <v>1619</v>
      </c>
    </row>
    <row r="18" spans="1:27">
      <c r="A18" t="s">
        <v>1545</v>
      </c>
      <c r="B18" t="s">
        <v>1584</v>
      </c>
      <c r="C18" t="s">
        <v>87</v>
      </c>
      <c r="D18">
        <v>10499</v>
      </c>
      <c r="E18">
        <v>10152</v>
      </c>
      <c r="F18">
        <v>206283.37</v>
      </c>
      <c r="G18">
        <v>7433.19</v>
      </c>
      <c r="H18">
        <v>198316.63</v>
      </c>
      <c r="I18">
        <v>58081.42</v>
      </c>
      <c r="J18">
        <v>140235.21</v>
      </c>
      <c r="K18">
        <v>1082</v>
      </c>
      <c r="L18">
        <v>18.89</v>
      </c>
      <c r="M18">
        <v>70.70999999999999</v>
      </c>
      <c r="N18">
        <v>2.07</v>
      </c>
      <c r="O18">
        <v>2.37</v>
      </c>
      <c r="P18">
        <v>2.4</v>
      </c>
      <c r="Q18">
        <v>9.699999999999999</v>
      </c>
      <c r="R18">
        <v>17</v>
      </c>
      <c r="S18">
        <v>1.53</v>
      </c>
      <c r="T18">
        <v>1.04</v>
      </c>
      <c r="U18">
        <v>0.4</v>
      </c>
      <c r="V18">
        <v>1.03</v>
      </c>
      <c r="W18" t="s">
        <v>274</v>
      </c>
      <c r="X18">
        <v>3313</v>
      </c>
      <c r="Y18">
        <v>3563</v>
      </c>
      <c r="Z18">
        <v>3623</v>
      </c>
      <c r="AA18" t="s">
        <v>1618</v>
      </c>
    </row>
    <row r="19" spans="1:27">
      <c r="A19" t="s">
        <v>1546</v>
      </c>
      <c r="B19" t="s">
        <v>1585</v>
      </c>
      <c r="C19" t="s">
        <v>1611</v>
      </c>
      <c r="D19">
        <v>8558</v>
      </c>
      <c r="E19">
        <v>8260</v>
      </c>
      <c r="F19">
        <v>200863.54</v>
      </c>
      <c r="G19">
        <v>8771.129999999999</v>
      </c>
      <c r="H19">
        <v>191613.42</v>
      </c>
      <c r="I19">
        <v>68622.5</v>
      </c>
      <c r="J19">
        <v>122990.92</v>
      </c>
      <c r="K19">
        <v>1076</v>
      </c>
      <c r="L19">
        <v>22.39</v>
      </c>
      <c r="M19">
        <v>64.19</v>
      </c>
      <c r="N19">
        <v>1.69</v>
      </c>
      <c r="O19">
        <v>2.29</v>
      </c>
      <c r="P19">
        <v>2.11</v>
      </c>
      <c r="Q19">
        <v>7.95</v>
      </c>
      <c r="R19">
        <v>18</v>
      </c>
      <c r="S19">
        <v>1.58</v>
      </c>
      <c r="T19">
        <v>1.03</v>
      </c>
      <c r="U19">
        <v>0.39</v>
      </c>
      <c r="V19">
        <v>1</v>
      </c>
      <c r="W19" t="s">
        <v>274</v>
      </c>
      <c r="X19">
        <v>2686</v>
      </c>
      <c r="Y19">
        <v>2953</v>
      </c>
      <c r="Z19">
        <v>2919</v>
      </c>
      <c r="AA19" t="s">
        <v>1619</v>
      </c>
    </row>
    <row r="20" spans="1:27">
      <c r="A20" t="s">
        <v>1547</v>
      </c>
      <c r="B20" t="s">
        <v>1586</v>
      </c>
      <c r="C20" t="s">
        <v>1612</v>
      </c>
      <c r="D20">
        <v>6861</v>
      </c>
      <c r="E20">
        <v>6523</v>
      </c>
      <c r="F20">
        <v>165307.08</v>
      </c>
      <c r="G20">
        <v>1293.82</v>
      </c>
      <c r="H20">
        <v>163662.1</v>
      </c>
      <c r="I20">
        <v>87892.10000000001</v>
      </c>
      <c r="J20">
        <v>75770</v>
      </c>
      <c r="K20">
        <v>1092</v>
      </c>
      <c r="L20">
        <v>23.85</v>
      </c>
      <c r="M20">
        <v>46.3</v>
      </c>
      <c r="N20">
        <v>1.36</v>
      </c>
      <c r="O20">
        <v>1.95</v>
      </c>
      <c r="P20">
        <v>1.3</v>
      </c>
      <c r="Q20">
        <v>6.28</v>
      </c>
      <c r="R20">
        <v>19</v>
      </c>
      <c r="S20">
        <v>1.13</v>
      </c>
      <c r="T20">
        <v>0.88</v>
      </c>
      <c r="U20">
        <v>0.84</v>
      </c>
      <c r="V20">
        <v>1.14</v>
      </c>
      <c r="W20" t="s">
        <v>273</v>
      </c>
      <c r="X20">
        <v>2036</v>
      </c>
      <c r="Y20">
        <v>2317</v>
      </c>
      <c r="Z20">
        <v>2508</v>
      </c>
      <c r="AA20" t="s">
        <v>1619</v>
      </c>
    </row>
    <row r="21" spans="1:27">
      <c r="A21" t="s">
        <v>1548</v>
      </c>
      <c r="B21" t="s">
        <v>1587</v>
      </c>
      <c r="C21" t="s">
        <v>1613</v>
      </c>
      <c r="D21">
        <v>11468</v>
      </c>
      <c r="E21">
        <v>11010</v>
      </c>
      <c r="F21">
        <v>169497.04</v>
      </c>
      <c r="G21">
        <v>11099.64</v>
      </c>
      <c r="H21">
        <v>157985.78</v>
      </c>
      <c r="I21">
        <v>29816.8</v>
      </c>
      <c r="J21">
        <v>128168.98</v>
      </c>
      <c r="K21">
        <v>1095</v>
      </c>
      <c r="L21">
        <v>13.78</v>
      </c>
      <c r="M21">
        <v>81.13</v>
      </c>
      <c r="N21">
        <v>2.27</v>
      </c>
      <c r="O21">
        <v>1.88</v>
      </c>
      <c r="P21">
        <v>2.2</v>
      </c>
      <c r="Q21">
        <v>10.47</v>
      </c>
      <c r="R21">
        <v>20</v>
      </c>
      <c r="S21">
        <v>0.62</v>
      </c>
      <c r="T21">
        <v>1.09</v>
      </c>
      <c r="U21">
        <v>1.12</v>
      </c>
      <c r="V21">
        <v>1.18</v>
      </c>
      <c r="W21" t="s">
        <v>271</v>
      </c>
      <c r="X21">
        <v>3444</v>
      </c>
      <c r="Y21">
        <v>3833</v>
      </c>
      <c r="Z21">
        <v>4191</v>
      </c>
      <c r="AA21" t="s">
        <v>1618</v>
      </c>
    </row>
    <row r="22" spans="1:27">
      <c r="A22" t="s">
        <v>1549</v>
      </c>
      <c r="B22" t="s">
        <v>1588</v>
      </c>
      <c r="C22" t="s">
        <v>1612</v>
      </c>
      <c r="D22">
        <v>6754</v>
      </c>
      <c r="E22">
        <v>6492</v>
      </c>
      <c r="F22">
        <v>156626.42</v>
      </c>
      <c r="G22">
        <v>1046.32</v>
      </c>
      <c r="H22">
        <v>155009.63</v>
      </c>
      <c r="I22">
        <v>81566.36</v>
      </c>
      <c r="J22">
        <v>73443.27</v>
      </c>
      <c r="K22">
        <v>1091</v>
      </c>
      <c r="L22">
        <v>22.95</v>
      </c>
      <c r="M22">
        <v>47.38</v>
      </c>
      <c r="N22">
        <v>1.33</v>
      </c>
      <c r="O22">
        <v>1.85</v>
      </c>
      <c r="P22">
        <v>1.26</v>
      </c>
      <c r="Q22">
        <v>6.19</v>
      </c>
      <c r="R22">
        <v>21</v>
      </c>
      <c r="S22">
        <v>1.12</v>
      </c>
      <c r="T22">
        <v>0.9</v>
      </c>
      <c r="U22">
        <v>0.83</v>
      </c>
      <c r="V22">
        <v>1.15</v>
      </c>
      <c r="W22" t="s">
        <v>272</v>
      </c>
      <c r="X22">
        <v>2095</v>
      </c>
      <c r="Y22">
        <v>2296</v>
      </c>
      <c r="Z22">
        <v>2363</v>
      </c>
      <c r="AA22" t="s">
        <v>1619</v>
      </c>
    </row>
    <row r="23" spans="1:27">
      <c r="A23" t="s">
        <v>1550</v>
      </c>
      <c r="B23" t="s">
        <v>1589</v>
      </c>
      <c r="C23" t="s">
        <v>1610</v>
      </c>
      <c r="D23">
        <v>6200</v>
      </c>
      <c r="E23">
        <v>5995</v>
      </c>
      <c r="F23">
        <v>134788</v>
      </c>
      <c r="G23">
        <v>2693.97</v>
      </c>
      <c r="H23">
        <v>131646.18</v>
      </c>
      <c r="I23">
        <v>54608.8</v>
      </c>
      <c r="J23">
        <v>77037.38</v>
      </c>
      <c r="K23">
        <v>1082</v>
      </c>
      <c r="L23">
        <v>21.23</v>
      </c>
      <c r="M23">
        <v>58.52</v>
      </c>
      <c r="N23">
        <v>1.22</v>
      </c>
      <c r="O23">
        <v>1.57</v>
      </c>
      <c r="P23">
        <v>1.32</v>
      </c>
      <c r="Q23">
        <v>5.73</v>
      </c>
      <c r="R23">
        <v>22</v>
      </c>
      <c r="S23">
        <v>1</v>
      </c>
      <c r="T23">
        <v>1.19</v>
      </c>
      <c r="U23">
        <v>0.78</v>
      </c>
      <c r="V23">
        <v>1.04</v>
      </c>
      <c r="W23" t="s">
        <v>265</v>
      </c>
      <c r="X23">
        <v>1936</v>
      </c>
      <c r="Y23">
        <v>2032</v>
      </c>
      <c r="Z23">
        <v>2232</v>
      </c>
      <c r="AA23" t="s">
        <v>1619</v>
      </c>
    </row>
    <row r="24" spans="1:27">
      <c r="A24" t="s">
        <v>1551</v>
      </c>
      <c r="B24" t="s">
        <v>1590</v>
      </c>
      <c r="C24" t="s">
        <v>1614</v>
      </c>
      <c r="D24">
        <v>6107</v>
      </c>
      <c r="E24">
        <v>5783</v>
      </c>
      <c r="F24">
        <v>132766.18</v>
      </c>
      <c r="G24">
        <v>3456.04</v>
      </c>
      <c r="H24">
        <v>128891.66</v>
      </c>
      <c r="I24">
        <v>46330.15</v>
      </c>
      <c r="J24">
        <v>82561.50999999999</v>
      </c>
      <c r="K24">
        <v>276</v>
      </c>
      <c r="L24">
        <v>21.11</v>
      </c>
      <c r="M24">
        <v>64.05</v>
      </c>
      <c r="N24">
        <v>1.21</v>
      </c>
      <c r="O24">
        <v>1.54</v>
      </c>
      <c r="P24">
        <v>1.41</v>
      </c>
      <c r="Q24">
        <v>22.13</v>
      </c>
      <c r="R24">
        <v>23</v>
      </c>
      <c r="S24">
        <v>0</v>
      </c>
      <c r="T24">
        <v>0</v>
      </c>
      <c r="U24">
        <v>4</v>
      </c>
      <c r="V24">
        <v>0</v>
      </c>
      <c r="W24" t="s">
        <v>268</v>
      </c>
      <c r="X24">
        <v>1988</v>
      </c>
      <c r="Y24">
        <v>2067</v>
      </c>
      <c r="Z24">
        <v>2052</v>
      </c>
      <c r="AA24" t="s">
        <v>1617</v>
      </c>
    </row>
    <row r="25" spans="1:27">
      <c r="A25" t="s">
        <v>1552</v>
      </c>
      <c r="B25" t="s">
        <v>1591</v>
      </c>
      <c r="C25" t="s">
        <v>1615</v>
      </c>
      <c r="D25">
        <v>11718</v>
      </c>
      <c r="E25">
        <v>11185</v>
      </c>
      <c r="F25">
        <v>125723.1</v>
      </c>
      <c r="G25">
        <v>801.1900000000001</v>
      </c>
      <c r="H25">
        <v>124490.79</v>
      </c>
      <c r="I25">
        <v>55191.76</v>
      </c>
      <c r="J25">
        <v>69299.03</v>
      </c>
      <c r="K25">
        <v>1089</v>
      </c>
      <c r="L25">
        <v>10.62</v>
      </c>
      <c r="M25">
        <v>55.67</v>
      </c>
      <c r="N25">
        <v>2.31</v>
      </c>
      <c r="O25">
        <v>1.49</v>
      </c>
      <c r="P25">
        <v>1.19</v>
      </c>
      <c r="Q25">
        <v>10.76</v>
      </c>
      <c r="R25">
        <v>24</v>
      </c>
      <c r="S25">
        <v>1.13</v>
      </c>
      <c r="T25">
        <v>0.8</v>
      </c>
      <c r="U25">
        <v>0.85</v>
      </c>
      <c r="V25">
        <v>1.21</v>
      </c>
      <c r="W25" t="s">
        <v>274</v>
      </c>
      <c r="X25">
        <v>3510</v>
      </c>
      <c r="Y25">
        <v>4004</v>
      </c>
      <c r="Z25">
        <v>4204</v>
      </c>
      <c r="AA25" t="s">
        <v>1619</v>
      </c>
    </row>
    <row r="26" spans="1:27">
      <c r="A26" t="s">
        <v>1553</v>
      </c>
      <c r="B26" t="s">
        <v>1592</v>
      </c>
      <c r="C26" t="s">
        <v>1609</v>
      </c>
      <c r="D26">
        <v>13722</v>
      </c>
      <c r="E26">
        <v>13221</v>
      </c>
      <c r="F26">
        <v>131319.54</v>
      </c>
      <c r="G26">
        <v>9738.34</v>
      </c>
      <c r="H26">
        <v>121370.66</v>
      </c>
      <c r="I26">
        <v>22903.4</v>
      </c>
      <c r="J26">
        <v>98467.25999999999</v>
      </c>
      <c r="K26">
        <v>1093</v>
      </c>
      <c r="L26">
        <v>8.84</v>
      </c>
      <c r="M26">
        <v>81.13</v>
      </c>
      <c r="N26">
        <v>2.71</v>
      </c>
      <c r="O26">
        <v>1.45</v>
      </c>
      <c r="P26">
        <v>1.69</v>
      </c>
      <c r="Q26">
        <v>12.55</v>
      </c>
      <c r="R26">
        <v>25</v>
      </c>
      <c r="S26">
        <v>1.32</v>
      </c>
      <c r="T26">
        <v>1.22</v>
      </c>
      <c r="U26">
        <v>0.47</v>
      </c>
      <c r="V26">
        <v>0.99</v>
      </c>
      <c r="W26" t="s">
        <v>265</v>
      </c>
      <c r="X26">
        <v>4240</v>
      </c>
      <c r="Y26">
        <v>4725</v>
      </c>
      <c r="Z26">
        <v>4757</v>
      </c>
      <c r="AA26" t="s">
        <v>1616</v>
      </c>
    </row>
    <row r="27" spans="1:27">
      <c r="A27" t="s">
        <v>1554</v>
      </c>
      <c r="B27" t="s">
        <v>1593</v>
      </c>
      <c r="C27" t="s">
        <v>1612</v>
      </c>
      <c r="D27">
        <v>4679</v>
      </c>
      <c r="E27">
        <v>4424</v>
      </c>
      <c r="F27">
        <v>120798.82</v>
      </c>
      <c r="G27">
        <v>1104.56</v>
      </c>
      <c r="H27">
        <v>119278.56</v>
      </c>
      <c r="I27">
        <v>64208.24</v>
      </c>
      <c r="J27">
        <v>55070.32</v>
      </c>
      <c r="K27">
        <v>1063</v>
      </c>
      <c r="L27">
        <v>25.49</v>
      </c>
      <c r="M27">
        <v>46.17</v>
      </c>
      <c r="N27">
        <v>0.92</v>
      </c>
      <c r="O27">
        <v>1.42</v>
      </c>
      <c r="P27">
        <v>0.9399999999999999</v>
      </c>
      <c r="Q27">
        <v>4.4</v>
      </c>
      <c r="R27">
        <v>26</v>
      </c>
      <c r="S27">
        <v>1.13</v>
      </c>
      <c r="T27">
        <v>0.88</v>
      </c>
      <c r="U27">
        <v>0.8100000000000001</v>
      </c>
      <c r="V27">
        <v>1.18</v>
      </c>
      <c r="W27" t="s">
        <v>274</v>
      </c>
      <c r="X27">
        <v>1419</v>
      </c>
      <c r="Y27">
        <v>1584</v>
      </c>
      <c r="Z27">
        <v>1676</v>
      </c>
      <c r="AA27" t="s">
        <v>1619</v>
      </c>
    </row>
    <row r="28" spans="1:27">
      <c r="A28" t="s">
        <v>1555</v>
      </c>
      <c r="B28" t="s">
        <v>1594</v>
      </c>
      <c r="C28" t="s">
        <v>1614</v>
      </c>
      <c r="D28">
        <v>5446</v>
      </c>
      <c r="E28">
        <v>5231</v>
      </c>
      <c r="F28">
        <v>118396.04</v>
      </c>
      <c r="G28">
        <v>3133.7</v>
      </c>
      <c r="H28">
        <v>115009.07</v>
      </c>
      <c r="I28">
        <v>38760.36</v>
      </c>
      <c r="J28">
        <v>76248.71000000001</v>
      </c>
      <c r="K28">
        <v>271</v>
      </c>
      <c r="L28">
        <v>21.12</v>
      </c>
      <c r="M28">
        <v>66.3</v>
      </c>
      <c r="N28">
        <v>1.08</v>
      </c>
      <c r="O28">
        <v>1.37</v>
      </c>
      <c r="P28">
        <v>1.31</v>
      </c>
      <c r="Q28">
        <v>20.1</v>
      </c>
      <c r="R28">
        <v>27</v>
      </c>
      <c r="S28">
        <v>4</v>
      </c>
      <c r="T28">
        <v>0</v>
      </c>
      <c r="U28">
        <v>0</v>
      </c>
      <c r="V28">
        <v>0</v>
      </c>
      <c r="W28" t="s">
        <v>274</v>
      </c>
      <c r="X28">
        <v>1724</v>
      </c>
      <c r="Y28">
        <v>1848</v>
      </c>
      <c r="Z28">
        <v>1874</v>
      </c>
      <c r="AA28" t="s">
        <v>1617</v>
      </c>
    </row>
    <row r="29" spans="1:27">
      <c r="A29" t="s">
        <v>1556</v>
      </c>
      <c r="B29" t="s">
        <v>1595</v>
      </c>
      <c r="C29" t="s">
        <v>1615</v>
      </c>
      <c r="D29">
        <v>12927</v>
      </c>
      <c r="E29">
        <v>12384</v>
      </c>
      <c r="F29">
        <v>112464.9</v>
      </c>
      <c r="G29">
        <v>703.65</v>
      </c>
      <c r="H29">
        <v>111291.45</v>
      </c>
      <c r="I29">
        <v>41116.28</v>
      </c>
      <c r="J29">
        <v>70175.17</v>
      </c>
      <c r="K29">
        <v>1094</v>
      </c>
      <c r="L29">
        <v>8.609999999999999</v>
      </c>
      <c r="M29">
        <v>63.06</v>
      </c>
      <c r="N29">
        <v>2.55</v>
      </c>
      <c r="O29">
        <v>1.33</v>
      </c>
      <c r="P29">
        <v>1.2</v>
      </c>
      <c r="Q29">
        <v>11.82</v>
      </c>
      <c r="R29">
        <v>28</v>
      </c>
      <c r="S29">
        <v>1.11</v>
      </c>
      <c r="T29">
        <v>0.87</v>
      </c>
      <c r="U29">
        <v>0.85</v>
      </c>
      <c r="V29">
        <v>1.17</v>
      </c>
      <c r="W29" t="s">
        <v>273</v>
      </c>
      <c r="X29">
        <v>3816</v>
      </c>
      <c r="Y29">
        <v>4182</v>
      </c>
      <c r="Z29">
        <v>4929</v>
      </c>
      <c r="AA29" t="s">
        <v>1617</v>
      </c>
    </row>
    <row r="30" spans="1:27">
      <c r="A30" t="s">
        <v>1557</v>
      </c>
      <c r="B30" t="s">
        <v>1596</v>
      </c>
      <c r="C30" t="s">
        <v>1613</v>
      </c>
      <c r="D30">
        <v>7145</v>
      </c>
      <c r="E30">
        <v>6789</v>
      </c>
      <c r="F30">
        <v>111819.25</v>
      </c>
      <c r="G30">
        <v>7293.23</v>
      </c>
      <c r="H30">
        <v>104310.05</v>
      </c>
      <c r="I30">
        <v>31294.25</v>
      </c>
      <c r="J30">
        <v>73015.8</v>
      </c>
      <c r="K30">
        <v>1068</v>
      </c>
      <c r="L30">
        <v>14.6</v>
      </c>
      <c r="M30">
        <v>70</v>
      </c>
      <c r="N30">
        <v>1.41</v>
      </c>
      <c r="O30">
        <v>1.24</v>
      </c>
      <c r="P30">
        <v>1.25</v>
      </c>
      <c r="Q30">
        <v>6.69</v>
      </c>
      <c r="R30">
        <v>29</v>
      </c>
      <c r="S30">
        <v>1.33</v>
      </c>
      <c r="T30">
        <v>1.18</v>
      </c>
      <c r="U30">
        <v>0.44</v>
      </c>
      <c r="V30">
        <v>1.05</v>
      </c>
      <c r="W30" t="s">
        <v>265</v>
      </c>
      <c r="X30">
        <v>2004</v>
      </c>
      <c r="Y30">
        <v>2438</v>
      </c>
      <c r="Z30">
        <v>2703</v>
      </c>
      <c r="AA30" t="s">
        <v>1618</v>
      </c>
    </row>
    <row r="31" spans="1:27">
      <c r="A31" t="s">
        <v>1558</v>
      </c>
      <c r="B31" t="s">
        <v>1597</v>
      </c>
      <c r="C31" t="s">
        <v>1614</v>
      </c>
      <c r="D31">
        <v>1550</v>
      </c>
      <c r="E31">
        <v>1480</v>
      </c>
      <c r="F31">
        <v>87606</v>
      </c>
      <c r="G31">
        <v>0</v>
      </c>
      <c r="H31">
        <v>87379.92</v>
      </c>
      <c r="I31">
        <v>33427.59</v>
      </c>
      <c r="J31">
        <v>53952.33</v>
      </c>
      <c r="K31">
        <v>100</v>
      </c>
      <c r="L31">
        <v>56.37</v>
      </c>
      <c r="M31">
        <v>61.74</v>
      </c>
      <c r="N31">
        <v>0.31</v>
      </c>
      <c r="O31">
        <v>1.04</v>
      </c>
      <c r="P31">
        <v>0.92</v>
      </c>
      <c r="Q31">
        <v>15.5</v>
      </c>
      <c r="R31">
        <v>30</v>
      </c>
      <c r="S31">
        <v>0</v>
      </c>
      <c r="T31">
        <v>4</v>
      </c>
      <c r="U31">
        <v>0</v>
      </c>
      <c r="V31">
        <v>0</v>
      </c>
      <c r="W31" t="s">
        <v>265</v>
      </c>
      <c r="X31">
        <v>415</v>
      </c>
      <c r="Y31">
        <v>538</v>
      </c>
      <c r="Z31">
        <v>597</v>
      </c>
      <c r="AA31" t="s">
        <v>1617</v>
      </c>
    </row>
    <row r="32" spans="1:27">
      <c r="A32" t="s">
        <v>1559</v>
      </c>
      <c r="B32" t="s">
        <v>1598</v>
      </c>
      <c r="C32" t="s">
        <v>87</v>
      </c>
      <c r="D32">
        <v>6143</v>
      </c>
      <c r="E32">
        <v>5950</v>
      </c>
      <c r="F32">
        <v>88738.60000000001</v>
      </c>
      <c r="G32">
        <v>5570.34</v>
      </c>
      <c r="H32">
        <v>83057.33</v>
      </c>
      <c r="I32">
        <v>17393.83</v>
      </c>
      <c r="J32">
        <v>65663.5</v>
      </c>
      <c r="K32">
        <v>1070</v>
      </c>
      <c r="L32">
        <v>13.52</v>
      </c>
      <c r="M32">
        <v>79.06</v>
      </c>
      <c r="N32">
        <v>1.21</v>
      </c>
      <c r="O32">
        <v>0.99</v>
      </c>
      <c r="P32">
        <v>1.13</v>
      </c>
      <c r="Q32">
        <v>5.74</v>
      </c>
      <c r="R32">
        <v>31</v>
      </c>
      <c r="S32">
        <v>1.39</v>
      </c>
      <c r="T32">
        <v>0.98</v>
      </c>
      <c r="U32">
        <v>0.5</v>
      </c>
      <c r="V32">
        <v>1.12</v>
      </c>
      <c r="W32" t="s">
        <v>273</v>
      </c>
      <c r="X32">
        <v>1910</v>
      </c>
      <c r="Y32">
        <v>2032</v>
      </c>
      <c r="Z32">
        <v>2201</v>
      </c>
      <c r="AA32" t="s">
        <v>1618</v>
      </c>
    </row>
    <row r="33" spans="1:27">
      <c r="A33" t="s">
        <v>1560</v>
      </c>
      <c r="B33" t="s">
        <v>1599</v>
      </c>
      <c r="C33" t="s">
        <v>1615</v>
      </c>
      <c r="D33">
        <v>5787</v>
      </c>
      <c r="E33">
        <v>5655</v>
      </c>
      <c r="F33">
        <v>82220.64</v>
      </c>
      <c r="G33">
        <v>468.59</v>
      </c>
      <c r="H33">
        <v>81513.14</v>
      </c>
      <c r="I33">
        <v>37329.74</v>
      </c>
      <c r="J33">
        <v>44183.4</v>
      </c>
      <c r="K33">
        <v>1071</v>
      </c>
      <c r="L33">
        <v>14.09</v>
      </c>
      <c r="M33">
        <v>54.2</v>
      </c>
      <c r="N33">
        <v>1.14</v>
      </c>
      <c r="O33">
        <v>0.97</v>
      </c>
      <c r="P33">
        <v>0.76</v>
      </c>
      <c r="Q33">
        <v>5.4</v>
      </c>
      <c r="R33">
        <v>32</v>
      </c>
      <c r="S33">
        <v>1.15</v>
      </c>
      <c r="T33">
        <v>0.84</v>
      </c>
      <c r="U33">
        <v>0.85</v>
      </c>
      <c r="V33">
        <v>1.15</v>
      </c>
      <c r="W33" t="s">
        <v>273</v>
      </c>
      <c r="X33">
        <v>1733</v>
      </c>
      <c r="Y33">
        <v>1986</v>
      </c>
      <c r="Z33">
        <v>2068</v>
      </c>
      <c r="AA33" t="s">
        <v>1619</v>
      </c>
    </row>
    <row r="34" spans="1:27">
      <c r="A34" t="s">
        <v>1561</v>
      </c>
      <c r="B34" t="s">
        <v>1600</v>
      </c>
      <c r="C34" t="s">
        <v>1615</v>
      </c>
      <c r="D34">
        <v>5910</v>
      </c>
      <c r="E34">
        <v>5694</v>
      </c>
      <c r="F34">
        <v>73736.03999999999</v>
      </c>
      <c r="G34">
        <v>500.43</v>
      </c>
      <c r="H34">
        <v>73052.19</v>
      </c>
      <c r="I34">
        <v>33907.98</v>
      </c>
      <c r="J34">
        <v>39144.21</v>
      </c>
      <c r="K34">
        <v>1071</v>
      </c>
      <c r="L34">
        <v>12.36</v>
      </c>
      <c r="M34">
        <v>53.58</v>
      </c>
      <c r="N34">
        <v>1.17</v>
      </c>
      <c r="O34">
        <v>0.87</v>
      </c>
      <c r="P34">
        <v>0.67</v>
      </c>
      <c r="Q34">
        <v>5.52</v>
      </c>
      <c r="R34">
        <v>33</v>
      </c>
      <c r="S34">
        <v>1.12</v>
      </c>
      <c r="T34">
        <v>0.87</v>
      </c>
      <c r="U34">
        <v>0.85</v>
      </c>
      <c r="V34">
        <v>1.16</v>
      </c>
      <c r="W34" t="s">
        <v>272</v>
      </c>
      <c r="X34">
        <v>1815</v>
      </c>
      <c r="Y34">
        <v>1921</v>
      </c>
      <c r="Z34">
        <v>2174</v>
      </c>
      <c r="AA34" t="s">
        <v>1619</v>
      </c>
    </row>
    <row r="35" spans="1:27">
      <c r="A35" t="s">
        <v>1562</v>
      </c>
      <c r="B35" t="s">
        <v>1601</v>
      </c>
      <c r="C35" t="s">
        <v>87</v>
      </c>
      <c r="D35">
        <v>6727</v>
      </c>
      <c r="E35">
        <v>6528</v>
      </c>
      <c r="F35">
        <v>76943.39</v>
      </c>
      <c r="G35">
        <v>6412.83</v>
      </c>
      <c r="H35">
        <v>70395.48</v>
      </c>
      <c r="I35">
        <v>13753.39</v>
      </c>
      <c r="J35">
        <v>56642.09</v>
      </c>
      <c r="K35">
        <v>1081</v>
      </c>
      <c r="L35">
        <v>10.46</v>
      </c>
      <c r="M35">
        <v>80.45999999999999</v>
      </c>
      <c r="N35">
        <v>1.33</v>
      </c>
      <c r="O35">
        <v>0.84</v>
      </c>
      <c r="P35">
        <v>0.97</v>
      </c>
      <c r="Q35">
        <v>6.22</v>
      </c>
      <c r="R35">
        <v>34</v>
      </c>
      <c r="S35">
        <v>1.39</v>
      </c>
      <c r="T35">
        <v>0.9399999999999999</v>
      </c>
      <c r="U35">
        <v>0.53</v>
      </c>
      <c r="V35">
        <v>1.13</v>
      </c>
      <c r="W35" t="s">
        <v>274</v>
      </c>
      <c r="X35">
        <v>1878</v>
      </c>
      <c r="Y35">
        <v>2250</v>
      </c>
      <c r="Z35">
        <v>2599</v>
      </c>
      <c r="AA35" t="s">
        <v>1618</v>
      </c>
    </row>
    <row r="36" spans="1:27">
      <c r="A36" t="s">
        <v>1563</v>
      </c>
      <c r="B36" t="s">
        <v>1602</v>
      </c>
      <c r="C36" t="s">
        <v>1614</v>
      </c>
      <c r="D36">
        <v>3061</v>
      </c>
      <c r="E36">
        <v>2965</v>
      </c>
      <c r="F36">
        <v>63883.07</v>
      </c>
      <c r="G36">
        <v>2745.01</v>
      </c>
      <c r="H36">
        <v>60971.1</v>
      </c>
      <c r="I36">
        <v>18973.42</v>
      </c>
      <c r="J36">
        <v>41997.68</v>
      </c>
      <c r="K36">
        <v>183</v>
      </c>
      <c r="L36">
        <v>19.92</v>
      </c>
      <c r="M36">
        <v>68.88</v>
      </c>
      <c r="N36">
        <v>0.6</v>
      </c>
      <c r="O36">
        <v>0.73</v>
      </c>
      <c r="P36">
        <v>0.72</v>
      </c>
      <c r="Q36">
        <v>16.73</v>
      </c>
      <c r="R36">
        <v>35</v>
      </c>
      <c r="S36">
        <v>0</v>
      </c>
      <c r="T36">
        <v>0</v>
      </c>
      <c r="U36">
        <v>0</v>
      </c>
      <c r="V36">
        <v>4</v>
      </c>
      <c r="W36" t="s">
        <v>273</v>
      </c>
      <c r="X36">
        <v>997</v>
      </c>
      <c r="Y36">
        <v>1001</v>
      </c>
      <c r="Z36">
        <v>1063</v>
      </c>
      <c r="AA36" t="s">
        <v>1617</v>
      </c>
    </row>
    <row r="37" spans="1:27">
      <c r="A37" t="s">
        <v>1564</v>
      </c>
      <c r="B37" t="s">
        <v>1603</v>
      </c>
      <c r="C37" t="s">
        <v>1613</v>
      </c>
      <c r="D37">
        <v>17107</v>
      </c>
      <c r="E37">
        <v>13167</v>
      </c>
      <c r="F37">
        <v>44649.27</v>
      </c>
      <c r="G37">
        <v>191.1</v>
      </c>
      <c r="H37">
        <v>44357.42</v>
      </c>
      <c r="I37">
        <v>15396.3</v>
      </c>
      <c r="J37">
        <v>28961.12</v>
      </c>
      <c r="K37">
        <v>1095</v>
      </c>
      <c r="L37">
        <v>2.59</v>
      </c>
      <c r="M37">
        <v>65.29000000000001</v>
      </c>
      <c r="N37">
        <v>3.38</v>
      </c>
      <c r="O37">
        <v>0.53</v>
      </c>
      <c r="P37">
        <v>0.5</v>
      </c>
      <c r="Q37">
        <v>15.62</v>
      </c>
      <c r="R37">
        <v>36</v>
      </c>
      <c r="S37">
        <v>0.8100000000000001</v>
      </c>
      <c r="T37">
        <v>0.9399999999999999</v>
      </c>
      <c r="U37">
        <v>1.22</v>
      </c>
      <c r="V37">
        <v>1.03</v>
      </c>
      <c r="W37" t="s">
        <v>271</v>
      </c>
      <c r="X37">
        <v>5296</v>
      </c>
      <c r="Y37">
        <v>5814</v>
      </c>
      <c r="Z37">
        <v>5997</v>
      </c>
      <c r="AA37" t="s">
        <v>1617</v>
      </c>
    </row>
    <row r="38" spans="1:27">
      <c r="A38" t="s">
        <v>1565</v>
      </c>
      <c r="B38" t="s">
        <v>1604</v>
      </c>
      <c r="C38" t="s">
        <v>1609</v>
      </c>
      <c r="D38">
        <v>6065</v>
      </c>
      <c r="E38">
        <v>5855</v>
      </c>
      <c r="F38">
        <v>47488.95</v>
      </c>
      <c r="G38">
        <v>3428.76</v>
      </c>
      <c r="H38">
        <v>43958.4</v>
      </c>
      <c r="I38">
        <v>4852</v>
      </c>
      <c r="J38">
        <v>39106.4</v>
      </c>
      <c r="K38">
        <v>1071</v>
      </c>
      <c r="L38">
        <v>7.25</v>
      </c>
      <c r="M38">
        <v>88.95999999999999</v>
      </c>
      <c r="N38">
        <v>1.2</v>
      </c>
      <c r="O38">
        <v>0.52</v>
      </c>
      <c r="P38">
        <v>0.67</v>
      </c>
      <c r="Q38">
        <v>5.66</v>
      </c>
      <c r="R38">
        <v>37</v>
      </c>
      <c r="S38">
        <v>1.34</v>
      </c>
      <c r="T38">
        <v>1.1</v>
      </c>
      <c r="U38">
        <v>0.49</v>
      </c>
      <c r="V38">
        <v>1.07</v>
      </c>
      <c r="W38" t="s">
        <v>265</v>
      </c>
      <c r="X38">
        <v>1835</v>
      </c>
      <c r="Y38">
        <v>1928</v>
      </c>
      <c r="Z38">
        <v>2302</v>
      </c>
      <c r="AA38" t="s">
        <v>1618</v>
      </c>
    </row>
    <row r="39" spans="1:27">
      <c r="A39" t="s">
        <v>1566</v>
      </c>
      <c r="B39" t="s">
        <v>1605</v>
      </c>
      <c r="C39" t="s">
        <v>1614</v>
      </c>
      <c r="D39">
        <v>2136</v>
      </c>
      <c r="E39">
        <v>1995</v>
      </c>
      <c r="F39">
        <v>42720</v>
      </c>
      <c r="G39">
        <v>2571</v>
      </c>
      <c r="H39">
        <v>40093</v>
      </c>
      <c r="I39">
        <v>12228.48</v>
      </c>
      <c r="J39">
        <v>27864.52</v>
      </c>
      <c r="K39">
        <v>63</v>
      </c>
      <c r="L39">
        <v>18.77</v>
      </c>
      <c r="M39">
        <v>69.5</v>
      </c>
      <c r="N39">
        <v>0.42</v>
      </c>
      <c r="O39">
        <v>0.48</v>
      </c>
      <c r="P39">
        <v>0.48</v>
      </c>
      <c r="Q39">
        <v>33.9</v>
      </c>
      <c r="R39">
        <v>38</v>
      </c>
      <c r="S39">
        <v>0</v>
      </c>
      <c r="T39">
        <v>0</v>
      </c>
      <c r="U39">
        <v>0</v>
      </c>
      <c r="V39">
        <v>4</v>
      </c>
      <c r="W39" t="s">
        <v>271</v>
      </c>
      <c r="X39">
        <v>680</v>
      </c>
      <c r="Y39">
        <v>731</v>
      </c>
      <c r="Z39">
        <v>725</v>
      </c>
      <c r="AA39" t="s">
        <v>1616</v>
      </c>
    </row>
    <row r="40" spans="1:27">
      <c r="A40" t="s">
        <v>1567</v>
      </c>
      <c r="B40" t="s">
        <v>1606</v>
      </c>
      <c r="C40" t="s">
        <v>1615</v>
      </c>
      <c r="D40">
        <v>5138</v>
      </c>
      <c r="E40">
        <v>4960</v>
      </c>
      <c r="F40">
        <v>35760.48</v>
      </c>
      <c r="G40">
        <v>278.44</v>
      </c>
      <c r="H40">
        <v>35365.11</v>
      </c>
      <c r="I40">
        <v>14231.13</v>
      </c>
      <c r="J40">
        <v>21133.98</v>
      </c>
      <c r="K40">
        <v>1076</v>
      </c>
      <c r="L40">
        <v>6.88</v>
      </c>
      <c r="M40">
        <v>59.76</v>
      </c>
      <c r="N40">
        <v>1.01</v>
      </c>
      <c r="O40">
        <v>0.42</v>
      </c>
      <c r="P40">
        <v>0.36</v>
      </c>
      <c r="Q40">
        <v>4.78</v>
      </c>
      <c r="R40">
        <v>39</v>
      </c>
      <c r="S40">
        <v>1.13</v>
      </c>
      <c r="T40">
        <v>0.88</v>
      </c>
      <c r="U40">
        <v>0.8</v>
      </c>
      <c r="V40">
        <v>1.2</v>
      </c>
      <c r="W40" t="s">
        <v>272</v>
      </c>
      <c r="X40">
        <v>1503</v>
      </c>
      <c r="Y40">
        <v>1688</v>
      </c>
      <c r="Z40">
        <v>1947</v>
      </c>
      <c r="AA40" t="s">
        <v>1619</v>
      </c>
    </row>
    <row r="41" spans="1:27">
      <c r="A41" t="s">
        <v>1568</v>
      </c>
      <c r="B41" t="s">
        <v>1607</v>
      </c>
      <c r="C41" t="s">
        <v>1614</v>
      </c>
      <c r="D41">
        <v>570</v>
      </c>
      <c r="E41">
        <v>547</v>
      </c>
      <c r="F41">
        <v>27263.1</v>
      </c>
      <c r="G41">
        <v>0</v>
      </c>
      <c r="H41">
        <v>27215.27</v>
      </c>
      <c r="I41">
        <v>12852.62</v>
      </c>
      <c r="J41">
        <v>14362.65</v>
      </c>
      <c r="K41">
        <v>48</v>
      </c>
      <c r="L41">
        <v>47.75</v>
      </c>
      <c r="M41">
        <v>52.77</v>
      </c>
      <c r="N41">
        <v>0.11</v>
      </c>
      <c r="O41">
        <v>0.32</v>
      </c>
      <c r="P41">
        <v>0.25</v>
      </c>
      <c r="Q41">
        <v>11.88</v>
      </c>
      <c r="R41">
        <v>40</v>
      </c>
      <c r="S41">
        <v>0</v>
      </c>
      <c r="T41">
        <v>2.38</v>
      </c>
      <c r="U41">
        <v>1.62</v>
      </c>
      <c r="V41">
        <v>0</v>
      </c>
      <c r="W41" t="s">
        <v>266</v>
      </c>
      <c r="X41">
        <v>147</v>
      </c>
      <c r="Y41">
        <v>220</v>
      </c>
      <c r="Z41">
        <v>203</v>
      </c>
      <c r="AA41" t="s">
        <v>1617</v>
      </c>
    </row>
  </sheetData>
  <autoFilter ref="A1:AA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5" width="10.7109375" customWidth="1"/>
    <col min="6" max="6" width="11.7109375" customWidth="1"/>
    <col min="7" max="8" width="10.7109375" customWidth="1"/>
  </cols>
  <sheetData>
    <row r="1" spans="1:8">
      <c r="A1" s="1" t="s">
        <v>1620</v>
      </c>
      <c r="B1" s="1" t="s">
        <v>1621</v>
      </c>
      <c r="C1" s="1" t="s">
        <v>261</v>
      </c>
      <c r="D1" s="1" t="s">
        <v>262</v>
      </c>
      <c r="E1" s="1" t="s">
        <v>263</v>
      </c>
      <c r="F1" s="1" t="s">
        <v>1622</v>
      </c>
      <c r="G1" s="1" t="s">
        <v>162</v>
      </c>
      <c r="H1" s="1" t="s">
        <v>1623</v>
      </c>
    </row>
    <row r="2" spans="1:8">
      <c r="A2">
        <v>0</v>
      </c>
      <c r="B2">
        <v>0</v>
      </c>
      <c r="C2">
        <v>13</v>
      </c>
      <c r="D2">
        <v>9.74</v>
      </c>
      <c r="E2">
        <v>4.62</v>
      </c>
      <c r="F2">
        <v>4.2</v>
      </c>
      <c r="G2">
        <v>31.97</v>
      </c>
      <c r="H2">
        <v>6.17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27.52</v>
      </c>
      <c r="H3">
        <v>1.5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11.11</v>
      </c>
      <c r="H4">
        <v>0</v>
      </c>
    </row>
    <row r="5" spans="1:8">
      <c r="A5">
        <v>6</v>
      </c>
      <c r="B5">
        <v>9.119999999999999</v>
      </c>
      <c r="C5">
        <v>6.75</v>
      </c>
      <c r="D5">
        <v>0.46</v>
      </c>
      <c r="E5">
        <v>0</v>
      </c>
      <c r="F5">
        <v>0</v>
      </c>
      <c r="G5">
        <v>0</v>
      </c>
      <c r="H5">
        <v>0</v>
      </c>
    </row>
    <row r="6" spans="1:8">
      <c r="A6">
        <v>7</v>
      </c>
      <c r="B6">
        <v>16.23</v>
      </c>
      <c r="C6">
        <v>12.99</v>
      </c>
      <c r="D6">
        <v>2.14</v>
      </c>
      <c r="E6">
        <v>1.26</v>
      </c>
      <c r="F6">
        <v>1.07</v>
      </c>
      <c r="G6">
        <v>0</v>
      </c>
      <c r="H6">
        <v>3.5</v>
      </c>
    </row>
    <row r="7" spans="1:8">
      <c r="A7">
        <v>8</v>
      </c>
      <c r="B7">
        <v>12.92</v>
      </c>
      <c r="C7">
        <v>11.02</v>
      </c>
      <c r="D7">
        <v>5.59</v>
      </c>
      <c r="E7">
        <v>4.04</v>
      </c>
      <c r="F7">
        <v>3.07</v>
      </c>
      <c r="G7">
        <v>0</v>
      </c>
      <c r="H7">
        <v>3.83</v>
      </c>
    </row>
    <row r="8" spans="1:8">
      <c r="A8">
        <v>9</v>
      </c>
      <c r="B8">
        <v>10.22</v>
      </c>
      <c r="C8">
        <v>8.76</v>
      </c>
      <c r="D8">
        <v>7.83</v>
      </c>
      <c r="E8">
        <v>8.33</v>
      </c>
      <c r="F8">
        <v>7.6</v>
      </c>
      <c r="G8">
        <v>0</v>
      </c>
      <c r="H8">
        <v>1.33</v>
      </c>
    </row>
    <row r="9" spans="1:8">
      <c r="A9">
        <v>10</v>
      </c>
      <c r="B9">
        <v>7.24</v>
      </c>
      <c r="C9">
        <v>6.52</v>
      </c>
      <c r="D9">
        <v>6.6</v>
      </c>
      <c r="E9">
        <v>11.16</v>
      </c>
      <c r="F9">
        <v>10.6</v>
      </c>
      <c r="G9">
        <v>0</v>
      </c>
      <c r="H9">
        <v>0.67</v>
      </c>
    </row>
    <row r="10" spans="1:8">
      <c r="A10">
        <v>11</v>
      </c>
      <c r="B10">
        <v>5.46</v>
      </c>
      <c r="C10">
        <v>5.39</v>
      </c>
      <c r="D10">
        <v>1.96</v>
      </c>
      <c r="E10">
        <v>10.06</v>
      </c>
      <c r="F10">
        <v>9.77</v>
      </c>
      <c r="G10">
        <v>0</v>
      </c>
      <c r="H10">
        <v>2.33</v>
      </c>
    </row>
    <row r="11" spans="1:8">
      <c r="A11">
        <v>12</v>
      </c>
      <c r="B11">
        <v>7.74</v>
      </c>
      <c r="C11">
        <v>7.62</v>
      </c>
      <c r="D11">
        <v>0.41</v>
      </c>
      <c r="E11">
        <v>6.97</v>
      </c>
      <c r="F11">
        <v>7.13</v>
      </c>
      <c r="G11">
        <v>0</v>
      </c>
      <c r="H11">
        <v>3.17</v>
      </c>
    </row>
    <row r="12" spans="1:8">
      <c r="A12">
        <v>13</v>
      </c>
      <c r="B12">
        <v>10.24</v>
      </c>
      <c r="C12">
        <v>9.33</v>
      </c>
      <c r="D12">
        <v>3.46</v>
      </c>
      <c r="E12">
        <v>5.25</v>
      </c>
      <c r="F12">
        <v>4.57</v>
      </c>
      <c r="G12">
        <v>0</v>
      </c>
      <c r="H12">
        <v>1.67</v>
      </c>
    </row>
    <row r="13" spans="1:8">
      <c r="A13">
        <v>14</v>
      </c>
      <c r="B13">
        <v>10.84</v>
      </c>
      <c r="C13">
        <v>10</v>
      </c>
      <c r="D13">
        <v>7.21</v>
      </c>
      <c r="E13">
        <v>6.89</v>
      </c>
      <c r="F13">
        <v>7.77</v>
      </c>
      <c r="G13">
        <v>0</v>
      </c>
      <c r="H13">
        <v>5.67</v>
      </c>
    </row>
    <row r="14" spans="1:8">
      <c r="A14">
        <v>15</v>
      </c>
      <c r="B14">
        <v>12.86</v>
      </c>
      <c r="C14">
        <v>13.7</v>
      </c>
      <c r="D14">
        <v>14.01</v>
      </c>
      <c r="E14">
        <v>11.8</v>
      </c>
      <c r="F14">
        <v>11</v>
      </c>
      <c r="G14">
        <v>4.52</v>
      </c>
      <c r="H14">
        <v>7.67</v>
      </c>
    </row>
    <row r="15" spans="1:8">
      <c r="A15">
        <v>16</v>
      </c>
      <c r="B15">
        <v>15.75</v>
      </c>
      <c r="C15">
        <v>17.15</v>
      </c>
      <c r="D15">
        <v>19.38</v>
      </c>
      <c r="E15">
        <v>17.16</v>
      </c>
      <c r="F15">
        <v>18.37</v>
      </c>
      <c r="G15">
        <v>10.28</v>
      </c>
      <c r="H15">
        <v>12.5</v>
      </c>
    </row>
    <row r="16" spans="1:8">
      <c r="A16">
        <v>17</v>
      </c>
      <c r="B16">
        <v>15.06</v>
      </c>
      <c r="C16">
        <v>17.73</v>
      </c>
      <c r="D16">
        <v>18.44</v>
      </c>
      <c r="E16">
        <v>19.01</v>
      </c>
      <c r="F16">
        <v>19.73</v>
      </c>
      <c r="G16">
        <v>6.06</v>
      </c>
      <c r="H16">
        <v>15.17</v>
      </c>
    </row>
    <row r="17" spans="1:8">
      <c r="A17">
        <v>18</v>
      </c>
      <c r="B17">
        <v>15.09</v>
      </c>
      <c r="C17">
        <v>18.47</v>
      </c>
      <c r="D17">
        <v>19.02</v>
      </c>
      <c r="E17">
        <v>18.62</v>
      </c>
      <c r="F17">
        <v>19.47</v>
      </c>
      <c r="G17">
        <v>0</v>
      </c>
      <c r="H17">
        <v>16.67</v>
      </c>
    </row>
    <row r="18" spans="1:8">
      <c r="A18">
        <v>19</v>
      </c>
      <c r="B18">
        <v>17.72</v>
      </c>
      <c r="C18">
        <v>23.64</v>
      </c>
      <c r="D18">
        <v>21.51</v>
      </c>
      <c r="E18">
        <v>20.26</v>
      </c>
      <c r="F18">
        <v>20.03</v>
      </c>
      <c r="G18">
        <v>7.38</v>
      </c>
      <c r="H18">
        <v>19.5</v>
      </c>
    </row>
    <row r="19" spans="1:8">
      <c r="A19">
        <v>20</v>
      </c>
      <c r="B19">
        <v>19.97</v>
      </c>
      <c r="C19">
        <v>30.07</v>
      </c>
      <c r="D19">
        <v>26.66</v>
      </c>
      <c r="E19">
        <v>21.76</v>
      </c>
      <c r="F19">
        <v>22.37</v>
      </c>
      <c r="G19">
        <v>30.31</v>
      </c>
      <c r="H19">
        <v>18.67</v>
      </c>
    </row>
    <row r="20" spans="1:8">
      <c r="A20">
        <v>21</v>
      </c>
      <c r="B20">
        <v>17.99</v>
      </c>
      <c r="C20">
        <v>30.59</v>
      </c>
      <c r="D20">
        <v>27.29</v>
      </c>
      <c r="E20">
        <v>19.71</v>
      </c>
      <c r="F20">
        <v>21.3</v>
      </c>
      <c r="G20">
        <v>33.26</v>
      </c>
      <c r="H20">
        <v>22.83</v>
      </c>
    </row>
    <row r="21" spans="1:8">
      <c r="A21">
        <v>22</v>
      </c>
      <c r="B21">
        <v>13.04</v>
      </c>
      <c r="C21">
        <v>26.61</v>
      </c>
      <c r="D21">
        <v>23.16</v>
      </c>
      <c r="E21">
        <v>15.01</v>
      </c>
      <c r="F21">
        <v>16.4</v>
      </c>
      <c r="G21">
        <v>45.38</v>
      </c>
      <c r="H21">
        <v>18.33</v>
      </c>
    </row>
    <row r="22" spans="1:8">
      <c r="A22">
        <v>23</v>
      </c>
      <c r="B22">
        <v>7.62</v>
      </c>
      <c r="C22">
        <v>21.66</v>
      </c>
      <c r="D22">
        <v>16.7</v>
      </c>
      <c r="E22">
        <v>10.4</v>
      </c>
      <c r="F22">
        <v>10.87</v>
      </c>
      <c r="G22">
        <v>38.47</v>
      </c>
      <c r="H22">
        <v>11.33</v>
      </c>
    </row>
  </sheetData>
  <autoFilter ref="A1:H2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5" width="10.7109375" customWidth="1"/>
  </cols>
  <sheetData>
    <row r="1" spans="1:5">
      <c r="A1" s="1" t="s">
        <v>1624</v>
      </c>
      <c r="B1" s="1" t="s">
        <v>1625</v>
      </c>
      <c r="C1" s="1" t="s">
        <v>1626</v>
      </c>
      <c r="D1" s="1" t="s">
        <v>1627</v>
      </c>
      <c r="E1" s="1" t="s">
        <v>522</v>
      </c>
    </row>
    <row r="2" spans="1:5">
      <c r="A2" t="s">
        <v>77</v>
      </c>
      <c r="B2">
        <v>34768</v>
      </c>
      <c r="C2">
        <v>6920</v>
      </c>
      <c r="D2">
        <v>19.9</v>
      </c>
      <c r="E2">
        <v>15.3</v>
      </c>
    </row>
    <row r="3" spans="1:5">
      <c r="A3" t="s">
        <v>264</v>
      </c>
      <c r="B3">
        <v>34546</v>
      </c>
      <c r="C3">
        <v>8139</v>
      </c>
      <c r="D3">
        <v>23.6</v>
      </c>
      <c r="E3">
        <v>17.7</v>
      </c>
    </row>
    <row r="4" spans="1:5">
      <c r="A4" t="s">
        <v>265</v>
      </c>
      <c r="B4">
        <v>41702</v>
      </c>
      <c r="C4">
        <v>11811</v>
      </c>
      <c r="D4">
        <v>28.3</v>
      </c>
      <c r="E4">
        <v>21.3</v>
      </c>
    </row>
    <row r="5" spans="1:5">
      <c r="A5" t="s">
        <v>266</v>
      </c>
      <c r="B5">
        <v>36137</v>
      </c>
      <c r="C5">
        <v>17307</v>
      </c>
      <c r="D5">
        <v>47.9</v>
      </c>
      <c r="E5">
        <v>27.7</v>
      </c>
    </row>
    <row r="6" spans="1:5">
      <c r="A6" t="s">
        <v>267</v>
      </c>
      <c r="B6">
        <v>34057</v>
      </c>
      <c r="C6">
        <v>21142</v>
      </c>
      <c r="D6">
        <v>62.1</v>
      </c>
      <c r="E6">
        <v>32.8</v>
      </c>
    </row>
    <row r="7" spans="1:5">
      <c r="A7" t="s">
        <v>268</v>
      </c>
      <c r="B7">
        <v>29303</v>
      </c>
      <c r="C7">
        <v>20005</v>
      </c>
      <c r="D7">
        <v>68.3</v>
      </c>
      <c r="E7">
        <v>35.4</v>
      </c>
    </row>
    <row r="8" spans="1:5">
      <c r="A8" t="s">
        <v>269</v>
      </c>
      <c r="B8">
        <v>27795</v>
      </c>
      <c r="C8">
        <v>19415</v>
      </c>
      <c r="D8">
        <v>69.90000000000001</v>
      </c>
      <c r="E8">
        <v>36.9</v>
      </c>
    </row>
    <row r="9" spans="1:5">
      <c r="A9" t="s">
        <v>270</v>
      </c>
      <c r="B9">
        <v>28820</v>
      </c>
      <c r="C9">
        <v>19846</v>
      </c>
      <c r="D9">
        <v>68.90000000000001</v>
      </c>
      <c r="E9">
        <v>36.4</v>
      </c>
    </row>
    <row r="10" spans="1:5">
      <c r="A10" t="s">
        <v>271</v>
      </c>
      <c r="B10">
        <v>35613</v>
      </c>
      <c r="C10">
        <v>22950</v>
      </c>
      <c r="D10">
        <v>64.40000000000001</v>
      </c>
      <c r="E10">
        <v>33.3</v>
      </c>
    </row>
    <row r="11" spans="1:5">
      <c r="A11" t="s">
        <v>272</v>
      </c>
      <c r="B11">
        <v>37718</v>
      </c>
      <c r="C11">
        <v>17648</v>
      </c>
      <c r="D11">
        <v>46.8</v>
      </c>
      <c r="E11">
        <v>27</v>
      </c>
    </row>
    <row r="12" spans="1:5">
      <c r="A12" t="s">
        <v>273</v>
      </c>
      <c r="B12">
        <v>39618</v>
      </c>
      <c r="C12">
        <v>11880</v>
      </c>
      <c r="D12">
        <v>30</v>
      </c>
      <c r="E12">
        <v>21.1</v>
      </c>
    </row>
    <row r="13" spans="1:5">
      <c r="A13" t="s">
        <v>274</v>
      </c>
      <c r="B13">
        <v>38791</v>
      </c>
      <c r="C13">
        <v>8633</v>
      </c>
      <c r="D13">
        <v>22.3</v>
      </c>
      <c r="E13">
        <v>16.9</v>
      </c>
    </row>
  </sheetData>
  <autoFilter ref="A1:E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10.7109375" customWidth="1"/>
    <col min="5" max="6" width="11.7109375" customWidth="1"/>
    <col min="7" max="7" width="14.7109375" customWidth="1"/>
    <col min="8" max="8" width="21.7109375" customWidth="1"/>
  </cols>
  <sheetData>
    <row r="1" spans="1:8">
      <c r="A1" s="1" t="s">
        <v>1628</v>
      </c>
      <c r="B1" s="1" t="s">
        <v>169</v>
      </c>
      <c r="C1" s="1" t="s">
        <v>1629</v>
      </c>
      <c r="D1" s="1" t="s">
        <v>1630</v>
      </c>
      <c r="E1" s="1" t="s">
        <v>1631</v>
      </c>
      <c r="F1" s="1" t="s">
        <v>1632</v>
      </c>
      <c r="G1" s="1" t="s">
        <v>1633</v>
      </c>
      <c r="H1" s="1" t="s">
        <v>1634</v>
      </c>
    </row>
    <row r="2" spans="1:8">
      <c r="A2" t="s">
        <v>1635</v>
      </c>
      <c r="B2">
        <v>1299</v>
      </c>
      <c r="C2">
        <v>31.292</v>
      </c>
      <c r="D2">
        <v>6</v>
      </c>
      <c r="E2">
        <v>0.362</v>
      </c>
      <c r="F2">
        <v>19.521</v>
      </c>
      <c r="G2">
        <v>0.5669999999999999</v>
      </c>
      <c r="H2">
        <v>3.684</v>
      </c>
    </row>
    <row r="3" spans="1:8">
      <c r="A3" t="s">
        <v>1636</v>
      </c>
      <c r="B3">
        <v>6</v>
      </c>
      <c r="C3">
        <v>12</v>
      </c>
      <c r="D3">
        <v>10.5</v>
      </c>
      <c r="E3">
        <v>0</v>
      </c>
      <c r="F3">
        <v>1011.825</v>
      </c>
      <c r="G3">
        <v>0.278</v>
      </c>
      <c r="H3">
        <v>0.426</v>
      </c>
    </row>
    <row r="4" spans="1:8">
      <c r="A4" t="s">
        <v>1637</v>
      </c>
      <c r="B4">
        <v>2967</v>
      </c>
      <c r="C4">
        <v>13.983</v>
      </c>
      <c r="D4">
        <v>3</v>
      </c>
      <c r="E4">
        <v>0.426</v>
      </c>
      <c r="F4">
        <v>41.152</v>
      </c>
      <c r="G4">
        <v>0.582</v>
      </c>
      <c r="H4">
        <v>2.656</v>
      </c>
    </row>
    <row r="5" spans="1:8">
      <c r="A5" t="s">
        <v>1638</v>
      </c>
      <c r="B5">
        <v>1843</v>
      </c>
      <c r="C5">
        <v>9.648</v>
      </c>
      <c r="D5">
        <v>3</v>
      </c>
      <c r="E5">
        <v>0.432</v>
      </c>
      <c r="F5">
        <v>54.883</v>
      </c>
      <c r="G5">
        <v>0.552</v>
      </c>
      <c r="H5">
        <v>1.56</v>
      </c>
    </row>
    <row r="6" spans="1:8">
      <c r="A6" t="s">
        <v>1639</v>
      </c>
      <c r="B6">
        <v>5318</v>
      </c>
      <c r="C6">
        <v>11.241</v>
      </c>
      <c r="D6">
        <v>3</v>
      </c>
      <c r="E6">
        <v>0.424</v>
      </c>
      <c r="F6">
        <v>30.241</v>
      </c>
      <c r="G6">
        <v>0.553</v>
      </c>
      <c r="H6">
        <v>1.901</v>
      </c>
    </row>
    <row r="7" spans="1:8">
      <c r="A7" t="s">
        <v>1640</v>
      </c>
      <c r="B7">
        <v>1047</v>
      </c>
      <c r="C7">
        <v>15.473</v>
      </c>
      <c r="D7">
        <v>4</v>
      </c>
      <c r="E7">
        <v>0.382</v>
      </c>
      <c r="F7">
        <v>25.221</v>
      </c>
      <c r="G7">
        <v>0.529</v>
      </c>
      <c r="H7">
        <v>2.764</v>
      </c>
    </row>
  </sheetData>
  <autoFilter ref="A1:H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0.7109375" customWidth="1"/>
  </cols>
  <sheetData>
    <row r="1" spans="1:3">
      <c r="A1" s="1" t="s">
        <v>1641</v>
      </c>
      <c r="B1" s="1" t="s">
        <v>169</v>
      </c>
      <c r="C1" s="1" t="s">
        <v>1642</v>
      </c>
    </row>
    <row r="2" spans="1:3">
      <c r="A2" t="s">
        <v>72</v>
      </c>
      <c r="B2">
        <v>5187</v>
      </c>
      <c r="C2">
        <v>41.56</v>
      </c>
    </row>
    <row r="3" spans="1:3">
      <c r="A3" t="s">
        <v>1643</v>
      </c>
      <c r="B3">
        <v>747</v>
      </c>
      <c r="C3">
        <v>5.99</v>
      </c>
    </row>
    <row r="4" spans="1:3">
      <c r="A4" t="s">
        <v>1644</v>
      </c>
      <c r="B4">
        <v>1458</v>
      </c>
      <c r="C4">
        <v>11.68</v>
      </c>
    </row>
    <row r="5" spans="1:3">
      <c r="A5" t="s">
        <v>1645</v>
      </c>
      <c r="B5">
        <v>1423</v>
      </c>
      <c r="C5">
        <v>11.4</v>
      </c>
    </row>
    <row r="6" spans="1:3">
      <c r="A6" t="s">
        <v>1646</v>
      </c>
      <c r="B6">
        <v>1827</v>
      </c>
      <c r="C6">
        <v>14.64</v>
      </c>
    </row>
    <row r="7" spans="1:3">
      <c r="A7" t="s">
        <v>1647</v>
      </c>
      <c r="B7">
        <v>944</v>
      </c>
      <c r="C7">
        <v>7.56</v>
      </c>
    </row>
    <row r="8" spans="1:3">
      <c r="A8" t="s">
        <v>1648</v>
      </c>
      <c r="B8">
        <v>631</v>
      </c>
      <c r="C8">
        <v>5.06</v>
      </c>
    </row>
    <row r="9" spans="1:3">
      <c r="A9" t="s">
        <v>1649</v>
      </c>
      <c r="B9">
        <v>263</v>
      </c>
      <c r="C9">
        <v>2.11</v>
      </c>
    </row>
  </sheetData>
  <autoFilter ref="A1:C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6.7109375" customWidth="1"/>
  </cols>
  <sheetData>
    <row r="1" spans="1:2">
      <c r="A1" s="1" t="s">
        <v>1650</v>
      </c>
      <c r="B1" s="1" t="s">
        <v>1651</v>
      </c>
    </row>
    <row r="2" spans="1:2">
      <c r="A2" t="s">
        <v>1652</v>
      </c>
      <c r="B2">
        <v>19.33</v>
      </c>
    </row>
    <row r="3" spans="1:2">
      <c r="A3" t="s">
        <v>1653</v>
      </c>
      <c r="B3">
        <v>21.75</v>
      </c>
    </row>
    <row r="4" spans="1:2">
      <c r="A4" t="s">
        <v>1654</v>
      </c>
      <c r="B4">
        <v>22.81</v>
      </c>
    </row>
    <row r="5" spans="1:2">
      <c r="A5" t="s">
        <v>1655</v>
      </c>
      <c r="B5">
        <v>22.37</v>
      </c>
    </row>
    <row r="6" spans="1:2">
      <c r="A6" t="s">
        <v>1656</v>
      </c>
      <c r="B6">
        <v>13.2</v>
      </c>
    </row>
    <row r="7" spans="1:2">
      <c r="A7" t="s">
        <v>1657</v>
      </c>
      <c r="B7">
        <v>19.39</v>
      </c>
    </row>
    <row r="8" spans="1:2">
      <c r="A8" t="s">
        <v>1658</v>
      </c>
      <c r="B8">
        <v>10.5</v>
      </c>
    </row>
    <row r="9" spans="1:2">
      <c r="A9" t="s">
        <v>1659</v>
      </c>
      <c r="B9">
        <v>7.02</v>
      </c>
    </row>
  </sheetData>
  <autoFilter ref="A1:B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2" width="10.7109375" customWidth="1"/>
  </cols>
  <sheetData>
    <row r="1" spans="1:2">
      <c r="A1" s="1" t="s">
        <v>1660</v>
      </c>
      <c r="B1" s="1" t="s">
        <v>1661</v>
      </c>
    </row>
    <row r="2" spans="1:2">
      <c r="A2" t="s">
        <v>1662</v>
      </c>
      <c r="B2">
        <v>0.0456</v>
      </c>
    </row>
    <row r="3" spans="1:2">
      <c r="A3" t="s">
        <v>1663</v>
      </c>
      <c r="B3">
        <v>0.007900000000000001</v>
      </c>
    </row>
    <row r="4" spans="1:2">
      <c r="A4" t="s">
        <v>1664</v>
      </c>
      <c r="B4">
        <v>0.8259</v>
      </c>
    </row>
    <row r="5" spans="1:2">
      <c r="A5" t="s">
        <v>1665</v>
      </c>
      <c r="B5">
        <v>0.9097</v>
      </c>
    </row>
    <row r="6" spans="1:2">
      <c r="A6" t="s">
        <v>1666</v>
      </c>
      <c r="B6">
        <v>0.0891</v>
      </c>
    </row>
    <row r="7" spans="1:2">
      <c r="A7" t="s">
        <v>1667</v>
      </c>
      <c r="B7">
        <v>0.9916</v>
      </c>
    </row>
  </sheetData>
  <autoFilter ref="A1:B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2.7109375" customWidth="1"/>
    <col min="4" max="5" width="10.7109375" customWidth="1"/>
    <col min="6" max="6" width="11.7109375" customWidth="1"/>
    <col min="7" max="7" width="14.7109375" customWidth="1"/>
    <col min="8" max="8" width="12.7109375" customWidth="1"/>
    <col min="9" max="9" width="10.7109375" customWidth="1"/>
    <col min="10" max="10" width="15.7109375" customWidth="1"/>
  </cols>
  <sheetData>
    <row r="1" spans="1:10">
      <c r="A1" s="1" t="s">
        <v>55</v>
      </c>
      <c r="B1" s="1" t="s">
        <v>1668</v>
      </c>
      <c r="C1" s="1" t="s">
        <v>1669</v>
      </c>
      <c r="D1" s="1" t="s">
        <v>246</v>
      </c>
      <c r="E1" s="1" t="s">
        <v>1670</v>
      </c>
      <c r="F1" s="1" t="s">
        <v>1671</v>
      </c>
      <c r="G1" s="1" t="s">
        <v>1672</v>
      </c>
      <c r="H1" s="1" t="s">
        <v>170</v>
      </c>
      <c r="I1" s="1" t="s">
        <v>1673</v>
      </c>
      <c r="J1" s="1" t="s">
        <v>1674</v>
      </c>
    </row>
    <row r="2" spans="1:10">
      <c r="A2" t="s">
        <v>307</v>
      </c>
      <c r="B2" t="s">
        <v>401</v>
      </c>
      <c r="C2" t="s">
        <v>765</v>
      </c>
      <c r="D2">
        <v>21</v>
      </c>
      <c r="E2">
        <v>0.25</v>
      </c>
      <c r="F2" t="s">
        <v>1675</v>
      </c>
      <c r="H2" t="s">
        <v>1680</v>
      </c>
      <c r="J2">
        <v>900</v>
      </c>
    </row>
    <row r="3" spans="1:10">
      <c r="A3" t="s">
        <v>309</v>
      </c>
      <c r="B3" t="s">
        <v>575</v>
      </c>
      <c r="C3" t="s">
        <v>577</v>
      </c>
      <c r="D3">
        <v>3</v>
      </c>
      <c r="E3">
        <v>0.15</v>
      </c>
      <c r="F3" t="s">
        <v>1676</v>
      </c>
      <c r="J3">
        <v>500</v>
      </c>
    </row>
    <row r="4" spans="1:10">
      <c r="A4" t="s">
        <v>309</v>
      </c>
      <c r="B4" t="s">
        <v>888</v>
      </c>
      <c r="C4" t="s">
        <v>890</v>
      </c>
      <c r="D4">
        <v>3</v>
      </c>
      <c r="E4">
        <v>0.15</v>
      </c>
      <c r="F4" t="s">
        <v>1676</v>
      </c>
      <c r="J4">
        <v>500</v>
      </c>
    </row>
    <row r="5" spans="1:10">
      <c r="A5" t="s">
        <v>309</v>
      </c>
      <c r="B5" t="s">
        <v>1202</v>
      </c>
      <c r="C5" t="s">
        <v>477</v>
      </c>
      <c r="D5">
        <v>3</v>
      </c>
      <c r="E5">
        <v>0.15</v>
      </c>
      <c r="F5" t="s">
        <v>1676</v>
      </c>
      <c r="J5">
        <v>500</v>
      </c>
    </row>
    <row r="6" spans="1:10">
      <c r="A6" t="s">
        <v>308</v>
      </c>
      <c r="B6" t="s">
        <v>757</v>
      </c>
      <c r="C6" t="s">
        <v>403</v>
      </c>
      <c r="D6">
        <v>4</v>
      </c>
      <c r="E6">
        <v>0.2</v>
      </c>
      <c r="F6" t="s">
        <v>1676</v>
      </c>
      <c r="J6">
        <v>800</v>
      </c>
    </row>
    <row r="7" spans="1:10">
      <c r="A7" t="s">
        <v>308</v>
      </c>
      <c r="B7" t="s">
        <v>1071</v>
      </c>
      <c r="C7" t="s">
        <v>1073</v>
      </c>
      <c r="D7">
        <v>4</v>
      </c>
      <c r="E7">
        <v>0.2</v>
      </c>
      <c r="F7" t="s">
        <v>1676</v>
      </c>
      <c r="J7">
        <v>800</v>
      </c>
    </row>
    <row r="8" spans="1:10">
      <c r="A8" t="s">
        <v>308</v>
      </c>
      <c r="B8" t="s">
        <v>507</v>
      </c>
      <c r="C8" t="s">
        <v>1386</v>
      </c>
      <c r="D8">
        <v>4</v>
      </c>
      <c r="E8">
        <v>0.2</v>
      </c>
      <c r="F8" t="s">
        <v>1676</v>
      </c>
      <c r="J8">
        <v>800</v>
      </c>
    </row>
    <row r="9" spans="1:10">
      <c r="A9" t="s">
        <v>304</v>
      </c>
      <c r="B9" t="s">
        <v>810</v>
      </c>
      <c r="C9" t="s">
        <v>814</v>
      </c>
      <c r="D9">
        <v>6</v>
      </c>
      <c r="E9">
        <v>0.2</v>
      </c>
      <c r="F9" t="s">
        <v>1675</v>
      </c>
      <c r="J9">
        <v>1200</v>
      </c>
    </row>
    <row r="10" spans="1:10">
      <c r="A10" t="s">
        <v>304</v>
      </c>
      <c r="B10" t="s">
        <v>1128</v>
      </c>
      <c r="C10" t="s">
        <v>1132</v>
      </c>
      <c r="D10">
        <v>6</v>
      </c>
      <c r="E10">
        <v>0.2</v>
      </c>
      <c r="F10" t="s">
        <v>1675</v>
      </c>
      <c r="J10">
        <v>1200</v>
      </c>
    </row>
    <row r="11" spans="1:10">
      <c r="A11" t="s">
        <v>304</v>
      </c>
      <c r="B11" t="s">
        <v>1440</v>
      </c>
      <c r="C11" t="s">
        <v>1444</v>
      </c>
      <c r="D11">
        <v>6</v>
      </c>
      <c r="E11">
        <v>0.2</v>
      </c>
      <c r="F11" t="s">
        <v>1675</v>
      </c>
      <c r="J11">
        <v>1200</v>
      </c>
    </row>
    <row r="12" spans="1:10">
      <c r="A12" t="s">
        <v>1501</v>
      </c>
      <c r="B12" t="s">
        <v>1000</v>
      </c>
      <c r="C12" t="s">
        <v>504</v>
      </c>
      <c r="D12">
        <v>133</v>
      </c>
      <c r="E12">
        <v>0.25</v>
      </c>
      <c r="F12" t="s">
        <v>1677</v>
      </c>
      <c r="G12" t="s">
        <v>1679</v>
      </c>
      <c r="J12">
        <v>250</v>
      </c>
    </row>
    <row r="13" spans="1:10">
      <c r="A13" t="s">
        <v>1507</v>
      </c>
      <c r="B13" t="s">
        <v>1162</v>
      </c>
      <c r="C13" t="s">
        <v>1204</v>
      </c>
      <c r="D13">
        <v>8</v>
      </c>
      <c r="E13">
        <v>0.15</v>
      </c>
      <c r="F13" t="s">
        <v>1676</v>
      </c>
      <c r="J13">
        <v>300</v>
      </c>
    </row>
    <row r="14" spans="1:10">
      <c r="A14" t="s">
        <v>306</v>
      </c>
      <c r="B14" t="s">
        <v>450</v>
      </c>
      <c r="C14" t="s">
        <v>1371</v>
      </c>
      <c r="D14">
        <v>28</v>
      </c>
      <c r="E14">
        <v>0.15</v>
      </c>
      <c r="F14" t="s">
        <v>1675</v>
      </c>
      <c r="I14" t="s">
        <v>1640</v>
      </c>
      <c r="J14">
        <v>300</v>
      </c>
    </row>
    <row r="15" spans="1:10">
      <c r="A15" t="s">
        <v>310</v>
      </c>
      <c r="B15" t="s">
        <v>601</v>
      </c>
      <c r="C15" t="s">
        <v>1233</v>
      </c>
      <c r="D15">
        <v>88</v>
      </c>
      <c r="E15">
        <v>0.1</v>
      </c>
      <c r="F15" t="s">
        <v>1678</v>
      </c>
      <c r="J15">
        <v>250</v>
      </c>
    </row>
  </sheetData>
  <autoFilter ref="A1:J1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5.7109375" customWidth="1"/>
    <col min="4" max="4" width="31.7109375" customWidth="1"/>
    <col min="5" max="5" width="34.7109375" customWidth="1"/>
  </cols>
  <sheetData>
    <row r="1" spans="1:5">
      <c r="A1" s="1" t="s">
        <v>1681</v>
      </c>
      <c r="B1" s="1" t="s">
        <v>27</v>
      </c>
      <c r="C1" s="1" t="s">
        <v>1682</v>
      </c>
      <c r="D1" s="1" t="s">
        <v>1683</v>
      </c>
      <c r="E1" s="1" t="s">
        <v>1684</v>
      </c>
    </row>
    <row r="2" spans="1:5">
      <c r="A2" t="s">
        <v>896</v>
      </c>
      <c r="B2" t="s">
        <v>1685</v>
      </c>
      <c r="C2" t="s">
        <v>1598</v>
      </c>
      <c r="D2" t="s">
        <v>1691</v>
      </c>
      <c r="E2" t="s">
        <v>1697</v>
      </c>
    </row>
    <row r="3" spans="1:5">
      <c r="A3" t="s">
        <v>896</v>
      </c>
      <c r="B3" t="s">
        <v>1685</v>
      </c>
      <c r="C3" t="s">
        <v>1582</v>
      </c>
      <c r="D3" t="s">
        <v>1691</v>
      </c>
      <c r="E3" t="s">
        <v>1697</v>
      </c>
    </row>
    <row r="4" spans="1:5">
      <c r="A4" t="s">
        <v>896</v>
      </c>
      <c r="B4" t="s">
        <v>1685</v>
      </c>
      <c r="C4" t="s">
        <v>1575</v>
      </c>
      <c r="D4" t="s">
        <v>1691</v>
      </c>
      <c r="E4" t="s">
        <v>1697</v>
      </c>
    </row>
    <row r="5" spans="1:5">
      <c r="A5" t="s">
        <v>896</v>
      </c>
      <c r="B5" t="s">
        <v>1685</v>
      </c>
      <c r="C5" t="s">
        <v>86</v>
      </c>
      <c r="D5" t="s">
        <v>1691</v>
      </c>
      <c r="E5" t="s">
        <v>1697</v>
      </c>
    </row>
    <row r="6" spans="1:5">
      <c r="A6" t="s">
        <v>896</v>
      </c>
      <c r="B6" t="s">
        <v>1685</v>
      </c>
      <c r="C6" t="s">
        <v>1570</v>
      </c>
      <c r="D6" t="s">
        <v>1691</v>
      </c>
      <c r="E6" t="s">
        <v>1697</v>
      </c>
    </row>
    <row r="7" spans="1:5">
      <c r="A7" t="s">
        <v>896</v>
      </c>
      <c r="B7" t="s">
        <v>1685</v>
      </c>
      <c r="C7" t="s">
        <v>1584</v>
      </c>
      <c r="D7" t="s">
        <v>1691</v>
      </c>
      <c r="E7" t="s">
        <v>1697</v>
      </c>
    </row>
    <row r="8" spans="1:5">
      <c r="A8" t="s">
        <v>896</v>
      </c>
      <c r="B8" t="s">
        <v>1685</v>
      </c>
      <c r="C8" t="s">
        <v>1581</v>
      </c>
      <c r="D8" t="s">
        <v>1691</v>
      </c>
      <c r="E8" t="s">
        <v>1697</v>
      </c>
    </row>
    <row r="9" spans="1:5">
      <c r="A9" t="s">
        <v>896</v>
      </c>
      <c r="B9" t="s">
        <v>1685</v>
      </c>
      <c r="C9" t="s">
        <v>1571</v>
      </c>
      <c r="D9" t="s">
        <v>1691</v>
      </c>
      <c r="E9" t="s">
        <v>1697</v>
      </c>
    </row>
    <row r="10" spans="1:5">
      <c r="A10" t="s">
        <v>896</v>
      </c>
      <c r="B10" t="s">
        <v>1685</v>
      </c>
      <c r="C10" t="s">
        <v>1569</v>
      </c>
      <c r="D10" t="s">
        <v>1691</v>
      </c>
      <c r="E10" t="s">
        <v>1697</v>
      </c>
    </row>
    <row r="11" spans="1:5">
      <c r="A11" t="s">
        <v>896</v>
      </c>
      <c r="B11" t="s">
        <v>1685</v>
      </c>
      <c r="C11" t="s">
        <v>1579</v>
      </c>
      <c r="D11" t="s">
        <v>1691</v>
      </c>
      <c r="E11" t="s">
        <v>1697</v>
      </c>
    </row>
    <row r="12" spans="1:5">
      <c r="A12" t="s">
        <v>1000</v>
      </c>
      <c r="B12" t="s">
        <v>1685</v>
      </c>
      <c r="C12" t="s">
        <v>1574</v>
      </c>
      <c r="D12" t="s">
        <v>1692</v>
      </c>
      <c r="E12" t="s">
        <v>1698</v>
      </c>
    </row>
    <row r="13" spans="1:5">
      <c r="A13" t="s">
        <v>1000</v>
      </c>
      <c r="B13" t="s">
        <v>1685</v>
      </c>
      <c r="C13" t="s">
        <v>1585</v>
      </c>
      <c r="D13" t="s">
        <v>1692</v>
      </c>
      <c r="E13" t="s">
        <v>1698</v>
      </c>
    </row>
    <row r="14" spans="1:5">
      <c r="A14" t="s">
        <v>1170</v>
      </c>
      <c r="B14" t="s">
        <v>1685</v>
      </c>
      <c r="C14" t="s">
        <v>1586</v>
      </c>
      <c r="D14" t="s">
        <v>1692</v>
      </c>
      <c r="E14" t="s">
        <v>1699</v>
      </c>
    </row>
    <row r="15" spans="1:5">
      <c r="A15" t="s">
        <v>1170</v>
      </c>
      <c r="B15" t="s">
        <v>1685</v>
      </c>
      <c r="C15" t="s">
        <v>1588</v>
      </c>
      <c r="D15" t="s">
        <v>1692</v>
      </c>
      <c r="E15" t="s">
        <v>1699</v>
      </c>
    </row>
    <row r="16" spans="1:5">
      <c r="A16" t="s">
        <v>1170</v>
      </c>
      <c r="B16" t="s">
        <v>1685</v>
      </c>
      <c r="C16" t="s">
        <v>1593</v>
      </c>
      <c r="D16" t="s">
        <v>1692</v>
      </c>
      <c r="E16" t="s">
        <v>1699</v>
      </c>
    </row>
    <row r="17" spans="1:5">
      <c r="A17" t="s">
        <v>1170</v>
      </c>
      <c r="B17" t="s">
        <v>1685</v>
      </c>
      <c r="C17" t="s">
        <v>1576</v>
      </c>
      <c r="D17" t="s">
        <v>1692</v>
      </c>
      <c r="E17" t="s">
        <v>1699</v>
      </c>
    </row>
    <row r="18" spans="1:5">
      <c r="A18" t="s">
        <v>1170</v>
      </c>
      <c r="B18" t="s">
        <v>1685</v>
      </c>
      <c r="C18" t="s">
        <v>1591</v>
      </c>
      <c r="D18" t="s">
        <v>1691</v>
      </c>
      <c r="E18" t="s">
        <v>1700</v>
      </c>
    </row>
    <row r="19" spans="1:5">
      <c r="A19" t="s">
        <v>1170</v>
      </c>
      <c r="B19" t="s">
        <v>1685</v>
      </c>
      <c r="C19" t="s">
        <v>1599</v>
      </c>
      <c r="D19" t="s">
        <v>1691</v>
      </c>
      <c r="E19" t="s">
        <v>1700</v>
      </c>
    </row>
    <row r="20" spans="1:5">
      <c r="A20" t="s">
        <v>1170</v>
      </c>
      <c r="B20" t="s">
        <v>1685</v>
      </c>
      <c r="C20" t="s">
        <v>1600</v>
      </c>
      <c r="D20" t="s">
        <v>1691</v>
      </c>
      <c r="E20" t="s">
        <v>1700</v>
      </c>
    </row>
    <row r="21" spans="1:5">
      <c r="A21" t="s">
        <v>1366</v>
      </c>
      <c r="B21" t="s">
        <v>1685</v>
      </c>
      <c r="C21" t="s">
        <v>1601</v>
      </c>
      <c r="D21" t="s">
        <v>1691</v>
      </c>
      <c r="E21" t="s">
        <v>1701</v>
      </c>
    </row>
    <row r="22" spans="1:5">
      <c r="A22" t="s">
        <v>1366</v>
      </c>
      <c r="B22" t="s">
        <v>1685</v>
      </c>
      <c r="C22" t="s">
        <v>1577</v>
      </c>
      <c r="D22" t="s">
        <v>1691</v>
      </c>
      <c r="E22" t="s">
        <v>1701</v>
      </c>
    </row>
    <row r="23" spans="1:5">
      <c r="A23" t="s">
        <v>1366</v>
      </c>
      <c r="B23" t="s">
        <v>1685</v>
      </c>
      <c r="C23" t="s">
        <v>1572</v>
      </c>
      <c r="D23" t="s">
        <v>1691</v>
      </c>
      <c r="E23" t="s">
        <v>1701</v>
      </c>
    </row>
    <row r="24" spans="1:5">
      <c r="A24" t="s">
        <v>844</v>
      </c>
      <c r="B24" t="s">
        <v>1686</v>
      </c>
      <c r="C24" t="s">
        <v>1687</v>
      </c>
      <c r="D24" t="s">
        <v>1693</v>
      </c>
      <c r="E24" t="s">
        <v>1702</v>
      </c>
    </row>
    <row r="25" spans="1:5">
      <c r="A25" t="s">
        <v>1000</v>
      </c>
      <c r="B25" t="s">
        <v>1686</v>
      </c>
      <c r="C25" t="s">
        <v>1688</v>
      </c>
      <c r="D25" t="s">
        <v>1694</v>
      </c>
      <c r="E25" t="s">
        <v>1703</v>
      </c>
    </row>
    <row r="26" spans="1:5">
      <c r="A26" t="s">
        <v>1170</v>
      </c>
      <c r="B26" t="s">
        <v>1686</v>
      </c>
      <c r="C26" t="s">
        <v>1689</v>
      </c>
      <c r="D26" t="s">
        <v>1695</v>
      </c>
      <c r="E26" t="s">
        <v>1704</v>
      </c>
    </row>
    <row r="27" spans="1:5">
      <c r="A27" t="s">
        <v>1261</v>
      </c>
      <c r="B27" t="s">
        <v>1686</v>
      </c>
      <c r="C27" t="s">
        <v>1688</v>
      </c>
      <c r="D27" t="s">
        <v>1696</v>
      </c>
      <c r="E27" t="s">
        <v>1705</v>
      </c>
    </row>
    <row r="28" spans="1:5">
      <c r="A28" t="s">
        <v>1261</v>
      </c>
      <c r="B28" t="s">
        <v>1686</v>
      </c>
      <c r="C28" t="s">
        <v>1690</v>
      </c>
      <c r="D28" t="s">
        <v>1696</v>
      </c>
      <c r="E28" t="s">
        <v>1705</v>
      </c>
    </row>
  </sheetData>
  <autoFilter ref="A1:E2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7.7109375" customWidth="1"/>
    <col min="4" max="4" width="13.7109375" customWidth="1"/>
    <col min="5" max="5" width="11.7109375" customWidth="1"/>
    <col min="6" max="6" width="10.7109375" customWidth="1"/>
    <col min="7" max="8" width="15.7109375" customWidth="1"/>
    <col min="9" max="9" width="11.7109375" customWidth="1"/>
    <col min="10" max="10" width="10.7109375" customWidth="1"/>
    <col min="11" max="11" width="15.7109375" customWidth="1"/>
  </cols>
  <sheetData>
    <row r="1" spans="1:11">
      <c r="A1" s="1" t="s">
        <v>48</v>
      </c>
      <c r="B1" s="1" t="s">
        <v>49</v>
      </c>
      <c r="C1" s="1" t="s">
        <v>50</v>
      </c>
      <c r="D1" s="1" t="s">
        <v>1706</v>
      </c>
      <c r="E1" s="1" t="s">
        <v>1707</v>
      </c>
      <c r="F1" s="1" t="s">
        <v>1708</v>
      </c>
      <c r="G1" s="1" t="s">
        <v>1709</v>
      </c>
      <c r="H1" s="1" t="s">
        <v>1710</v>
      </c>
      <c r="I1" s="1" t="s">
        <v>1711</v>
      </c>
      <c r="J1" s="1" t="s">
        <v>1712</v>
      </c>
      <c r="K1" s="1" t="s">
        <v>1713</v>
      </c>
    </row>
    <row r="2" spans="1:11">
      <c r="A2" t="s">
        <v>1562</v>
      </c>
      <c r="B2" t="s">
        <v>1601</v>
      </c>
      <c r="C2" t="s">
        <v>87</v>
      </c>
      <c r="D2">
        <v>13</v>
      </c>
      <c r="E2">
        <v>1.95</v>
      </c>
      <c r="F2" t="s">
        <v>1714</v>
      </c>
      <c r="G2">
        <v>11.3</v>
      </c>
      <c r="H2">
        <v>12.17</v>
      </c>
      <c r="I2">
        <v>2.21</v>
      </c>
      <c r="J2">
        <v>82.7</v>
      </c>
      <c r="K2">
        <v>3</v>
      </c>
    </row>
    <row r="3" spans="1:11">
      <c r="A3" t="s">
        <v>1559</v>
      </c>
      <c r="B3" t="s">
        <v>1598</v>
      </c>
      <c r="C3" t="s">
        <v>87</v>
      </c>
      <c r="D3">
        <v>16</v>
      </c>
      <c r="E3">
        <v>2.6</v>
      </c>
      <c r="F3" t="s">
        <v>1714</v>
      </c>
      <c r="G3">
        <v>13.91</v>
      </c>
      <c r="H3">
        <v>14.78</v>
      </c>
      <c r="I3">
        <v>3.13</v>
      </c>
      <c r="J3">
        <v>81.3</v>
      </c>
      <c r="K3">
        <v>3</v>
      </c>
    </row>
    <row r="4" spans="1:11">
      <c r="A4" t="s">
        <v>1538</v>
      </c>
      <c r="B4" t="s">
        <v>1577</v>
      </c>
      <c r="C4" t="s">
        <v>87</v>
      </c>
      <c r="D4">
        <v>15</v>
      </c>
      <c r="E4">
        <v>2.1</v>
      </c>
      <c r="F4" t="s">
        <v>1714</v>
      </c>
      <c r="G4">
        <v>13.04</v>
      </c>
      <c r="H4">
        <v>13.91</v>
      </c>
      <c r="I4">
        <v>2.38</v>
      </c>
      <c r="J4">
        <v>83.90000000000001</v>
      </c>
      <c r="K4">
        <v>9</v>
      </c>
    </row>
    <row r="5" spans="1:11">
      <c r="A5" t="s">
        <v>1543</v>
      </c>
      <c r="B5" t="s">
        <v>1582</v>
      </c>
      <c r="C5" t="s">
        <v>87</v>
      </c>
      <c r="D5">
        <v>18</v>
      </c>
      <c r="E5">
        <v>3.3</v>
      </c>
      <c r="F5" t="s">
        <v>1714</v>
      </c>
      <c r="G5">
        <v>15.65</v>
      </c>
      <c r="H5">
        <v>16.52</v>
      </c>
      <c r="I5">
        <v>3.97</v>
      </c>
      <c r="J5">
        <v>78.90000000000001</v>
      </c>
      <c r="K5">
        <v>7</v>
      </c>
    </row>
    <row r="6" spans="1:11">
      <c r="A6" t="s">
        <v>1536</v>
      </c>
      <c r="B6" t="s">
        <v>1575</v>
      </c>
      <c r="C6" t="s">
        <v>87</v>
      </c>
      <c r="D6">
        <v>19</v>
      </c>
      <c r="E6">
        <v>3.6</v>
      </c>
      <c r="F6" t="s">
        <v>1714</v>
      </c>
      <c r="G6">
        <v>16.52</v>
      </c>
      <c r="H6">
        <v>17.39</v>
      </c>
      <c r="I6">
        <v>4.33</v>
      </c>
      <c r="J6">
        <v>78.2</v>
      </c>
      <c r="K6">
        <v>9</v>
      </c>
    </row>
    <row r="7" spans="1:11">
      <c r="A7" t="s">
        <v>85</v>
      </c>
      <c r="B7" t="s">
        <v>86</v>
      </c>
      <c r="C7" t="s">
        <v>87</v>
      </c>
      <c r="D7">
        <v>19</v>
      </c>
      <c r="E7">
        <v>3.4</v>
      </c>
      <c r="F7" t="s">
        <v>1714</v>
      </c>
      <c r="G7">
        <v>16.52</v>
      </c>
      <c r="H7">
        <v>17.39</v>
      </c>
      <c r="I7">
        <v>4.09</v>
      </c>
      <c r="J7">
        <v>79.40000000000001</v>
      </c>
      <c r="K7">
        <v>6</v>
      </c>
    </row>
    <row r="8" spans="1:11">
      <c r="A8" t="s">
        <v>1531</v>
      </c>
      <c r="B8" t="s">
        <v>1570</v>
      </c>
      <c r="C8" t="s">
        <v>87</v>
      </c>
      <c r="D8">
        <v>21</v>
      </c>
      <c r="E8">
        <v>4.9</v>
      </c>
      <c r="F8" t="s">
        <v>1714</v>
      </c>
      <c r="G8">
        <v>18.26</v>
      </c>
      <c r="H8">
        <v>19.13</v>
      </c>
      <c r="I8">
        <v>5.89</v>
      </c>
      <c r="J8">
        <v>73.2</v>
      </c>
      <c r="K8">
        <v>14</v>
      </c>
    </row>
    <row r="9" spans="1:11">
      <c r="A9" t="s">
        <v>1545</v>
      </c>
      <c r="B9" t="s">
        <v>1584</v>
      </c>
      <c r="C9" t="s">
        <v>87</v>
      </c>
      <c r="D9">
        <v>22</v>
      </c>
      <c r="E9">
        <v>5.1</v>
      </c>
      <c r="F9" t="s">
        <v>1714</v>
      </c>
      <c r="G9">
        <v>19.13</v>
      </c>
      <c r="H9">
        <v>20</v>
      </c>
      <c r="I9">
        <v>6.13</v>
      </c>
      <c r="J9">
        <v>73.3</v>
      </c>
      <c r="K9">
        <v>4</v>
      </c>
    </row>
    <row r="10" spans="1:11">
      <c r="A10" t="s">
        <v>1542</v>
      </c>
      <c r="B10" t="s">
        <v>1581</v>
      </c>
      <c r="C10" t="s">
        <v>87</v>
      </c>
      <c r="D10">
        <v>22</v>
      </c>
      <c r="E10">
        <v>5</v>
      </c>
      <c r="F10" t="s">
        <v>1714</v>
      </c>
      <c r="G10">
        <v>19.13</v>
      </c>
      <c r="H10">
        <v>20</v>
      </c>
      <c r="I10">
        <v>6.01</v>
      </c>
      <c r="J10">
        <v>73.90000000000001</v>
      </c>
      <c r="K10">
        <v>4</v>
      </c>
    </row>
    <row r="11" spans="1:11">
      <c r="A11" t="s">
        <v>1533</v>
      </c>
      <c r="B11" t="s">
        <v>1572</v>
      </c>
      <c r="C11" t="s">
        <v>1608</v>
      </c>
      <c r="D11">
        <v>16</v>
      </c>
      <c r="E11">
        <v>2.3</v>
      </c>
      <c r="F11" t="s">
        <v>1677</v>
      </c>
      <c r="G11">
        <v>13.91</v>
      </c>
      <c r="H11">
        <v>14.78</v>
      </c>
      <c r="I11">
        <v>2.61</v>
      </c>
      <c r="J11">
        <v>83.5</v>
      </c>
      <c r="K11">
        <v>7</v>
      </c>
    </row>
    <row r="12" spans="1:11">
      <c r="A12" t="s">
        <v>1532</v>
      </c>
      <c r="B12" t="s">
        <v>1571</v>
      </c>
      <c r="C12" t="s">
        <v>1608</v>
      </c>
      <c r="D12">
        <v>20</v>
      </c>
      <c r="E12">
        <v>3.9</v>
      </c>
      <c r="F12" t="s">
        <v>1677</v>
      </c>
      <c r="G12">
        <v>17.39</v>
      </c>
      <c r="H12">
        <v>18.26</v>
      </c>
      <c r="I12">
        <v>4.69</v>
      </c>
      <c r="J12">
        <v>77.59999999999999</v>
      </c>
      <c r="K12">
        <v>8</v>
      </c>
    </row>
    <row r="13" spans="1:11">
      <c r="A13" t="s">
        <v>1530</v>
      </c>
      <c r="B13" t="s">
        <v>1569</v>
      </c>
      <c r="C13" t="s">
        <v>1608</v>
      </c>
      <c r="D13">
        <v>22</v>
      </c>
      <c r="E13">
        <v>5.3</v>
      </c>
      <c r="F13" t="s">
        <v>1677</v>
      </c>
      <c r="G13">
        <v>19.13</v>
      </c>
      <c r="H13">
        <v>20</v>
      </c>
      <c r="I13">
        <v>6.37</v>
      </c>
      <c r="J13">
        <v>72.3</v>
      </c>
      <c r="K13">
        <v>13</v>
      </c>
    </row>
    <row r="14" spans="1:11">
      <c r="A14" t="s">
        <v>1540</v>
      </c>
      <c r="B14" t="s">
        <v>1579</v>
      </c>
      <c r="C14" t="s">
        <v>1608</v>
      </c>
      <c r="D14">
        <v>23</v>
      </c>
      <c r="E14">
        <v>5.4</v>
      </c>
      <c r="F14" t="s">
        <v>1677</v>
      </c>
      <c r="G14">
        <v>20</v>
      </c>
      <c r="H14">
        <v>20.87</v>
      </c>
      <c r="I14">
        <v>6.49</v>
      </c>
      <c r="J14">
        <v>73</v>
      </c>
      <c r="K14">
        <v>3</v>
      </c>
    </row>
    <row r="15" spans="1:11">
      <c r="A15" t="s">
        <v>1535</v>
      </c>
      <c r="B15" t="s">
        <v>1574</v>
      </c>
      <c r="C15" t="s">
        <v>1608</v>
      </c>
      <c r="D15">
        <v>21</v>
      </c>
      <c r="E15">
        <v>3.1</v>
      </c>
      <c r="F15" t="s">
        <v>1677</v>
      </c>
      <c r="G15">
        <v>18.26</v>
      </c>
      <c r="H15">
        <v>20</v>
      </c>
      <c r="I15">
        <v>3.35</v>
      </c>
      <c r="J15">
        <v>83</v>
      </c>
      <c r="K15">
        <v>5</v>
      </c>
    </row>
    <row r="16" spans="1:11">
      <c r="A16" t="s">
        <v>1546</v>
      </c>
      <c r="B16" t="s">
        <v>1585</v>
      </c>
      <c r="C16" t="s">
        <v>1611</v>
      </c>
      <c r="D16">
        <v>26</v>
      </c>
      <c r="E16">
        <v>7.9</v>
      </c>
      <c r="F16" t="s">
        <v>1714</v>
      </c>
      <c r="G16">
        <v>22.61</v>
      </c>
      <c r="H16">
        <v>24.35</v>
      </c>
      <c r="I16">
        <v>8.529999999999999</v>
      </c>
      <c r="J16">
        <v>65.09999999999999</v>
      </c>
      <c r="K16">
        <v>3</v>
      </c>
    </row>
    <row r="17" spans="1:11">
      <c r="A17" t="s">
        <v>1539</v>
      </c>
      <c r="B17" t="s">
        <v>1578</v>
      </c>
      <c r="C17" t="s">
        <v>1611</v>
      </c>
      <c r="D17">
        <v>28</v>
      </c>
      <c r="E17">
        <v>5</v>
      </c>
      <c r="F17" t="s">
        <v>1714</v>
      </c>
      <c r="G17">
        <v>24.35</v>
      </c>
      <c r="H17">
        <v>24.35</v>
      </c>
      <c r="I17">
        <v>5</v>
      </c>
      <c r="J17">
        <v>79.5</v>
      </c>
      <c r="K17">
        <v>2</v>
      </c>
    </row>
    <row r="18" spans="1:11">
      <c r="A18" t="s">
        <v>1544</v>
      </c>
      <c r="B18" t="s">
        <v>1583</v>
      </c>
      <c r="C18" t="s">
        <v>1609</v>
      </c>
      <c r="D18">
        <v>23</v>
      </c>
      <c r="E18">
        <v>6.2</v>
      </c>
      <c r="F18" t="s">
        <v>1714</v>
      </c>
      <c r="G18">
        <v>20</v>
      </c>
      <c r="H18">
        <v>20</v>
      </c>
      <c r="I18">
        <v>6.57</v>
      </c>
      <c r="J18">
        <v>69</v>
      </c>
      <c r="K18">
        <v>4</v>
      </c>
    </row>
    <row r="19" spans="1:11">
      <c r="A19" t="s">
        <v>1534</v>
      </c>
      <c r="B19" t="s">
        <v>1573</v>
      </c>
      <c r="C19" t="s">
        <v>1609</v>
      </c>
      <c r="D19">
        <v>24</v>
      </c>
      <c r="E19">
        <v>6.4</v>
      </c>
      <c r="F19" t="s">
        <v>1677</v>
      </c>
      <c r="G19">
        <v>20.87</v>
      </c>
      <c r="H19">
        <v>20.87</v>
      </c>
      <c r="I19">
        <v>6.78</v>
      </c>
      <c r="J19">
        <v>69.3</v>
      </c>
      <c r="K19">
        <v>5</v>
      </c>
    </row>
    <row r="20" spans="1:11">
      <c r="A20" t="s">
        <v>1553</v>
      </c>
      <c r="B20" t="s">
        <v>1592</v>
      </c>
      <c r="C20" t="s">
        <v>1609</v>
      </c>
      <c r="D20">
        <v>11</v>
      </c>
      <c r="E20">
        <v>1.6</v>
      </c>
      <c r="F20" t="s">
        <v>1714</v>
      </c>
      <c r="G20">
        <v>9.57</v>
      </c>
      <c r="H20">
        <v>9.57</v>
      </c>
      <c r="I20">
        <v>1.7</v>
      </c>
      <c r="J20">
        <v>83.3</v>
      </c>
      <c r="K20">
        <v>4</v>
      </c>
    </row>
    <row r="21" spans="1:11">
      <c r="A21" t="s">
        <v>1565</v>
      </c>
      <c r="B21" t="s">
        <v>1604</v>
      </c>
      <c r="C21" t="s">
        <v>1609</v>
      </c>
      <c r="D21">
        <v>9</v>
      </c>
      <c r="E21">
        <v>0.8</v>
      </c>
      <c r="F21" t="s">
        <v>1714</v>
      </c>
      <c r="G21">
        <v>7.83</v>
      </c>
      <c r="H21">
        <v>7.83</v>
      </c>
      <c r="I21">
        <v>0.8</v>
      </c>
      <c r="J21">
        <v>89.8</v>
      </c>
      <c r="K21">
        <v>2</v>
      </c>
    </row>
    <row r="22" spans="1:11">
      <c r="A22" t="s">
        <v>1557</v>
      </c>
      <c r="B22" t="s">
        <v>1596</v>
      </c>
      <c r="C22" t="s">
        <v>1613</v>
      </c>
      <c r="D22">
        <v>18</v>
      </c>
      <c r="E22">
        <v>4.2</v>
      </c>
      <c r="F22" t="s">
        <v>1714</v>
      </c>
      <c r="G22">
        <v>15.65</v>
      </c>
      <c r="H22">
        <v>15.65</v>
      </c>
      <c r="I22">
        <v>4.45</v>
      </c>
      <c r="J22">
        <v>73.2</v>
      </c>
      <c r="K22">
        <v>2</v>
      </c>
    </row>
    <row r="23" spans="1:11">
      <c r="A23" t="s">
        <v>1548</v>
      </c>
      <c r="B23" t="s">
        <v>1587</v>
      </c>
      <c r="C23" t="s">
        <v>1613</v>
      </c>
      <c r="D23">
        <v>17</v>
      </c>
      <c r="E23">
        <v>2.6</v>
      </c>
      <c r="F23" t="s">
        <v>1677</v>
      </c>
      <c r="G23">
        <v>14.78</v>
      </c>
      <c r="H23">
        <v>14.78</v>
      </c>
      <c r="I23">
        <v>2.6</v>
      </c>
      <c r="J23">
        <v>82.40000000000001</v>
      </c>
      <c r="K23">
        <v>3</v>
      </c>
    </row>
    <row r="24" spans="1:11">
      <c r="A24" t="s">
        <v>1564</v>
      </c>
      <c r="B24" t="s">
        <v>1603</v>
      </c>
      <c r="C24" t="s">
        <v>1613</v>
      </c>
      <c r="D24">
        <v>3</v>
      </c>
      <c r="E24">
        <v>0.9</v>
      </c>
      <c r="F24" t="s">
        <v>1715</v>
      </c>
      <c r="G24">
        <v>2.61</v>
      </c>
      <c r="H24">
        <v>2.61</v>
      </c>
      <c r="I24">
        <v>0.9</v>
      </c>
      <c r="J24">
        <v>65.5</v>
      </c>
      <c r="K24">
        <v>0</v>
      </c>
    </row>
    <row r="25" spans="1:11">
      <c r="A25" t="s">
        <v>1552</v>
      </c>
      <c r="B25" t="s">
        <v>1591</v>
      </c>
      <c r="C25" t="s">
        <v>1615</v>
      </c>
      <c r="D25">
        <v>12</v>
      </c>
      <c r="E25">
        <v>4.6</v>
      </c>
      <c r="F25" t="s">
        <v>1716</v>
      </c>
      <c r="G25">
        <v>10.43</v>
      </c>
      <c r="H25">
        <v>11.3</v>
      </c>
      <c r="I25">
        <v>4.92</v>
      </c>
      <c r="J25">
        <v>55.9</v>
      </c>
      <c r="K25">
        <v>6</v>
      </c>
    </row>
    <row r="26" spans="1:11">
      <c r="A26" t="s">
        <v>1560</v>
      </c>
      <c r="B26" t="s">
        <v>1599</v>
      </c>
      <c r="C26" t="s">
        <v>1615</v>
      </c>
      <c r="D26">
        <v>16</v>
      </c>
      <c r="E26">
        <v>6.3</v>
      </c>
      <c r="F26" t="s">
        <v>1716</v>
      </c>
      <c r="G26">
        <v>13.91</v>
      </c>
      <c r="H26">
        <v>14.78</v>
      </c>
      <c r="I26">
        <v>6.74</v>
      </c>
      <c r="J26">
        <v>54.7</v>
      </c>
      <c r="K26">
        <v>3</v>
      </c>
    </row>
    <row r="27" spans="1:11">
      <c r="A27" t="s">
        <v>1561</v>
      </c>
      <c r="B27" t="s">
        <v>1600</v>
      </c>
      <c r="C27" t="s">
        <v>1615</v>
      </c>
      <c r="D27">
        <v>14</v>
      </c>
      <c r="E27">
        <v>5.6</v>
      </c>
      <c r="F27" t="s">
        <v>1716</v>
      </c>
      <c r="G27">
        <v>12.17</v>
      </c>
      <c r="H27">
        <v>13.04</v>
      </c>
      <c r="I27">
        <v>5.99</v>
      </c>
      <c r="J27">
        <v>54</v>
      </c>
      <c r="K27">
        <v>3</v>
      </c>
    </row>
    <row r="28" spans="1:11">
      <c r="A28" t="s">
        <v>1556</v>
      </c>
      <c r="B28" t="s">
        <v>1595</v>
      </c>
      <c r="C28" t="s">
        <v>1615</v>
      </c>
      <c r="D28">
        <v>10</v>
      </c>
      <c r="E28">
        <v>3.1</v>
      </c>
      <c r="F28" t="s">
        <v>1716</v>
      </c>
      <c r="G28">
        <v>8.699999999999999</v>
      </c>
      <c r="H28">
        <v>8.699999999999999</v>
      </c>
      <c r="I28">
        <v>3.32</v>
      </c>
      <c r="J28">
        <v>64.40000000000001</v>
      </c>
      <c r="K28">
        <v>5</v>
      </c>
    </row>
    <row r="29" spans="1:11">
      <c r="A29" t="s">
        <v>1567</v>
      </c>
      <c r="B29" t="s">
        <v>1606</v>
      </c>
      <c r="C29" t="s">
        <v>1615</v>
      </c>
      <c r="D29">
        <v>8</v>
      </c>
      <c r="E29">
        <v>2.7</v>
      </c>
      <c r="F29" t="s">
        <v>1716</v>
      </c>
      <c r="G29">
        <v>6.96</v>
      </c>
      <c r="H29">
        <v>6.96</v>
      </c>
      <c r="I29">
        <v>2.89</v>
      </c>
      <c r="J29">
        <v>61.2</v>
      </c>
      <c r="K29">
        <v>2</v>
      </c>
    </row>
    <row r="30" spans="1:11">
      <c r="A30" t="s">
        <v>1537</v>
      </c>
      <c r="B30" t="s">
        <v>1576</v>
      </c>
      <c r="C30" t="s">
        <v>1610</v>
      </c>
      <c r="D30">
        <v>29</v>
      </c>
      <c r="E30">
        <v>10.5</v>
      </c>
      <c r="F30" t="s">
        <v>1716</v>
      </c>
      <c r="G30">
        <v>25.22</v>
      </c>
      <c r="H30">
        <v>26.96</v>
      </c>
      <c r="I30">
        <v>11.24</v>
      </c>
      <c r="J30">
        <v>58.4</v>
      </c>
      <c r="K30">
        <v>4</v>
      </c>
    </row>
    <row r="31" spans="1:11">
      <c r="A31" t="s">
        <v>1541</v>
      </c>
      <c r="B31" t="s">
        <v>1580</v>
      </c>
      <c r="C31" t="s">
        <v>1610</v>
      </c>
      <c r="D31">
        <v>27</v>
      </c>
      <c r="E31">
        <v>9.800000000000001</v>
      </c>
      <c r="F31" t="s">
        <v>1716</v>
      </c>
      <c r="G31">
        <v>23.48</v>
      </c>
      <c r="H31">
        <v>23.48</v>
      </c>
      <c r="I31">
        <v>10.49</v>
      </c>
      <c r="J31">
        <v>58.3</v>
      </c>
      <c r="K31">
        <v>3</v>
      </c>
    </row>
    <row r="32" spans="1:11">
      <c r="A32" t="s">
        <v>1550</v>
      </c>
      <c r="B32" t="s">
        <v>1589</v>
      </c>
      <c r="C32" t="s">
        <v>1610</v>
      </c>
      <c r="D32">
        <v>25</v>
      </c>
      <c r="E32">
        <v>8.6</v>
      </c>
      <c r="F32" t="s">
        <v>1716</v>
      </c>
      <c r="G32">
        <v>21.74</v>
      </c>
      <c r="H32">
        <v>21.74</v>
      </c>
      <c r="I32">
        <v>9.199999999999999</v>
      </c>
      <c r="J32">
        <v>60.4</v>
      </c>
      <c r="K32">
        <v>2</v>
      </c>
    </row>
    <row r="33" spans="1:11">
      <c r="A33" t="s">
        <v>1547</v>
      </c>
      <c r="B33" t="s">
        <v>1586</v>
      </c>
      <c r="C33" t="s">
        <v>1612</v>
      </c>
      <c r="D33">
        <v>27</v>
      </c>
      <c r="E33">
        <v>12.5</v>
      </c>
      <c r="F33" t="s">
        <v>1716</v>
      </c>
      <c r="G33">
        <v>23.48</v>
      </c>
      <c r="H33">
        <v>25.22</v>
      </c>
      <c r="I33">
        <v>13.38</v>
      </c>
      <c r="J33">
        <v>46.8</v>
      </c>
      <c r="K33">
        <v>3</v>
      </c>
    </row>
    <row r="34" spans="1:11">
      <c r="A34" t="s">
        <v>1549</v>
      </c>
      <c r="B34" t="s">
        <v>1588</v>
      </c>
      <c r="C34" t="s">
        <v>1612</v>
      </c>
      <c r="D34">
        <v>26</v>
      </c>
      <c r="E34">
        <v>11.8</v>
      </c>
      <c r="F34" t="s">
        <v>1716</v>
      </c>
      <c r="G34">
        <v>22.61</v>
      </c>
      <c r="H34">
        <v>24.35</v>
      </c>
      <c r="I34">
        <v>12.63</v>
      </c>
      <c r="J34">
        <v>47.8</v>
      </c>
      <c r="K34">
        <v>3</v>
      </c>
    </row>
    <row r="35" spans="1:11">
      <c r="A35" t="s">
        <v>1554</v>
      </c>
      <c r="B35" t="s">
        <v>1593</v>
      </c>
      <c r="C35" t="s">
        <v>1612</v>
      </c>
      <c r="D35">
        <v>29</v>
      </c>
      <c r="E35">
        <v>13.4</v>
      </c>
      <c r="F35" t="s">
        <v>1716</v>
      </c>
      <c r="G35">
        <v>25.22</v>
      </c>
      <c r="H35">
        <v>26.96</v>
      </c>
      <c r="I35">
        <v>14.34</v>
      </c>
      <c r="J35">
        <v>46.9</v>
      </c>
      <c r="K35">
        <v>2</v>
      </c>
    </row>
    <row r="36" spans="1:11">
      <c r="A36" t="s">
        <v>1563</v>
      </c>
      <c r="B36" t="s">
        <v>1602</v>
      </c>
      <c r="C36" t="s">
        <v>1614</v>
      </c>
      <c r="D36">
        <v>24</v>
      </c>
      <c r="E36">
        <v>5.6</v>
      </c>
      <c r="F36" t="s">
        <v>1714</v>
      </c>
      <c r="G36">
        <v>20.87</v>
      </c>
      <c r="H36">
        <v>20.87</v>
      </c>
      <c r="I36">
        <v>6.73</v>
      </c>
      <c r="J36">
        <v>73.2</v>
      </c>
      <c r="K36">
        <v>7</v>
      </c>
    </row>
    <row r="37" spans="1:11">
      <c r="A37" t="s">
        <v>1555</v>
      </c>
      <c r="B37" t="s">
        <v>1594</v>
      </c>
      <c r="C37" t="s">
        <v>1614</v>
      </c>
      <c r="D37">
        <v>25</v>
      </c>
      <c r="E37">
        <v>6.6</v>
      </c>
      <c r="F37" t="s">
        <v>1714</v>
      </c>
      <c r="G37">
        <v>21.74</v>
      </c>
      <c r="H37">
        <v>21.74</v>
      </c>
      <c r="I37">
        <v>7.93</v>
      </c>
      <c r="J37">
        <v>69.59999999999999</v>
      </c>
      <c r="K37">
        <v>7</v>
      </c>
    </row>
    <row r="38" spans="1:11">
      <c r="A38" t="s">
        <v>1551</v>
      </c>
      <c r="B38" t="s">
        <v>1590</v>
      </c>
      <c r="C38" t="s">
        <v>1614</v>
      </c>
      <c r="D38">
        <v>25</v>
      </c>
      <c r="E38">
        <v>6.9</v>
      </c>
      <c r="F38" t="s">
        <v>1677</v>
      </c>
      <c r="G38">
        <v>21.74</v>
      </c>
      <c r="H38">
        <v>21.74</v>
      </c>
      <c r="I38">
        <v>8.289999999999999</v>
      </c>
      <c r="J38">
        <v>68.3</v>
      </c>
      <c r="K38">
        <v>7</v>
      </c>
    </row>
    <row r="39" spans="1:11">
      <c r="A39" t="s">
        <v>1566</v>
      </c>
      <c r="B39" t="s">
        <v>1605</v>
      </c>
      <c r="C39" t="s">
        <v>1614</v>
      </c>
      <c r="D39">
        <v>23</v>
      </c>
      <c r="E39">
        <v>5.5</v>
      </c>
      <c r="F39" t="s">
        <v>1677</v>
      </c>
      <c r="G39">
        <v>20</v>
      </c>
      <c r="H39">
        <v>20</v>
      </c>
      <c r="I39">
        <v>5.83</v>
      </c>
      <c r="J39">
        <v>72.5</v>
      </c>
      <c r="K39">
        <v>8</v>
      </c>
    </row>
    <row r="40" spans="1:11">
      <c r="A40" t="s">
        <v>1558</v>
      </c>
      <c r="B40" t="s">
        <v>1597</v>
      </c>
      <c r="C40" t="s">
        <v>1614</v>
      </c>
      <c r="D40">
        <v>65</v>
      </c>
      <c r="E40">
        <v>21</v>
      </c>
      <c r="F40" t="s">
        <v>1716</v>
      </c>
      <c r="G40">
        <v>56.52</v>
      </c>
      <c r="H40">
        <v>56.52</v>
      </c>
      <c r="I40">
        <v>22.47</v>
      </c>
      <c r="J40">
        <v>62.8</v>
      </c>
      <c r="K40">
        <v>5</v>
      </c>
    </row>
    <row r="41" spans="1:11">
      <c r="A41" t="s">
        <v>1568</v>
      </c>
      <c r="B41" t="s">
        <v>1607</v>
      </c>
      <c r="C41" t="s">
        <v>1614</v>
      </c>
      <c r="D41">
        <v>55</v>
      </c>
      <c r="E41">
        <v>22</v>
      </c>
      <c r="F41" t="s">
        <v>1716</v>
      </c>
      <c r="G41">
        <v>47.83</v>
      </c>
      <c r="H41">
        <v>47.83</v>
      </c>
      <c r="I41">
        <v>23.54</v>
      </c>
      <c r="J41">
        <v>54</v>
      </c>
      <c r="K41">
        <v>4</v>
      </c>
    </row>
  </sheetData>
  <autoFilter ref="A1:K4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K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0.7109375" customWidth="1"/>
    <col min="4" max="4" width="17.7109375" customWidth="1"/>
    <col min="5" max="5" width="12.7109375" customWidth="1"/>
    <col min="6" max="11" width="10.7109375" customWidth="1"/>
    <col min="12" max="12" width="12.7109375" customWidth="1"/>
    <col min="13" max="21" width="10.7109375" customWidth="1"/>
    <col min="22" max="24" width="11.7109375" customWidth="1"/>
    <col min="25" max="25" width="10.7109375" customWidth="1"/>
    <col min="26" max="27" width="11.7109375" customWidth="1"/>
    <col min="28" max="28" width="13.7109375" customWidth="1"/>
    <col min="29" max="29" width="15.7109375" customWidth="1"/>
    <col min="30" max="30" width="12.7109375" customWidth="1"/>
    <col min="31" max="31" width="28.7109375" customWidth="1"/>
    <col min="32" max="32" width="53.7109375" customWidth="1"/>
    <col min="33" max="35" width="11.7109375" customWidth="1"/>
    <col min="36" max="36" width="10.7109375" customWidth="1"/>
    <col min="37" max="37" width="11.7109375" customWidth="1"/>
  </cols>
  <sheetData>
    <row r="1" spans="1:37">
      <c r="A1" s="1" t="s">
        <v>33</v>
      </c>
      <c r="B1" s="1" t="s">
        <v>1717</v>
      </c>
      <c r="C1" s="1" t="s">
        <v>1718</v>
      </c>
      <c r="D1" s="1" t="s">
        <v>45</v>
      </c>
      <c r="E1" s="1" t="s">
        <v>523</v>
      </c>
      <c r="F1" s="1" t="s">
        <v>1719</v>
      </c>
      <c r="G1" s="1" t="s">
        <v>1720</v>
      </c>
      <c r="H1" s="1" t="s">
        <v>1721</v>
      </c>
      <c r="I1" s="1" t="s">
        <v>1722</v>
      </c>
      <c r="J1" s="1" t="s">
        <v>1723</v>
      </c>
      <c r="K1" s="1" t="s">
        <v>1724</v>
      </c>
      <c r="L1" s="1" t="s">
        <v>1725</v>
      </c>
      <c r="M1" s="1" t="s">
        <v>1726</v>
      </c>
      <c r="N1" s="1" t="s">
        <v>1727</v>
      </c>
      <c r="O1" s="1" t="s">
        <v>1728</v>
      </c>
      <c r="P1" s="1" t="s">
        <v>1729</v>
      </c>
      <c r="Q1" s="1" t="s">
        <v>1730</v>
      </c>
      <c r="R1" s="1" t="s">
        <v>1731</v>
      </c>
      <c r="S1" s="1" t="s">
        <v>1732</v>
      </c>
      <c r="T1" s="1" t="s">
        <v>1733</v>
      </c>
      <c r="U1" s="1" t="s">
        <v>1734</v>
      </c>
      <c r="V1" s="1" t="s">
        <v>1735</v>
      </c>
      <c r="W1" s="1" t="s">
        <v>1736</v>
      </c>
      <c r="X1" s="1" t="s">
        <v>1737</v>
      </c>
      <c r="Y1" s="1" t="s">
        <v>1738</v>
      </c>
      <c r="Z1" s="1" t="s">
        <v>1739</v>
      </c>
      <c r="AA1" s="1" t="s">
        <v>1740</v>
      </c>
      <c r="AB1" s="1" t="s">
        <v>1741</v>
      </c>
      <c r="AC1" s="1" t="s">
        <v>1742</v>
      </c>
      <c r="AD1" s="1" t="s">
        <v>1743</v>
      </c>
      <c r="AE1" s="1" t="s">
        <v>1744</v>
      </c>
      <c r="AF1" s="1" t="s">
        <v>1745</v>
      </c>
      <c r="AG1" s="1" t="s">
        <v>1746</v>
      </c>
      <c r="AH1" s="1" t="s">
        <v>1747</v>
      </c>
      <c r="AI1" s="1" t="s">
        <v>1748</v>
      </c>
      <c r="AJ1" s="1" t="s">
        <v>1749</v>
      </c>
      <c r="AK1" s="1" t="s">
        <v>1750</v>
      </c>
    </row>
    <row r="2" spans="1:37">
      <c r="A2" t="s">
        <v>73</v>
      </c>
      <c r="B2" t="s">
        <v>1751</v>
      </c>
      <c r="C2">
        <v>15.1</v>
      </c>
      <c r="D2" t="s">
        <v>82</v>
      </c>
      <c r="E2">
        <v>5</v>
      </c>
      <c r="F2">
        <v>0</v>
      </c>
      <c r="G2">
        <v>0</v>
      </c>
      <c r="I2">
        <v>1</v>
      </c>
      <c r="J2">
        <v>1</v>
      </c>
      <c r="K2">
        <v>1.01687</v>
      </c>
      <c r="L2">
        <v>1.03463</v>
      </c>
      <c r="M2">
        <v>0.89856</v>
      </c>
      <c r="N2">
        <v>0.97811</v>
      </c>
      <c r="O2">
        <v>1</v>
      </c>
      <c r="P2">
        <v>1.00833</v>
      </c>
      <c r="Q2">
        <v>1</v>
      </c>
      <c r="R2">
        <v>1</v>
      </c>
      <c r="S2">
        <v>1</v>
      </c>
      <c r="T2">
        <v>1</v>
      </c>
      <c r="U2">
        <v>1</v>
      </c>
      <c r="V2">
        <v>69.818</v>
      </c>
      <c r="W2">
        <v>35.549</v>
      </c>
      <c r="X2">
        <v>65.69199999999999</v>
      </c>
      <c r="Y2">
        <v>14.917</v>
      </c>
      <c r="Z2">
        <v>25.571</v>
      </c>
      <c r="AA2">
        <v>211.547</v>
      </c>
      <c r="AB2">
        <v>0.98859</v>
      </c>
      <c r="AC2">
        <v>207</v>
      </c>
      <c r="AD2">
        <v>0</v>
      </c>
      <c r="AG2">
        <v>60</v>
      </c>
      <c r="AH2">
        <v>43</v>
      </c>
      <c r="AI2">
        <v>74</v>
      </c>
      <c r="AJ2">
        <v>10</v>
      </c>
      <c r="AK2">
        <v>20</v>
      </c>
    </row>
    <row r="3" spans="1:37">
      <c r="A3" t="s">
        <v>532</v>
      </c>
      <c r="B3" t="s">
        <v>1751</v>
      </c>
      <c r="C3">
        <v>15.4</v>
      </c>
      <c r="D3" t="s">
        <v>82</v>
      </c>
      <c r="E3">
        <v>6</v>
      </c>
      <c r="F3">
        <v>0</v>
      </c>
      <c r="G3">
        <v>0</v>
      </c>
      <c r="I3">
        <v>1.00019</v>
      </c>
      <c r="J3">
        <v>1.00799</v>
      </c>
      <c r="K3">
        <v>1.01687</v>
      </c>
      <c r="L3">
        <v>1.03412</v>
      </c>
      <c r="M3">
        <v>0.87212</v>
      </c>
      <c r="N3">
        <v>0.98087</v>
      </c>
      <c r="O3">
        <v>1</v>
      </c>
      <c r="P3">
        <v>1.00561</v>
      </c>
      <c r="Q3">
        <v>1</v>
      </c>
      <c r="R3">
        <v>1</v>
      </c>
      <c r="S3">
        <v>1</v>
      </c>
      <c r="T3">
        <v>1</v>
      </c>
      <c r="U3">
        <v>1</v>
      </c>
      <c r="V3">
        <v>66.923</v>
      </c>
      <c r="W3">
        <v>35.751</v>
      </c>
      <c r="X3">
        <v>64.84099999999999</v>
      </c>
      <c r="Y3">
        <v>13.801</v>
      </c>
      <c r="Z3">
        <v>25.793</v>
      </c>
      <c r="AA3">
        <v>207.109</v>
      </c>
      <c r="AB3">
        <v>0.9942</v>
      </c>
      <c r="AC3">
        <v>202</v>
      </c>
      <c r="AD3">
        <v>0</v>
      </c>
      <c r="AG3">
        <v>75</v>
      </c>
      <c r="AH3">
        <v>32</v>
      </c>
      <c r="AI3">
        <v>65</v>
      </c>
      <c r="AJ3">
        <v>11</v>
      </c>
      <c r="AK3">
        <v>19</v>
      </c>
    </row>
    <row r="4" spans="1:37">
      <c r="A4" t="s">
        <v>533</v>
      </c>
      <c r="B4" t="s">
        <v>1751</v>
      </c>
      <c r="C4">
        <v>16.1</v>
      </c>
      <c r="D4" t="s">
        <v>82</v>
      </c>
      <c r="E4">
        <v>7</v>
      </c>
      <c r="F4">
        <v>0</v>
      </c>
      <c r="G4">
        <v>0</v>
      </c>
      <c r="I4">
        <v>1.00037</v>
      </c>
      <c r="J4">
        <v>1.01272</v>
      </c>
      <c r="K4">
        <v>1.01687</v>
      </c>
      <c r="L4">
        <v>1.03361</v>
      </c>
      <c r="M4">
        <v>0.89629</v>
      </c>
      <c r="N4">
        <v>0.98931</v>
      </c>
      <c r="O4">
        <v>1</v>
      </c>
      <c r="P4">
        <v>1.00382</v>
      </c>
      <c r="Q4">
        <v>1</v>
      </c>
      <c r="R4">
        <v>1</v>
      </c>
      <c r="S4">
        <v>1</v>
      </c>
      <c r="T4">
        <v>1</v>
      </c>
      <c r="U4">
        <v>1</v>
      </c>
      <c r="V4">
        <v>67.163</v>
      </c>
      <c r="W4">
        <v>35.86</v>
      </c>
      <c r="X4">
        <v>70.294</v>
      </c>
      <c r="Y4">
        <v>15.279</v>
      </c>
      <c r="Z4">
        <v>26.715</v>
      </c>
      <c r="AA4">
        <v>215.312</v>
      </c>
      <c r="AB4">
        <v>1.06081</v>
      </c>
      <c r="AC4">
        <v>208</v>
      </c>
      <c r="AD4">
        <v>0</v>
      </c>
      <c r="AG4">
        <v>63</v>
      </c>
      <c r="AH4">
        <v>34</v>
      </c>
      <c r="AI4">
        <v>70</v>
      </c>
      <c r="AJ4">
        <v>19</v>
      </c>
      <c r="AK4">
        <v>22</v>
      </c>
    </row>
    <row r="5" spans="1:37">
      <c r="A5" t="s">
        <v>534</v>
      </c>
      <c r="B5" t="s">
        <v>1751</v>
      </c>
      <c r="C5">
        <v>16</v>
      </c>
      <c r="D5" t="s">
        <v>82</v>
      </c>
      <c r="E5">
        <v>8</v>
      </c>
      <c r="F5">
        <v>0</v>
      </c>
      <c r="G5">
        <v>0</v>
      </c>
      <c r="I5">
        <v>1.00056</v>
      </c>
      <c r="J5">
        <v>1.01476</v>
      </c>
      <c r="K5">
        <v>1.01687</v>
      </c>
      <c r="L5">
        <v>1.03313</v>
      </c>
      <c r="M5">
        <v>0.93435</v>
      </c>
      <c r="N5">
        <v>0.98859</v>
      </c>
      <c r="O5">
        <v>1</v>
      </c>
      <c r="P5">
        <v>1.00263</v>
      </c>
      <c r="Q5">
        <v>1</v>
      </c>
      <c r="R5">
        <v>1</v>
      </c>
      <c r="S5">
        <v>1</v>
      </c>
      <c r="T5">
        <v>1</v>
      </c>
      <c r="U5">
        <v>1</v>
      </c>
      <c r="V5">
        <v>65.898</v>
      </c>
      <c r="W5">
        <v>34.095</v>
      </c>
      <c r="X5">
        <v>78.354</v>
      </c>
      <c r="Y5">
        <v>17.792</v>
      </c>
      <c r="Z5">
        <v>28.119</v>
      </c>
      <c r="AA5">
        <v>224.258</v>
      </c>
      <c r="AB5">
        <v>0.99055</v>
      </c>
      <c r="AC5">
        <v>216</v>
      </c>
      <c r="AD5">
        <v>0</v>
      </c>
      <c r="AG5">
        <v>68</v>
      </c>
      <c r="AH5">
        <v>35</v>
      </c>
      <c r="AI5">
        <v>77</v>
      </c>
      <c r="AJ5">
        <v>11</v>
      </c>
      <c r="AK5">
        <v>25</v>
      </c>
    </row>
    <row r="6" spans="1:37">
      <c r="A6" t="s">
        <v>535</v>
      </c>
      <c r="B6" t="s">
        <v>1752</v>
      </c>
      <c r="C6">
        <v>16</v>
      </c>
      <c r="D6" t="s">
        <v>82</v>
      </c>
      <c r="E6">
        <v>9</v>
      </c>
      <c r="F6">
        <v>0</v>
      </c>
      <c r="G6">
        <v>0</v>
      </c>
      <c r="I6">
        <v>1.00074</v>
      </c>
      <c r="J6">
        <v>1.01908</v>
      </c>
      <c r="K6">
        <v>1.01687</v>
      </c>
      <c r="L6">
        <v>1.03266</v>
      </c>
      <c r="M6">
        <v>1.14153</v>
      </c>
      <c r="N6">
        <v>0.99168</v>
      </c>
      <c r="O6">
        <v>1</v>
      </c>
      <c r="P6">
        <v>1.00194</v>
      </c>
      <c r="Q6">
        <v>1</v>
      </c>
      <c r="R6">
        <v>1</v>
      </c>
      <c r="S6">
        <v>1</v>
      </c>
      <c r="T6">
        <v>1</v>
      </c>
      <c r="U6">
        <v>1</v>
      </c>
      <c r="V6">
        <v>62.088</v>
      </c>
      <c r="W6">
        <v>28.809</v>
      </c>
      <c r="X6">
        <v>119.926</v>
      </c>
      <c r="Y6">
        <v>30.585</v>
      </c>
      <c r="Z6">
        <v>33.43</v>
      </c>
      <c r="AA6">
        <v>274.838</v>
      </c>
      <c r="AB6">
        <v>0.90318</v>
      </c>
      <c r="AC6">
        <v>267</v>
      </c>
      <c r="AD6">
        <v>0</v>
      </c>
      <c r="AG6">
        <v>57</v>
      </c>
      <c r="AH6">
        <v>24</v>
      </c>
      <c r="AI6">
        <v>124</v>
      </c>
      <c r="AJ6">
        <v>36</v>
      </c>
      <c r="AK6">
        <v>26</v>
      </c>
    </row>
    <row r="7" spans="1:37">
      <c r="A7" t="s">
        <v>536</v>
      </c>
      <c r="B7" t="s">
        <v>1753</v>
      </c>
      <c r="C7">
        <v>16.6</v>
      </c>
      <c r="D7" t="s">
        <v>82</v>
      </c>
      <c r="E7">
        <v>10</v>
      </c>
      <c r="F7">
        <v>0</v>
      </c>
      <c r="G7">
        <v>0</v>
      </c>
      <c r="I7">
        <v>1.00093</v>
      </c>
      <c r="J7">
        <v>1.01413</v>
      </c>
      <c r="K7">
        <v>1.01687</v>
      </c>
      <c r="L7">
        <v>1.03222</v>
      </c>
      <c r="M7">
        <v>0.93341</v>
      </c>
      <c r="N7">
        <v>1.00076</v>
      </c>
      <c r="O7">
        <v>1</v>
      </c>
      <c r="P7">
        <v>1.00153</v>
      </c>
      <c r="Q7">
        <v>1</v>
      </c>
      <c r="R7">
        <v>1</v>
      </c>
      <c r="S7">
        <v>1</v>
      </c>
      <c r="T7">
        <v>1</v>
      </c>
      <c r="U7">
        <v>1</v>
      </c>
      <c r="V7">
        <v>14.768</v>
      </c>
      <c r="W7">
        <v>12.534</v>
      </c>
      <c r="X7">
        <v>112.719</v>
      </c>
      <c r="Y7">
        <v>48.67</v>
      </c>
      <c r="Z7">
        <v>36.475</v>
      </c>
      <c r="AA7">
        <v>225.165</v>
      </c>
      <c r="AB7">
        <v>1.03095</v>
      </c>
      <c r="AC7">
        <v>202</v>
      </c>
      <c r="AD7">
        <v>0</v>
      </c>
      <c r="AG7">
        <v>10</v>
      </c>
      <c r="AH7">
        <v>15</v>
      </c>
      <c r="AI7">
        <v>112</v>
      </c>
      <c r="AJ7">
        <v>40</v>
      </c>
      <c r="AK7">
        <v>25</v>
      </c>
    </row>
    <row r="8" spans="1:37">
      <c r="A8" t="s">
        <v>537</v>
      </c>
      <c r="B8" t="s">
        <v>1754</v>
      </c>
      <c r="C8">
        <v>16.8</v>
      </c>
      <c r="D8" t="s">
        <v>82</v>
      </c>
      <c r="E8">
        <v>11</v>
      </c>
      <c r="F8">
        <v>0</v>
      </c>
      <c r="G8">
        <v>0</v>
      </c>
      <c r="I8">
        <v>1.00112</v>
      </c>
      <c r="J8">
        <v>1.01238</v>
      </c>
      <c r="K8">
        <v>1.01687</v>
      </c>
      <c r="L8">
        <v>1.0318</v>
      </c>
      <c r="M8">
        <v>0.86692</v>
      </c>
      <c r="N8">
        <v>1.00336</v>
      </c>
      <c r="O8">
        <v>1</v>
      </c>
      <c r="P8">
        <v>1.00098</v>
      </c>
      <c r="Q8">
        <v>1</v>
      </c>
      <c r="R8">
        <v>1</v>
      </c>
      <c r="S8">
        <v>1</v>
      </c>
      <c r="T8">
        <v>1</v>
      </c>
      <c r="U8">
        <v>1</v>
      </c>
      <c r="V8">
        <v>20.096</v>
      </c>
      <c r="W8">
        <v>19.653</v>
      </c>
      <c r="X8">
        <v>96.26000000000001</v>
      </c>
      <c r="Y8">
        <v>41.029</v>
      </c>
      <c r="Z8">
        <v>32.121</v>
      </c>
      <c r="AA8">
        <v>209.159</v>
      </c>
      <c r="AB8">
        <v>0.93694</v>
      </c>
      <c r="AC8">
        <v>246</v>
      </c>
      <c r="AD8">
        <v>0</v>
      </c>
      <c r="AG8">
        <v>23</v>
      </c>
      <c r="AH8">
        <v>29</v>
      </c>
      <c r="AI8">
        <v>106</v>
      </c>
      <c r="AJ8">
        <v>46</v>
      </c>
      <c r="AK8">
        <v>42</v>
      </c>
    </row>
    <row r="9" spans="1:37">
      <c r="A9" t="s">
        <v>366</v>
      </c>
      <c r="B9" t="s">
        <v>1751</v>
      </c>
      <c r="C9">
        <v>14</v>
      </c>
      <c r="D9" t="s">
        <v>82</v>
      </c>
      <c r="E9">
        <v>12</v>
      </c>
      <c r="F9">
        <v>0</v>
      </c>
      <c r="G9">
        <v>0</v>
      </c>
      <c r="I9">
        <v>1.0013</v>
      </c>
      <c r="J9">
        <v>1.02123</v>
      </c>
      <c r="K9">
        <v>1.01687</v>
      </c>
      <c r="L9">
        <v>1.03142</v>
      </c>
      <c r="M9">
        <v>0.90041</v>
      </c>
      <c r="N9">
        <v>0.966</v>
      </c>
      <c r="O9">
        <v>1</v>
      </c>
      <c r="P9">
        <v>1.0005</v>
      </c>
      <c r="Q9">
        <v>1</v>
      </c>
      <c r="R9">
        <v>1</v>
      </c>
      <c r="S9">
        <v>1</v>
      </c>
      <c r="T9">
        <v>1</v>
      </c>
      <c r="U9">
        <v>1</v>
      </c>
      <c r="V9">
        <v>70.929</v>
      </c>
      <c r="W9">
        <v>36.033</v>
      </c>
      <c r="X9">
        <v>64.31399999999999</v>
      </c>
      <c r="Y9">
        <v>14.732</v>
      </c>
      <c r="Z9">
        <v>25.304</v>
      </c>
      <c r="AA9">
        <v>211.311</v>
      </c>
      <c r="AB9">
        <v>0.99381</v>
      </c>
      <c r="AC9">
        <v>204</v>
      </c>
      <c r="AD9">
        <v>0</v>
      </c>
      <c r="AG9">
        <v>80</v>
      </c>
      <c r="AH9">
        <v>30</v>
      </c>
      <c r="AI9">
        <v>57</v>
      </c>
      <c r="AJ9">
        <v>15</v>
      </c>
      <c r="AK9">
        <v>22</v>
      </c>
    </row>
    <row r="10" spans="1:37">
      <c r="A10" t="s">
        <v>538</v>
      </c>
      <c r="B10" t="s">
        <v>1751</v>
      </c>
      <c r="C10">
        <v>13.5</v>
      </c>
      <c r="D10" t="s">
        <v>82</v>
      </c>
      <c r="E10">
        <v>13</v>
      </c>
      <c r="F10">
        <v>0</v>
      </c>
      <c r="G10">
        <v>0</v>
      </c>
      <c r="I10">
        <v>1.00149</v>
      </c>
      <c r="J10">
        <v>1.01258</v>
      </c>
      <c r="K10">
        <v>1.01687</v>
      </c>
      <c r="L10">
        <v>1.03108</v>
      </c>
      <c r="M10">
        <v>0.8747</v>
      </c>
      <c r="N10">
        <v>0.95999</v>
      </c>
      <c r="O10">
        <v>1</v>
      </c>
      <c r="P10">
        <v>1.00034</v>
      </c>
      <c r="Q10">
        <v>1</v>
      </c>
      <c r="R10">
        <v>1</v>
      </c>
      <c r="S10">
        <v>1</v>
      </c>
      <c r="T10">
        <v>1</v>
      </c>
      <c r="U10">
        <v>1</v>
      </c>
      <c r="V10">
        <v>66.964</v>
      </c>
      <c r="W10">
        <v>35.718</v>
      </c>
      <c r="X10">
        <v>61.398</v>
      </c>
      <c r="Y10">
        <v>13.266</v>
      </c>
      <c r="Z10">
        <v>24.869</v>
      </c>
      <c r="AA10">
        <v>202.215</v>
      </c>
      <c r="AB10">
        <v>0.99194</v>
      </c>
      <c r="AC10">
        <v>201</v>
      </c>
      <c r="AD10">
        <v>0</v>
      </c>
      <c r="AG10">
        <v>70</v>
      </c>
      <c r="AH10">
        <v>31</v>
      </c>
      <c r="AI10">
        <v>64</v>
      </c>
      <c r="AJ10">
        <v>14</v>
      </c>
      <c r="AK10">
        <v>22</v>
      </c>
    </row>
    <row r="11" spans="1:37">
      <c r="A11" t="s">
        <v>539</v>
      </c>
      <c r="B11" t="s">
        <v>1751</v>
      </c>
      <c r="C11">
        <v>13.8</v>
      </c>
      <c r="D11" t="s">
        <v>82</v>
      </c>
      <c r="E11">
        <v>14</v>
      </c>
      <c r="F11">
        <v>0</v>
      </c>
      <c r="G11">
        <v>0</v>
      </c>
      <c r="I11">
        <v>1.00168</v>
      </c>
      <c r="J11">
        <v>1.01044</v>
      </c>
      <c r="K11">
        <v>1.01687</v>
      </c>
      <c r="L11">
        <v>1.03078</v>
      </c>
      <c r="M11">
        <v>0.89864</v>
      </c>
      <c r="N11">
        <v>0.96286</v>
      </c>
      <c r="O11">
        <v>1</v>
      </c>
      <c r="P11">
        <v>1.00023</v>
      </c>
      <c r="Q11">
        <v>1</v>
      </c>
      <c r="R11">
        <v>1</v>
      </c>
      <c r="S11">
        <v>1</v>
      </c>
      <c r="T11">
        <v>1</v>
      </c>
      <c r="U11">
        <v>1</v>
      </c>
      <c r="V11">
        <v>66.812</v>
      </c>
      <c r="W11">
        <v>35.636</v>
      </c>
      <c r="X11">
        <v>65.58</v>
      </c>
      <c r="Y11">
        <v>14.514</v>
      </c>
      <c r="Z11">
        <v>25.49</v>
      </c>
      <c r="AA11">
        <v>208.032</v>
      </c>
      <c r="AB11">
        <v>0.9797400000000001</v>
      </c>
      <c r="AC11">
        <v>183</v>
      </c>
      <c r="AD11">
        <v>0</v>
      </c>
      <c r="AG11">
        <v>56</v>
      </c>
      <c r="AH11">
        <v>29</v>
      </c>
      <c r="AI11">
        <v>59</v>
      </c>
      <c r="AJ11">
        <v>15</v>
      </c>
      <c r="AK11">
        <v>24</v>
      </c>
    </row>
    <row r="12" spans="1:37">
      <c r="A12" t="s">
        <v>540</v>
      </c>
      <c r="B12" t="s">
        <v>1751</v>
      </c>
      <c r="C12">
        <v>13.4</v>
      </c>
      <c r="D12" t="s">
        <v>82</v>
      </c>
      <c r="E12">
        <v>15</v>
      </c>
      <c r="F12">
        <v>0</v>
      </c>
      <c r="G12">
        <v>0</v>
      </c>
      <c r="I12">
        <v>1.00186</v>
      </c>
      <c r="J12">
        <v>1.00639</v>
      </c>
      <c r="K12">
        <v>1.01687</v>
      </c>
      <c r="L12">
        <v>1.03053</v>
      </c>
      <c r="M12">
        <v>0.93506</v>
      </c>
      <c r="N12">
        <v>0.95701</v>
      </c>
      <c r="O12">
        <v>1</v>
      </c>
      <c r="P12">
        <v>0.9975000000000001</v>
      </c>
      <c r="Q12">
        <v>1</v>
      </c>
      <c r="R12">
        <v>1</v>
      </c>
      <c r="S12">
        <v>1</v>
      </c>
      <c r="T12">
        <v>1</v>
      </c>
      <c r="U12">
        <v>1</v>
      </c>
      <c r="V12">
        <v>65.13500000000001</v>
      </c>
      <c r="W12">
        <v>33.651</v>
      </c>
      <c r="X12">
        <v>71.98099999999999</v>
      </c>
      <c r="Y12">
        <v>16.681</v>
      </c>
      <c r="Z12">
        <v>26.483</v>
      </c>
      <c r="AA12">
        <v>213.931</v>
      </c>
      <c r="AB12">
        <v>1.09898</v>
      </c>
      <c r="AC12">
        <v>258</v>
      </c>
      <c r="AD12">
        <v>0</v>
      </c>
      <c r="AG12">
        <v>74</v>
      </c>
      <c r="AH12">
        <v>42</v>
      </c>
      <c r="AI12">
        <v>89</v>
      </c>
      <c r="AJ12">
        <v>14</v>
      </c>
      <c r="AK12">
        <v>39</v>
      </c>
    </row>
    <row r="13" spans="1:37">
      <c r="A13" t="s">
        <v>541</v>
      </c>
      <c r="B13" t="s">
        <v>1752</v>
      </c>
      <c r="C13">
        <v>13.7</v>
      </c>
      <c r="D13" t="s">
        <v>82</v>
      </c>
      <c r="E13">
        <v>16</v>
      </c>
      <c r="F13">
        <v>0</v>
      </c>
      <c r="G13">
        <v>0</v>
      </c>
      <c r="I13">
        <v>1.00205</v>
      </c>
      <c r="J13">
        <v>0.99647</v>
      </c>
      <c r="K13">
        <v>1.01687</v>
      </c>
      <c r="L13">
        <v>1.03032</v>
      </c>
      <c r="M13">
        <v>1.13413</v>
      </c>
      <c r="N13">
        <v>0.95723</v>
      </c>
      <c r="O13">
        <v>1</v>
      </c>
      <c r="P13">
        <v>0.99425</v>
      </c>
      <c r="Q13">
        <v>1</v>
      </c>
      <c r="R13">
        <v>1</v>
      </c>
      <c r="S13">
        <v>1</v>
      </c>
      <c r="T13">
        <v>1</v>
      </c>
      <c r="U13">
        <v>1</v>
      </c>
      <c r="V13">
        <v>60.474</v>
      </c>
      <c r="W13">
        <v>28.004</v>
      </c>
      <c r="X13">
        <v>109.189</v>
      </c>
      <c r="Y13">
        <v>28.354</v>
      </c>
      <c r="Z13">
        <v>31.126</v>
      </c>
      <c r="AA13">
        <v>257.148</v>
      </c>
      <c r="AB13">
        <v>1.08487</v>
      </c>
      <c r="AC13">
        <v>282</v>
      </c>
      <c r="AD13">
        <v>0</v>
      </c>
      <c r="AG13">
        <v>71</v>
      </c>
      <c r="AH13">
        <v>26</v>
      </c>
      <c r="AI13">
        <v>134</v>
      </c>
      <c r="AJ13">
        <v>26</v>
      </c>
      <c r="AK13">
        <v>25</v>
      </c>
    </row>
    <row r="14" spans="1:37">
      <c r="A14" t="s">
        <v>542</v>
      </c>
      <c r="B14" t="s">
        <v>1753</v>
      </c>
      <c r="C14">
        <v>12.9</v>
      </c>
      <c r="D14" t="s">
        <v>82</v>
      </c>
      <c r="E14">
        <v>17</v>
      </c>
      <c r="F14">
        <v>0</v>
      </c>
      <c r="G14">
        <v>0</v>
      </c>
      <c r="I14">
        <v>1.00223</v>
      </c>
      <c r="J14">
        <v>0.99674</v>
      </c>
      <c r="K14">
        <v>1.01687</v>
      </c>
      <c r="L14">
        <v>1.03017</v>
      </c>
      <c r="M14">
        <v>0.90783</v>
      </c>
      <c r="N14">
        <v>0.93131</v>
      </c>
      <c r="O14">
        <v>1</v>
      </c>
      <c r="P14">
        <v>0.98973</v>
      </c>
      <c r="Q14">
        <v>1</v>
      </c>
      <c r="R14">
        <v>1</v>
      </c>
      <c r="S14">
        <v>1</v>
      </c>
      <c r="T14">
        <v>1</v>
      </c>
      <c r="U14">
        <v>1</v>
      </c>
      <c r="V14">
        <v>14.449</v>
      </c>
      <c r="W14">
        <v>12.232</v>
      </c>
      <c r="X14">
        <v>99.306</v>
      </c>
      <c r="Y14">
        <v>44.123</v>
      </c>
      <c r="Z14">
        <v>33.257</v>
      </c>
      <c r="AA14">
        <v>203.368</v>
      </c>
      <c r="AB14">
        <v>0.90025</v>
      </c>
      <c r="AC14">
        <v>187</v>
      </c>
      <c r="AD14">
        <v>0</v>
      </c>
      <c r="AG14">
        <v>14</v>
      </c>
      <c r="AH14">
        <v>13</v>
      </c>
      <c r="AI14">
        <v>87</v>
      </c>
      <c r="AJ14">
        <v>46</v>
      </c>
      <c r="AK14">
        <v>27</v>
      </c>
    </row>
    <row r="15" spans="1:37">
      <c r="A15" t="s">
        <v>543</v>
      </c>
      <c r="B15" t="s">
        <v>1754</v>
      </c>
      <c r="C15">
        <v>14</v>
      </c>
      <c r="D15" t="s">
        <v>82</v>
      </c>
      <c r="E15">
        <v>18</v>
      </c>
      <c r="F15">
        <v>0</v>
      </c>
      <c r="G15">
        <v>0</v>
      </c>
      <c r="I15">
        <v>1.00242</v>
      </c>
      <c r="J15">
        <v>0.9931</v>
      </c>
      <c r="K15">
        <v>1.01687</v>
      </c>
      <c r="L15">
        <v>1.03006</v>
      </c>
      <c r="M15">
        <v>0.85217</v>
      </c>
      <c r="N15">
        <v>0.95401</v>
      </c>
      <c r="O15">
        <v>1</v>
      </c>
      <c r="P15">
        <v>0.98686</v>
      </c>
      <c r="Q15">
        <v>1</v>
      </c>
      <c r="R15">
        <v>1</v>
      </c>
      <c r="S15">
        <v>1</v>
      </c>
      <c r="T15">
        <v>1</v>
      </c>
      <c r="U15">
        <v>1</v>
      </c>
      <c r="V15">
        <v>19.61</v>
      </c>
      <c r="W15">
        <v>19.117</v>
      </c>
      <c r="X15">
        <v>86.321</v>
      </c>
      <c r="Y15">
        <v>37.596</v>
      </c>
      <c r="Z15">
        <v>29.598</v>
      </c>
      <c r="AA15">
        <v>192.243</v>
      </c>
      <c r="AB15">
        <v>0.94718</v>
      </c>
      <c r="AC15">
        <v>171</v>
      </c>
      <c r="AD15">
        <v>0</v>
      </c>
      <c r="AG15">
        <v>18</v>
      </c>
      <c r="AH15">
        <v>16</v>
      </c>
      <c r="AI15">
        <v>76</v>
      </c>
      <c r="AJ15">
        <v>42</v>
      </c>
      <c r="AK15">
        <v>19</v>
      </c>
    </row>
    <row r="16" spans="1:37">
      <c r="A16" t="s">
        <v>367</v>
      </c>
      <c r="B16" t="s">
        <v>1751</v>
      </c>
      <c r="C16">
        <v>15.1</v>
      </c>
      <c r="D16" t="s">
        <v>82</v>
      </c>
      <c r="E16">
        <v>19</v>
      </c>
      <c r="F16">
        <v>0</v>
      </c>
      <c r="G16">
        <v>0</v>
      </c>
      <c r="I16">
        <v>1.00261</v>
      </c>
      <c r="J16">
        <v>1.00489</v>
      </c>
      <c r="K16">
        <v>1.01687</v>
      </c>
      <c r="L16">
        <v>1.03001</v>
      </c>
      <c r="M16">
        <v>0.89973</v>
      </c>
      <c r="N16">
        <v>0.97832</v>
      </c>
      <c r="O16">
        <v>1</v>
      </c>
      <c r="P16">
        <v>0.98721</v>
      </c>
      <c r="Q16">
        <v>1</v>
      </c>
      <c r="R16">
        <v>1</v>
      </c>
      <c r="S16">
        <v>1</v>
      </c>
      <c r="T16">
        <v>1</v>
      </c>
      <c r="U16">
        <v>1</v>
      </c>
      <c r="V16">
        <v>69.381</v>
      </c>
      <c r="W16">
        <v>35.109</v>
      </c>
      <c r="X16">
        <v>63.879</v>
      </c>
      <c r="Y16">
        <v>14.505</v>
      </c>
      <c r="Z16">
        <v>24.866</v>
      </c>
      <c r="AA16">
        <v>207.74</v>
      </c>
      <c r="AB16">
        <v>0.91034</v>
      </c>
      <c r="AC16">
        <v>188</v>
      </c>
      <c r="AD16">
        <v>0</v>
      </c>
      <c r="AG16">
        <v>61</v>
      </c>
      <c r="AH16">
        <v>34</v>
      </c>
      <c r="AI16">
        <v>63</v>
      </c>
      <c r="AJ16">
        <v>9</v>
      </c>
      <c r="AK16">
        <v>21</v>
      </c>
    </row>
    <row r="17" spans="1:37">
      <c r="A17" t="s">
        <v>544</v>
      </c>
      <c r="B17" t="s">
        <v>1751</v>
      </c>
      <c r="C17">
        <v>14.2</v>
      </c>
      <c r="D17" t="s">
        <v>82</v>
      </c>
      <c r="E17">
        <v>20</v>
      </c>
      <c r="F17">
        <v>0</v>
      </c>
      <c r="G17">
        <v>0</v>
      </c>
      <c r="I17">
        <v>1.00279</v>
      </c>
      <c r="J17">
        <v>0.99942</v>
      </c>
      <c r="K17">
        <v>1.01687</v>
      </c>
      <c r="L17">
        <v>1.02999</v>
      </c>
      <c r="M17">
        <v>0.87468</v>
      </c>
      <c r="N17">
        <v>0.96772</v>
      </c>
      <c r="O17">
        <v>1</v>
      </c>
      <c r="P17">
        <v>0.98467</v>
      </c>
      <c r="Q17">
        <v>1</v>
      </c>
      <c r="R17">
        <v>1</v>
      </c>
      <c r="S17">
        <v>1</v>
      </c>
      <c r="T17">
        <v>1</v>
      </c>
      <c r="U17">
        <v>1</v>
      </c>
      <c r="V17">
        <v>65.655</v>
      </c>
      <c r="W17">
        <v>34.858</v>
      </c>
      <c r="X17">
        <v>60.301</v>
      </c>
      <c r="Y17">
        <v>12.957</v>
      </c>
      <c r="Z17">
        <v>24.273</v>
      </c>
      <c r="AA17">
        <v>198.044</v>
      </c>
      <c r="AB17">
        <v>0.97719</v>
      </c>
      <c r="AC17">
        <v>196</v>
      </c>
      <c r="AD17">
        <v>0</v>
      </c>
      <c r="AG17">
        <v>72</v>
      </c>
      <c r="AH17">
        <v>36</v>
      </c>
      <c r="AI17">
        <v>61</v>
      </c>
      <c r="AJ17">
        <v>12</v>
      </c>
      <c r="AK17">
        <v>15</v>
      </c>
    </row>
    <row r="18" spans="1:37">
      <c r="A18" t="s">
        <v>545</v>
      </c>
      <c r="B18" t="s">
        <v>1751</v>
      </c>
      <c r="C18">
        <v>13</v>
      </c>
      <c r="D18" t="s">
        <v>82</v>
      </c>
      <c r="E18">
        <v>21</v>
      </c>
      <c r="F18">
        <v>0</v>
      </c>
      <c r="G18">
        <v>0</v>
      </c>
      <c r="I18">
        <v>1.00298</v>
      </c>
      <c r="J18">
        <v>1.00651</v>
      </c>
      <c r="K18">
        <v>1.01687</v>
      </c>
      <c r="L18">
        <v>1.02994</v>
      </c>
      <c r="M18">
        <v>0.90013</v>
      </c>
      <c r="N18">
        <v>0.95469</v>
      </c>
      <c r="O18">
        <v>1</v>
      </c>
      <c r="P18">
        <v>0.98199</v>
      </c>
      <c r="Q18">
        <v>1</v>
      </c>
      <c r="R18">
        <v>1</v>
      </c>
      <c r="S18">
        <v>1</v>
      </c>
      <c r="T18">
        <v>1</v>
      </c>
      <c r="U18">
        <v>1</v>
      </c>
      <c r="V18">
        <v>66.054</v>
      </c>
      <c r="W18">
        <v>35.043</v>
      </c>
      <c r="X18">
        <v>62.359</v>
      </c>
      <c r="Y18">
        <v>13.886</v>
      </c>
      <c r="Z18">
        <v>24.395</v>
      </c>
      <c r="AA18">
        <v>201.737</v>
      </c>
      <c r="AB18">
        <v>0.92997</v>
      </c>
      <c r="AC18">
        <v>179</v>
      </c>
      <c r="AD18">
        <v>0</v>
      </c>
      <c r="AG18">
        <v>69</v>
      </c>
      <c r="AH18">
        <v>27</v>
      </c>
      <c r="AI18">
        <v>52</v>
      </c>
      <c r="AJ18">
        <v>6</v>
      </c>
      <c r="AK18">
        <v>25</v>
      </c>
    </row>
    <row r="19" spans="1:37">
      <c r="A19" t="s">
        <v>546</v>
      </c>
      <c r="B19" t="s">
        <v>1751</v>
      </c>
      <c r="C19">
        <v>15.5</v>
      </c>
      <c r="D19" t="s">
        <v>82</v>
      </c>
      <c r="E19">
        <v>22</v>
      </c>
      <c r="F19">
        <v>0</v>
      </c>
      <c r="G19">
        <v>0</v>
      </c>
      <c r="I19">
        <v>1.00317</v>
      </c>
      <c r="J19">
        <v>1.00429</v>
      </c>
      <c r="K19">
        <v>1.01687</v>
      </c>
      <c r="L19">
        <v>1.02983</v>
      </c>
      <c r="M19">
        <v>0.93482</v>
      </c>
      <c r="N19">
        <v>0.98251</v>
      </c>
      <c r="O19">
        <v>1</v>
      </c>
      <c r="P19">
        <v>0.97853</v>
      </c>
      <c r="Q19">
        <v>1</v>
      </c>
      <c r="R19">
        <v>1</v>
      </c>
      <c r="S19">
        <v>1</v>
      </c>
      <c r="T19">
        <v>1</v>
      </c>
      <c r="U19">
        <v>1</v>
      </c>
      <c r="V19">
        <v>64.523</v>
      </c>
      <c r="W19">
        <v>33.157</v>
      </c>
      <c r="X19">
        <v>73.922</v>
      </c>
      <c r="Y19">
        <v>16.85</v>
      </c>
      <c r="Z19">
        <v>26.661</v>
      </c>
      <c r="AA19">
        <v>215.113</v>
      </c>
      <c r="AB19">
        <v>0.91429</v>
      </c>
      <c r="AC19">
        <v>206</v>
      </c>
      <c r="AD19">
        <v>0</v>
      </c>
      <c r="AG19">
        <v>67</v>
      </c>
      <c r="AH19">
        <v>24</v>
      </c>
      <c r="AI19">
        <v>71</v>
      </c>
      <c r="AJ19">
        <v>14</v>
      </c>
      <c r="AK19">
        <v>30</v>
      </c>
    </row>
    <row r="20" spans="1:37">
      <c r="A20" t="s">
        <v>547</v>
      </c>
      <c r="B20" t="s">
        <v>1752</v>
      </c>
      <c r="C20">
        <v>14.8</v>
      </c>
      <c r="D20" t="s">
        <v>82</v>
      </c>
      <c r="E20">
        <v>23</v>
      </c>
      <c r="F20">
        <v>0</v>
      </c>
      <c r="G20">
        <v>0</v>
      </c>
      <c r="I20">
        <v>1.00335</v>
      </c>
      <c r="J20">
        <v>1.0026</v>
      </c>
      <c r="K20">
        <v>1.01687</v>
      </c>
      <c r="L20">
        <v>1.02968</v>
      </c>
      <c r="M20">
        <v>1.13544</v>
      </c>
      <c r="N20">
        <v>0.97355</v>
      </c>
      <c r="O20">
        <v>1</v>
      </c>
      <c r="P20">
        <v>0.9735</v>
      </c>
      <c r="Q20">
        <v>1</v>
      </c>
      <c r="R20">
        <v>1</v>
      </c>
      <c r="S20">
        <v>1</v>
      </c>
      <c r="T20">
        <v>1</v>
      </c>
      <c r="U20">
        <v>1</v>
      </c>
      <c r="V20">
        <v>60.403</v>
      </c>
      <c r="W20">
        <v>27.822</v>
      </c>
      <c r="X20">
        <v>110.137</v>
      </c>
      <c r="Y20">
        <v>28.353</v>
      </c>
      <c r="Z20">
        <v>31.073</v>
      </c>
      <c r="AA20">
        <v>257.79</v>
      </c>
      <c r="AB20">
        <v>0.94432</v>
      </c>
      <c r="AC20">
        <v>247</v>
      </c>
      <c r="AD20">
        <v>0</v>
      </c>
      <c r="AG20">
        <v>49</v>
      </c>
      <c r="AH20">
        <v>24</v>
      </c>
      <c r="AI20">
        <v>109</v>
      </c>
      <c r="AJ20">
        <v>26</v>
      </c>
      <c r="AK20">
        <v>39</v>
      </c>
    </row>
    <row r="21" spans="1:37">
      <c r="A21" t="s">
        <v>548</v>
      </c>
      <c r="B21" t="s">
        <v>1753</v>
      </c>
      <c r="C21">
        <v>14.5</v>
      </c>
      <c r="D21" t="s">
        <v>82</v>
      </c>
      <c r="E21">
        <v>24</v>
      </c>
      <c r="F21">
        <v>0</v>
      </c>
      <c r="G21">
        <v>0</v>
      </c>
      <c r="I21">
        <v>1.00354</v>
      </c>
      <c r="J21">
        <v>0.9917</v>
      </c>
      <c r="K21">
        <v>1.01687</v>
      </c>
      <c r="L21">
        <v>1.02947</v>
      </c>
      <c r="M21">
        <v>0.91273</v>
      </c>
      <c r="N21">
        <v>0.96027</v>
      </c>
      <c r="O21">
        <v>1</v>
      </c>
      <c r="P21">
        <v>0.96539</v>
      </c>
      <c r="Q21">
        <v>1</v>
      </c>
      <c r="R21">
        <v>1</v>
      </c>
      <c r="S21">
        <v>1</v>
      </c>
      <c r="T21">
        <v>1</v>
      </c>
      <c r="U21">
        <v>1</v>
      </c>
      <c r="V21">
        <v>14.271</v>
      </c>
      <c r="W21">
        <v>12.017</v>
      </c>
      <c r="X21">
        <v>100.231</v>
      </c>
      <c r="Y21">
        <v>43.986</v>
      </c>
      <c r="Z21">
        <v>33.112</v>
      </c>
      <c r="AA21">
        <v>203.617</v>
      </c>
      <c r="AB21">
        <v>1.07272</v>
      </c>
      <c r="AC21">
        <v>225</v>
      </c>
      <c r="AD21">
        <v>0</v>
      </c>
      <c r="AG21">
        <v>18</v>
      </c>
      <c r="AH21">
        <v>8</v>
      </c>
      <c r="AI21">
        <v>111</v>
      </c>
      <c r="AJ21">
        <v>52</v>
      </c>
      <c r="AK21">
        <v>36</v>
      </c>
    </row>
    <row r="22" spans="1:37">
      <c r="A22" t="s">
        <v>549</v>
      </c>
      <c r="B22" t="s">
        <v>1754</v>
      </c>
      <c r="C22">
        <v>16.4</v>
      </c>
      <c r="D22" t="s">
        <v>82</v>
      </c>
      <c r="E22">
        <v>25</v>
      </c>
      <c r="F22">
        <v>0</v>
      </c>
      <c r="G22">
        <v>0</v>
      </c>
      <c r="I22">
        <v>1.00372</v>
      </c>
      <c r="J22">
        <v>1.00028</v>
      </c>
      <c r="K22">
        <v>1.01687</v>
      </c>
      <c r="L22">
        <v>1.02922</v>
      </c>
      <c r="M22">
        <v>0.8593499999999999</v>
      </c>
      <c r="N22">
        <v>0.99636</v>
      </c>
      <c r="O22">
        <v>1</v>
      </c>
      <c r="P22">
        <v>0.9635</v>
      </c>
      <c r="Q22">
        <v>1</v>
      </c>
      <c r="R22">
        <v>1</v>
      </c>
      <c r="S22">
        <v>1</v>
      </c>
      <c r="T22">
        <v>1</v>
      </c>
      <c r="U22">
        <v>1</v>
      </c>
      <c r="V22">
        <v>19.605</v>
      </c>
      <c r="W22">
        <v>19.009</v>
      </c>
      <c r="X22">
        <v>90.18300000000001</v>
      </c>
      <c r="Y22">
        <v>38.55</v>
      </c>
      <c r="Z22">
        <v>30.202</v>
      </c>
      <c r="AA22">
        <v>197.549</v>
      </c>
      <c r="AB22">
        <v>1.00909</v>
      </c>
      <c r="AC22">
        <v>183</v>
      </c>
      <c r="AD22">
        <v>0</v>
      </c>
      <c r="AG22">
        <v>14</v>
      </c>
      <c r="AH22">
        <v>20</v>
      </c>
      <c r="AI22">
        <v>81</v>
      </c>
      <c r="AJ22">
        <v>31</v>
      </c>
      <c r="AK22">
        <v>37</v>
      </c>
    </row>
    <row r="23" spans="1:37">
      <c r="A23" t="s">
        <v>368</v>
      </c>
      <c r="B23" t="s">
        <v>1751</v>
      </c>
      <c r="C23">
        <v>17.1</v>
      </c>
      <c r="D23" t="s">
        <v>82</v>
      </c>
      <c r="E23">
        <v>26</v>
      </c>
      <c r="F23">
        <v>0</v>
      </c>
      <c r="G23">
        <v>0</v>
      </c>
      <c r="I23">
        <v>1.00391</v>
      </c>
      <c r="J23">
        <v>1.01521</v>
      </c>
      <c r="K23">
        <v>1.01687</v>
      </c>
      <c r="L23">
        <v>1.02892</v>
      </c>
      <c r="M23">
        <v>0.89824</v>
      </c>
      <c r="N23">
        <v>1.00062</v>
      </c>
      <c r="O23">
        <v>1</v>
      </c>
      <c r="P23">
        <v>0.96892</v>
      </c>
      <c r="Q23">
        <v>1</v>
      </c>
      <c r="R23">
        <v>1</v>
      </c>
      <c r="S23">
        <v>1</v>
      </c>
      <c r="T23">
        <v>1</v>
      </c>
      <c r="U23">
        <v>1</v>
      </c>
      <c r="V23">
        <v>69.55500000000001</v>
      </c>
      <c r="W23">
        <v>35.007</v>
      </c>
      <c r="X23">
        <v>66.14100000000001</v>
      </c>
      <c r="Y23">
        <v>14.795</v>
      </c>
      <c r="Z23">
        <v>25.262</v>
      </c>
      <c r="AA23">
        <v>210.76</v>
      </c>
      <c r="AB23">
        <v>1.01144</v>
      </c>
      <c r="AC23">
        <v>196</v>
      </c>
      <c r="AD23">
        <v>0</v>
      </c>
      <c r="AG23">
        <v>65</v>
      </c>
      <c r="AH23">
        <v>36</v>
      </c>
      <c r="AI23">
        <v>61</v>
      </c>
      <c r="AJ23">
        <v>15</v>
      </c>
      <c r="AK23">
        <v>19</v>
      </c>
    </row>
    <row r="24" spans="1:37">
      <c r="A24" t="s">
        <v>550</v>
      </c>
      <c r="B24" t="s">
        <v>1751</v>
      </c>
      <c r="C24">
        <v>18.5</v>
      </c>
      <c r="D24" t="s">
        <v>82</v>
      </c>
      <c r="E24">
        <v>27</v>
      </c>
      <c r="F24">
        <v>0</v>
      </c>
      <c r="G24">
        <v>0</v>
      </c>
      <c r="I24">
        <v>1.0041</v>
      </c>
      <c r="J24">
        <v>1.00255</v>
      </c>
      <c r="K24">
        <v>1.01687</v>
      </c>
      <c r="L24">
        <v>1.02858</v>
      </c>
      <c r="M24">
        <v>0.87057</v>
      </c>
      <c r="N24">
        <v>1.01402</v>
      </c>
      <c r="O24">
        <v>1</v>
      </c>
      <c r="P24">
        <v>0.9686399999999999</v>
      </c>
      <c r="Q24">
        <v>1</v>
      </c>
      <c r="R24">
        <v>1</v>
      </c>
      <c r="S24">
        <v>1</v>
      </c>
      <c r="T24">
        <v>1</v>
      </c>
      <c r="U24">
        <v>1</v>
      </c>
      <c r="V24">
        <v>65.407</v>
      </c>
      <c r="W24">
        <v>34.566</v>
      </c>
      <c r="X24">
        <v>65.691</v>
      </c>
      <c r="Y24">
        <v>13.688</v>
      </c>
      <c r="Z24">
        <v>25.502</v>
      </c>
      <c r="AA24">
        <v>204.853</v>
      </c>
      <c r="AB24">
        <v>0.92109</v>
      </c>
      <c r="AC24">
        <v>203</v>
      </c>
      <c r="AD24">
        <v>0</v>
      </c>
      <c r="AG24">
        <v>48</v>
      </c>
      <c r="AH24">
        <v>35</v>
      </c>
      <c r="AI24">
        <v>70</v>
      </c>
      <c r="AJ24">
        <v>23</v>
      </c>
      <c r="AK24">
        <v>27</v>
      </c>
    </row>
    <row r="25" spans="1:37">
      <c r="A25" t="s">
        <v>551</v>
      </c>
      <c r="B25" t="s">
        <v>1751</v>
      </c>
      <c r="C25">
        <v>15.3</v>
      </c>
      <c r="D25" t="s">
        <v>82</v>
      </c>
      <c r="E25">
        <v>28</v>
      </c>
      <c r="F25">
        <v>0</v>
      </c>
      <c r="G25">
        <v>0</v>
      </c>
      <c r="I25">
        <v>1.00428</v>
      </c>
      <c r="J25">
        <v>1.00137</v>
      </c>
      <c r="K25">
        <v>1.01687</v>
      </c>
      <c r="L25">
        <v>1.0282</v>
      </c>
      <c r="M25">
        <v>0.90843</v>
      </c>
      <c r="N25">
        <v>0.96449</v>
      </c>
      <c r="O25">
        <v>1</v>
      </c>
      <c r="P25">
        <v>0.9681999999999999</v>
      </c>
      <c r="Q25">
        <v>1</v>
      </c>
      <c r="R25">
        <v>1</v>
      </c>
      <c r="S25">
        <v>1</v>
      </c>
      <c r="T25">
        <v>1</v>
      </c>
      <c r="U25">
        <v>0.90665</v>
      </c>
      <c r="V25">
        <v>58.786</v>
      </c>
      <c r="W25">
        <v>27.615</v>
      </c>
      <c r="X25">
        <v>48.415</v>
      </c>
      <c r="Y25">
        <v>9.882999999999999</v>
      </c>
      <c r="Z25">
        <v>39.568</v>
      </c>
      <c r="AA25">
        <v>184.267</v>
      </c>
      <c r="AB25">
        <v>0.94764</v>
      </c>
      <c r="AC25">
        <v>180</v>
      </c>
      <c r="AD25">
        <v>0</v>
      </c>
      <c r="AE25" t="s">
        <v>314</v>
      </c>
      <c r="AG25">
        <v>62</v>
      </c>
      <c r="AH25">
        <v>25</v>
      </c>
      <c r="AI25">
        <v>46</v>
      </c>
      <c r="AJ25">
        <v>10</v>
      </c>
      <c r="AK25">
        <v>37</v>
      </c>
    </row>
    <row r="26" spans="1:37">
      <c r="A26" t="s">
        <v>552</v>
      </c>
      <c r="B26" t="s">
        <v>1751</v>
      </c>
      <c r="C26">
        <v>17.9</v>
      </c>
      <c r="D26" t="s">
        <v>82</v>
      </c>
      <c r="E26">
        <v>29</v>
      </c>
      <c r="F26">
        <v>0</v>
      </c>
      <c r="G26">
        <v>0</v>
      </c>
      <c r="I26">
        <v>1.00447</v>
      </c>
      <c r="J26">
        <v>0.99935</v>
      </c>
      <c r="K26">
        <v>1.01687</v>
      </c>
      <c r="L26">
        <v>1.02778</v>
      </c>
      <c r="M26">
        <v>0.93442</v>
      </c>
      <c r="N26">
        <v>1.01114</v>
      </c>
      <c r="O26">
        <v>1</v>
      </c>
      <c r="P26">
        <v>0.96741</v>
      </c>
      <c r="Q26">
        <v>1</v>
      </c>
      <c r="R26">
        <v>1</v>
      </c>
      <c r="S26">
        <v>1</v>
      </c>
      <c r="T26">
        <v>1</v>
      </c>
      <c r="U26">
        <v>1</v>
      </c>
      <c r="V26">
        <v>63.869</v>
      </c>
      <c r="W26">
        <v>32.719</v>
      </c>
      <c r="X26">
        <v>76.78100000000001</v>
      </c>
      <c r="Y26">
        <v>17.206</v>
      </c>
      <c r="Z26">
        <v>27.129</v>
      </c>
      <c r="AA26">
        <v>217.704</v>
      </c>
      <c r="AB26">
        <v>1.02362</v>
      </c>
      <c r="AC26">
        <v>243</v>
      </c>
      <c r="AD26">
        <v>0</v>
      </c>
      <c r="AG26">
        <v>77</v>
      </c>
      <c r="AH26">
        <v>29</v>
      </c>
      <c r="AI26">
        <v>84</v>
      </c>
      <c r="AJ26">
        <v>25</v>
      </c>
      <c r="AK26">
        <v>28</v>
      </c>
    </row>
    <row r="27" spans="1:37">
      <c r="A27" t="s">
        <v>553</v>
      </c>
      <c r="B27" t="s">
        <v>1752</v>
      </c>
      <c r="C27">
        <v>16.6</v>
      </c>
      <c r="D27" t="s">
        <v>82</v>
      </c>
      <c r="E27">
        <v>0</v>
      </c>
      <c r="F27">
        <v>0</v>
      </c>
      <c r="G27">
        <v>0</v>
      </c>
      <c r="I27">
        <v>1.00466</v>
      </c>
      <c r="J27">
        <v>1.0002</v>
      </c>
      <c r="K27">
        <v>1.01687</v>
      </c>
      <c r="L27">
        <v>1.02734</v>
      </c>
      <c r="M27">
        <v>1.14889</v>
      </c>
      <c r="N27">
        <v>1.0008</v>
      </c>
      <c r="O27">
        <v>1</v>
      </c>
      <c r="P27">
        <v>1.0712</v>
      </c>
      <c r="Q27">
        <v>1</v>
      </c>
      <c r="R27">
        <v>1</v>
      </c>
      <c r="S27">
        <v>1</v>
      </c>
      <c r="T27">
        <v>1</v>
      </c>
      <c r="U27">
        <v>1</v>
      </c>
      <c r="V27">
        <v>62.458</v>
      </c>
      <c r="W27">
        <v>29.474</v>
      </c>
      <c r="X27">
        <v>129.805</v>
      </c>
      <c r="Y27">
        <v>32.957</v>
      </c>
      <c r="Z27">
        <v>35.978</v>
      </c>
      <c r="AA27">
        <v>290.671</v>
      </c>
      <c r="AB27">
        <v>1.05098</v>
      </c>
      <c r="AC27">
        <v>316</v>
      </c>
      <c r="AD27">
        <v>0</v>
      </c>
      <c r="AG27">
        <v>60</v>
      </c>
      <c r="AH27">
        <v>40</v>
      </c>
      <c r="AI27">
        <v>140</v>
      </c>
      <c r="AJ27">
        <v>36</v>
      </c>
      <c r="AK27">
        <v>40</v>
      </c>
    </row>
    <row r="28" spans="1:37">
      <c r="A28" t="s">
        <v>554</v>
      </c>
      <c r="B28" t="s">
        <v>1753</v>
      </c>
      <c r="C28">
        <v>15.5</v>
      </c>
      <c r="D28" t="s">
        <v>82</v>
      </c>
      <c r="E28">
        <v>1</v>
      </c>
      <c r="F28">
        <v>0</v>
      </c>
      <c r="G28">
        <v>0</v>
      </c>
      <c r="I28">
        <v>1.00484</v>
      </c>
      <c r="J28">
        <v>1.0015</v>
      </c>
      <c r="K28">
        <v>1.01687</v>
      </c>
      <c r="L28">
        <v>1.02687</v>
      </c>
      <c r="M28">
        <v>0.93679</v>
      </c>
      <c r="N28">
        <v>0.97937</v>
      </c>
      <c r="O28">
        <v>1</v>
      </c>
      <c r="P28">
        <v>1.05578</v>
      </c>
      <c r="Q28">
        <v>1</v>
      </c>
      <c r="R28">
        <v>1</v>
      </c>
      <c r="S28">
        <v>1</v>
      </c>
      <c r="T28">
        <v>1</v>
      </c>
      <c r="U28">
        <v>1</v>
      </c>
      <c r="V28">
        <v>14.821</v>
      </c>
      <c r="W28">
        <v>12.725</v>
      </c>
      <c r="X28">
        <v>114.37</v>
      </c>
      <c r="Y28">
        <v>49.796</v>
      </c>
      <c r="Z28">
        <v>37.406</v>
      </c>
      <c r="AA28">
        <v>229.118</v>
      </c>
      <c r="AB28">
        <v>0.91478</v>
      </c>
      <c r="AC28">
        <v>210</v>
      </c>
      <c r="AD28">
        <v>0</v>
      </c>
      <c r="AG28">
        <v>16</v>
      </c>
      <c r="AH28">
        <v>19</v>
      </c>
      <c r="AI28">
        <v>98</v>
      </c>
      <c r="AJ28">
        <v>45</v>
      </c>
      <c r="AK28">
        <v>32</v>
      </c>
    </row>
    <row r="29" spans="1:37">
      <c r="A29" t="s">
        <v>555</v>
      </c>
      <c r="B29" t="s">
        <v>1754</v>
      </c>
      <c r="C29">
        <v>16.6</v>
      </c>
      <c r="D29" t="s">
        <v>82</v>
      </c>
      <c r="E29">
        <v>2</v>
      </c>
      <c r="F29">
        <v>0</v>
      </c>
      <c r="G29">
        <v>0</v>
      </c>
      <c r="I29">
        <v>1.00503</v>
      </c>
      <c r="J29">
        <v>0.98454</v>
      </c>
      <c r="K29">
        <v>1.01687</v>
      </c>
      <c r="L29">
        <v>1.02639</v>
      </c>
      <c r="M29">
        <v>0.87117</v>
      </c>
      <c r="N29">
        <v>0.99987</v>
      </c>
      <c r="O29">
        <v>1</v>
      </c>
      <c r="P29">
        <v>1.0358</v>
      </c>
      <c r="Q29">
        <v>1</v>
      </c>
      <c r="R29">
        <v>1</v>
      </c>
      <c r="S29">
        <v>1</v>
      </c>
      <c r="T29">
        <v>1</v>
      </c>
      <c r="U29">
        <v>1</v>
      </c>
      <c r="V29">
        <v>19.747</v>
      </c>
      <c r="W29">
        <v>19.462</v>
      </c>
      <c r="X29">
        <v>96.675</v>
      </c>
      <c r="Y29">
        <v>41.265</v>
      </c>
      <c r="Z29">
        <v>32.317</v>
      </c>
      <c r="AA29">
        <v>209.466</v>
      </c>
      <c r="AB29">
        <v>0.95291</v>
      </c>
      <c r="AC29">
        <v>202</v>
      </c>
      <c r="AD29">
        <v>0</v>
      </c>
      <c r="AG29">
        <v>12</v>
      </c>
      <c r="AH29">
        <v>18</v>
      </c>
      <c r="AI29">
        <v>93</v>
      </c>
      <c r="AJ29">
        <v>41</v>
      </c>
      <c r="AK29">
        <v>38</v>
      </c>
    </row>
    <row r="30" spans="1:37">
      <c r="A30" t="s">
        <v>369</v>
      </c>
      <c r="B30" t="s">
        <v>1751</v>
      </c>
      <c r="C30">
        <v>15.2</v>
      </c>
      <c r="D30" t="s">
        <v>82</v>
      </c>
      <c r="E30">
        <v>3</v>
      </c>
      <c r="F30">
        <v>0</v>
      </c>
      <c r="G30">
        <v>0</v>
      </c>
      <c r="I30">
        <v>1.00521</v>
      </c>
      <c r="J30">
        <v>0.97849</v>
      </c>
      <c r="K30">
        <v>1.01687</v>
      </c>
      <c r="L30">
        <v>1.02588</v>
      </c>
      <c r="M30">
        <v>0.89789</v>
      </c>
      <c r="N30">
        <v>0.97915</v>
      </c>
      <c r="O30">
        <v>1</v>
      </c>
      <c r="P30">
        <v>1.01854</v>
      </c>
      <c r="Q30">
        <v>1</v>
      </c>
      <c r="R30">
        <v>1</v>
      </c>
      <c r="S30">
        <v>1</v>
      </c>
      <c r="T30">
        <v>1</v>
      </c>
      <c r="U30">
        <v>1</v>
      </c>
      <c r="V30">
        <v>68.396</v>
      </c>
      <c r="W30">
        <v>34.928</v>
      </c>
      <c r="X30">
        <v>65.18600000000001</v>
      </c>
      <c r="Y30">
        <v>14.79</v>
      </c>
      <c r="Z30">
        <v>25.349</v>
      </c>
      <c r="AA30">
        <v>208.649</v>
      </c>
      <c r="AB30">
        <v>0.96795</v>
      </c>
      <c r="AC30">
        <v>188</v>
      </c>
      <c r="AD30">
        <v>0</v>
      </c>
      <c r="AG30">
        <v>54</v>
      </c>
      <c r="AH30">
        <v>36</v>
      </c>
      <c r="AI30">
        <v>59</v>
      </c>
      <c r="AJ30">
        <v>16</v>
      </c>
      <c r="AK30">
        <v>23</v>
      </c>
    </row>
    <row r="31" spans="1:37">
      <c r="A31" t="s">
        <v>556</v>
      </c>
      <c r="B31" t="s">
        <v>1751</v>
      </c>
      <c r="C31">
        <v>14.9</v>
      </c>
      <c r="D31" t="s">
        <v>82</v>
      </c>
      <c r="E31">
        <v>4</v>
      </c>
      <c r="F31">
        <v>0</v>
      </c>
      <c r="G31">
        <v>0</v>
      </c>
      <c r="I31">
        <v>1.0054</v>
      </c>
      <c r="J31">
        <v>0.97951</v>
      </c>
      <c r="K31">
        <v>1.01687</v>
      </c>
      <c r="L31">
        <v>1.02537</v>
      </c>
      <c r="M31">
        <v>0.8724</v>
      </c>
      <c r="N31">
        <v>0.9751300000000001</v>
      </c>
      <c r="O31">
        <v>1</v>
      </c>
      <c r="P31">
        <v>1.01244</v>
      </c>
      <c r="Q31">
        <v>1</v>
      </c>
      <c r="R31">
        <v>1</v>
      </c>
      <c r="S31">
        <v>1</v>
      </c>
      <c r="T31">
        <v>1</v>
      </c>
      <c r="U31">
        <v>1</v>
      </c>
      <c r="V31">
        <v>65.01300000000001</v>
      </c>
      <c r="W31">
        <v>34.799</v>
      </c>
      <c r="X31">
        <v>62.587</v>
      </c>
      <c r="Y31">
        <v>13.374</v>
      </c>
      <c r="Z31">
        <v>25.022</v>
      </c>
      <c r="AA31">
        <v>200.795</v>
      </c>
      <c r="AB31">
        <v>1.04897</v>
      </c>
      <c r="AC31">
        <v>191</v>
      </c>
      <c r="AD31">
        <v>0</v>
      </c>
      <c r="AG31">
        <v>65</v>
      </c>
      <c r="AH31">
        <v>23</v>
      </c>
      <c r="AI31">
        <v>60</v>
      </c>
      <c r="AJ31">
        <v>11</v>
      </c>
      <c r="AK31">
        <v>32</v>
      </c>
    </row>
    <row r="32" spans="1:37">
      <c r="A32" t="s">
        <v>557</v>
      </c>
      <c r="B32" t="s">
        <v>1751</v>
      </c>
      <c r="C32">
        <v>15.2</v>
      </c>
      <c r="D32" t="s">
        <v>82</v>
      </c>
      <c r="E32">
        <v>5</v>
      </c>
      <c r="F32">
        <v>0</v>
      </c>
      <c r="G32">
        <v>0</v>
      </c>
      <c r="I32">
        <v>1.00559</v>
      </c>
      <c r="J32">
        <v>0.96901</v>
      </c>
      <c r="K32">
        <v>1.01687</v>
      </c>
      <c r="L32">
        <v>1.02486</v>
      </c>
      <c r="M32">
        <v>0.89697</v>
      </c>
      <c r="N32">
        <v>0.97873</v>
      </c>
      <c r="O32">
        <v>1</v>
      </c>
      <c r="P32">
        <v>1.00846</v>
      </c>
      <c r="Q32">
        <v>1</v>
      </c>
      <c r="R32">
        <v>1</v>
      </c>
      <c r="S32">
        <v>1</v>
      </c>
      <c r="T32">
        <v>1</v>
      </c>
      <c r="U32">
        <v>1</v>
      </c>
      <c r="V32">
        <v>64.181</v>
      </c>
      <c r="W32">
        <v>34.313</v>
      </c>
      <c r="X32">
        <v>65.902</v>
      </c>
      <c r="Y32">
        <v>14.425</v>
      </c>
      <c r="Z32">
        <v>25.272</v>
      </c>
      <c r="AA32">
        <v>204.092</v>
      </c>
      <c r="AB32">
        <v>0.95885</v>
      </c>
      <c r="AC32">
        <v>169</v>
      </c>
      <c r="AD32">
        <v>0</v>
      </c>
      <c r="AG32">
        <v>63</v>
      </c>
      <c r="AH32">
        <v>29</v>
      </c>
      <c r="AI32">
        <v>39</v>
      </c>
      <c r="AJ32">
        <v>18</v>
      </c>
      <c r="AK32">
        <v>20</v>
      </c>
    </row>
    <row r="33" spans="1:37">
      <c r="A33" t="s">
        <v>558</v>
      </c>
      <c r="B33" t="s">
        <v>1751</v>
      </c>
      <c r="C33">
        <v>17.3</v>
      </c>
      <c r="D33" t="s">
        <v>82</v>
      </c>
      <c r="E33">
        <v>6</v>
      </c>
      <c r="F33">
        <v>0</v>
      </c>
      <c r="G33">
        <v>0</v>
      </c>
      <c r="I33">
        <v>1.00577</v>
      </c>
      <c r="J33">
        <v>0.96806</v>
      </c>
      <c r="K33">
        <v>1.01538</v>
      </c>
      <c r="L33">
        <v>1.02434</v>
      </c>
      <c r="M33">
        <v>0.9340000000000001</v>
      </c>
      <c r="N33">
        <v>1.00445</v>
      </c>
      <c r="O33">
        <v>1</v>
      </c>
      <c r="P33">
        <v>1.0059</v>
      </c>
      <c r="Q33">
        <v>1</v>
      </c>
      <c r="R33">
        <v>1</v>
      </c>
      <c r="S33">
        <v>1</v>
      </c>
      <c r="T33">
        <v>1</v>
      </c>
      <c r="U33">
        <v>1</v>
      </c>
      <c r="V33">
        <v>62.648</v>
      </c>
      <c r="W33">
        <v>32.442</v>
      </c>
      <c r="X33">
        <v>77.18899999999999</v>
      </c>
      <c r="Y33">
        <v>17.364</v>
      </c>
      <c r="Z33">
        <v>27.383</v>
      </c>
      <c r="AA33">
        <v>217.026</v>
      </c>
      <c r="AB33">
        <v>0.99459</v>
      </c>
      <c r="AC33">
        <v>192</v>
      </c>
      <c r="AD33">
        <v>0</v>
      </c>
      <c r="AG33">
        <v>77</v>
      </c>
      <c r="AH33">
        <v>32</v>
      </c>
      <c r="AI33">
        <v>49</v>
      </c>
      <c r="AJ33">
        <v>13</v>
      </c>
      <c r="AK33">
        <v>21</v>
      </c>
    </row>
    <row r="34" spans="1:37">
      <c r="A34" t="s">
        <v>559</v>
      </c>
      <c r="B34" t="s">
        <v>1752</v>
      </c>
      <c r="C34">
        <v>17.9</v>
      </c>
      <c r="D34" t="s">
        <v>82</v>
      </c>
      <c r="E34">
        <v>7</v>
      </c>
      <c r="F34">
        <v>0</v>
      </c>
      <c r="G34">
        <v>0</v>
      </c>
      <c r="I34">
        <v>1.00596</v>
      </c>
      <c r="J34">
        <v>0.9696900000000001</v>
      </c>
      <c r="K34">
        <v>1.01538</v>
      </c>
      <c r="L34">
        <v>1.02383</v>
      </c>
      <c r="M34">
        <v>1.14684</v>
      </c>
      <c r="N34">
        <v>1.01948</v>
      </c>
      <c r="O34">
        <v>1</v>
      </c>
      <c r="P34">
        <v>1.00435</v>
      </c>
      <c r="Q34">
        <v>1</v>
      </c>
      <c r="R34">
        <v>1</v>
      </c>
      <c r="S34">
        <v>1</v>
      </c>
      <c r="T34">
        <v>1</v>
      </c>
      <c r="U34">
        <v>1</v>
      </c>
      <c r="V34">
        <v>58.846</v>
      </c>
      <c r="W34">
        <v>27.321</v>
      </c>
      <c r="X34">
        <v>119.265</v>
      </c>
      <c r="Y34">
        <v>30.018</v>
      </c>
      <c r="Z34">
        <v>32.733</v>
      </c>
      <c r="AA34">
        <v>268.182</v>
      </c>
      <c r="AB34">
        <v>0.9762</v>
      </c>
      <c r="AC34">
        <v>288</v>
      </c>
      <c r="AD34">
        <v>0</v>
      </c>
      <c r="AG34">
        <v>57</v>
      </c>
      <c r="AH34">
        <v>26</v>
      </c>
      <c r="AI34">
        <v>136</v>
      </c>
      <c r="AJ34">
        <v>36</v>
      </c>
      <c r="AK34">
        <v>33</v>
      </c>
    </row>
    <row r="35" spans="1:37">
      <c r="A35" t="s">
        <v>560</v>
      </c>
      <c r="B35" t="s">
        <v>1753</v>
      </c>
      <c r="C35">
        <v>19.9</v>
      </c>
      <c r="D35" t="s">
        <v>82</v>
      </c>
      <c r="E35">
        <v>8</v>
      </c>
      <c r="F35">
        <v>0</v>
      </c>
      <c r="G35">
        <v>0</v>
      </c>
      <c r="I35">
        <v>1.00615</v>
      </c>
      <c r="J35">
        <v>0.98023</v>
      </c>
      <c r="K35">
        <v>1.01538</v>
      </c>
      <c r="L35">
        <v>1.02334</v>
      </c>
      <c r="M35">
        <v>0.94989</v>
      </c>
      <c r="N35">
        <v>1.05356</v>
      </c>
      <c r="O35">
        <v>1</v>
      </c>
      <c r="P35">
        <v>1.00341</v>
      </c>
      <c r="Q35">
        <v>1</v>
      </c>
      <c r="R35">
        <v>1</v>
      </c>
      <c r="S35">
        <v>1</v>
      </c>
      <c r="T35">
        <v>1</v>
      </c>
      <c r="U35">
        <v>1</v>
      </c>
      <c r="V35">
        <v>14.213</v>
      </c>
      <c r="W35">
        <v>12.068</v>
      </c>
      <c r="X35">
        <v>115.961</v>
      </c>
      <c r="Y35">
        <v>49.157</v>
      </c>
      <c r="Z35">
        <v>37.024</v>
      </c>
      <c r="AA35">
        <v>228.423</v>
      </c>
      <c r="AB35">
        <v>0.96891</v>
      </c>
      <c r="AC35">
        <v>241</v>
      </c>
      <c r="AD35">
        <v>0</v>
      </c>
      <c r="AG35">
        <v>23</v>
      </c>
      <c r="AH35">
        <v>8</v>
      </c>
      <c r="AI35">
        <v>111</v>
      </c>
      <c r="AJ35">
        <v>53</v>
      </c>
      <c r="AK35">
        <v>46</v>
      </c>
    </row>
    <row r="36" spans="1:37">
      <c r="A36" t="s">
        <v>561</v>
      </c>
      <c r="B36" t="s">
        <v>1754</v>
      </c>
      <c r="C36">
        <v>20.1</v>
      </c>
      <c r="D36" t="s">
        <v>82</v>
      </c>
      <c r="E36">
        <v>9</v>
      </c>
      <c r="F36">
        <v>0</v>
      </c>
      <c r="G36">
        <v>0</v>
      </c>
      <c r="I36">
        <v>1.00633</v>
      </c>
      <c r="J36">
        <v>0.97121</v>
      </c>
      <c r="K36">
        <v>1.01538</v>
      </c>
      <c r="L36">
        <v>1.02286</v>
      </c>
      <c r="M36">
        <v>0.8781600000000001</v>
      </c>
      <c r="N36">
        <v>1.05046</v>
      </c>
      <c r="O36">
        <v>1</v>
      </c>
      <c r="P36">
        <v>1.00219</v>
      </c>
      <c r="Q36">
        <v>1</v>
      </c>
      <c r="R36">
        <v>1</v>
      </c>
      <c r="S36">
        <v>1</v>
      </c>
      <c r="T36">
        <v>1</v>
      </c>
      <c r="U36">
        <v>1</v>
      </c>
      <c r="V36">
        <v>19.19</v>
      </c>
      <c r="W36">
        <v>18.773</v>
      </c>
      <c r="X36">
        <v>97.95999999999999</v>
      </c>
      <c r="Y36">
        <v>41.024</v>
      </c>
      <c r="Z36">
        <v>32.332</v>
      </c>
      <c r="AA36">
        <v>209.279</v>
      </c>
      <c r="AB36">
        <v>1.09754</v>
      </c>
      <c r="AC36">
        <v>236</v>
      </c>
      <c r="AD36">
        <v>0</v>
      </c>
      <c r="AG36">
        <v>16</v>
      </c>
      <c r="AH36">
        <v>13</v>
      </c>
      <c r="AI36">
        <v>135</v>
      </c>
      <c r="AJ36">
        <v>43</v>
      </c>
      <c r="AK36">
        <v>29</v>
      </c>
    </row>
    <row r="37" spans="1:37">
      <c r="A37" t="s">
        <v>370</v>
      </c>
      <c r="B37" t="s">
        <v>1751</v>
      </c>
      <c r="C37">
        <v>19.6</v>
      </c>
      <c r="D37" t="s">
        <v>82</v>
      </c>
      <c r="E37">
        <v>10</v>
      </c>
      <c r="F37">
        <v>0</v>
      </c>
      <c r="G37">
        <v>0</v>
      </c>
      <c r="I37">
        <v>1.00652</v>
      </c>
      <c r="J37">
        <v>0.9644200000000001</v>
      </c>
      <c r="K37">
        <v>1.01538</v>
      </c>
      <c r="L37">
        <v>1.02241</v>
      </c>
      <c r="M37">
        <v>0.89405</v>
      </c>
      <c r="N37">
        <v>1.02405</v>
      </c>
      <c r="O37">
        <v>1</v>
      </c>
      <c r="P37">
        <v>1.00115</v>
      </c>
      <c r="Q37">
        <v>1</v>
      </c>
      <c r="R37">
        <v>1</v>
      </c>
      <c r="S37">
        <v>1</v>
      </c>
      <c r="T37">
        <v>1</v>
      </c>
      <c r="U37">
        <v>1</v>
      </c>
      <c r="V37">
        <v>66.663</v>
      </c>
      <c r="W37">
        <v>33.872</v>
      </c>
      <c r="X37">
        <v>68.848</v>
      </c>
      <c r="Y37">
        <v>15.19</v>
      </c>
      <c r="Z37">
        <v>26.04</v>
      </c>
      <c r="AA37">
        <v>210.614</v>
      </c>
      <c r="AB37">
        <v>0.9933999999999999</v>
      </c>
      <c r="AC37">
        <v>181</v>
      </c>
      <c r="AD37">
        <v>0</v>
      </c>
      <c r="AG37">
        <v>47</v>
      </c>
      <c r="AH37">
        <v>31</v>
      </c>
      <c r="AI37">
        <v>68</v>
      </c>
      <c r="AJ37">
        <v>13</v>
      </c>
      <c r="AK37">
        <v>22</v>
      </c>
    </row>
    <row r="38" spans="1:37">
      <c r="A38" t="s">
        <v>562</v>
      </c>
      <c r="B38" t="s">
        <v>1751</v>
      </c>
      <c r="C38">
        <v>19.6</v>
      </c>
      <c r="D38" t="s">
        <v>82</v>
      </c>
      <c r="E38">
        <v>11</v>
      </c>
      <c r="F38">
        <v>0</v>
      </c>
      <c r="G38">
        <v>0</v>
      </c>
      <c r="I38">
        <v>1.00671</v>
      </c>
      <c r="J38">
        <v>0.97239</v>
      </c>
      <c r="K38">
        <v>1.01538</v>
      </c>
      <c r="L38">
        <v>1.02198</v>
      </c>
      <c r="M38">
        <v>0.86809</v>
      </c>
      <c r="N38">
        <v>1.02348</v>
      </c>
      <c r="O38">
        <v>1</v>
      </c>
      <c r="P38">
        <v>1.00077</v>
      </c>
      <c r="Q38">
        <v>1</v>
      </c>
      <c r="R38">
        <v>1</v>
      </c>
      <c r="S38">
        <v>1</v>
      </c>
      <c r="T38">
        <v>1</v>
      </c>
      <c r="U38">
        <v>1</v>
      </c>
      <c r="V38">
        <v>63.988</v>
      </c>
      <c r="W38">
        <v>34.135</v>
      </c>
      <c r="X38">
        <v>67.672</v>
      </c>
      <c r="Y38">
        <v>14.028</v>
      </c>
      <c r="Z38">
        <v>26.235</v>
      </c>
      <c r="AA38">
        <v>206.059</v>
      </c>
      <c r="AB38">
        <v>1.01571</v>
      </c>
      <c r="AC38">
        <v>202</v>
      </c>
      <c r="AD38">
        <v>0</v>
      </c>
      <c r="AG38">
        <v>65</v>
      </c>
      <c r="AH38">
        <v>31</v>
      </c>
      <c r="AI38">
        <v>61</v>
      </c>
      <c r="AJ38">
        <v>14</v>
      </c>
      <c r="AK38">
        <v>31</v>
      </c>
    </row>
    <row r="39" spans="1:37">
      <c r="A39" t="s">
        <v>563</v>
      </c>
      <c r="B39" t="s">
        <v>1751</v>
      </c>
      <c r="C39">
        <v>18.2</v>
      </c>
      <c r="D39" t="s">
        <v>82</v>
      </c>
      <c r="E39">
        <v>12</v>
      </c>
      <c r="F39">
        <v>0</v>
      </c>
      <c r="G39">
        <v>0</v>
      </c>
      <c r="I39">
        <v>1.00689</v>
      </c>
      <c r="J39">
        <v>0.9685</v>
      </c>
      <c r="K39">
        <v>1.01538</v>
      </c>
      <c r="L39">
        <v>1.02159</v>
      </c>
      <c r="M39">
        <v>0.89462</v>
      </c>
      <c r="N39">
        <v>1.01248</v>
      </c>
      <c r="O39">
        <v>1</v>
      </c>
      <c r="P39">
        <v>1.00052</v>
      </c>
      <c r="Q39">
        <v>1</v>
      </c>
      <c r="R39">
        <v>1</v>
      </c>
      <c r="S39">
        <v>1</v>
      </c>
      <c r="T39">
        <v>1</v>
      </c>
      <c r="U39">
        <v>1</v>
      </c>
      <c r="V39">
        <v>63.713</v>
      </c>
      <c r="W39">
        <v>33.985</v>
      </c>
      <c r="X39">
        <v>69.851</v>
      </c>
      <c r="Y39">
        <v>14.969</v>
      </c>
      <c r="Z39">
        <v>26.121</v>
      </c>
      <c r="AA39">
        <v>208.638</v>
      </c>
      <c r="AB39">
        <v>0.91338</v>
      </c>
      <c r="AC39">
        <v>194</v>
      </c>
      <c r="AD39">
        <v>0</v>
      </c>
      <c r="AG39">
        <v>48</v>
      </c>
      <c r="AH39">
        <v>32</v>
      </c>
      <c r="AI39">
        <v>64</v>
      </c>
      <c r="AJ39">
        <v>13</v>
      </c>
      <c r="AK39">
        <v>37</v>
      </c>
    </row>
    <row r="40" spans="1:37">
      <c r="A40" t="s">
        <v>564</v>
      </c>
      <c r="B40" t="s">
        <v>1751</v>
      </c>
      <c r="C40">
        <v>19.5</v>
      </c>
      <c r="D40" t="s">
        <v>82</v>
      </c>
      <c r="E40">
        <v>13</v>
      </c>
      <c r="F40">
        <v>0</v>
      </c>
      <c r="G40">
        <v>0</v>
      </c>
      <c r="I40">
        <v>1.00708</v>
      </c>
      <c r="J40">
        <v>0.96096</v>
      </c>
      <c r="K40">
        <v>1.01538</v>
      </c>
      <c r="L40">
        <v>1.02123</v>
      </c>
      <c r="M40">
        <v>0.9337</v>
      </c>
      <c r="N40">
        <v>1.02697</v>
      </c>
      <c r="O40">
        <v>1</v>
      </c>
      <c r="P40">
        <v>1.00036</v>
      </c>
      <c r="Q40">
        <v>1</v>
      </c>
      <c r="R40">
        <v>1</v>
      </c>
      <c r="S40">
        <v>1</v>
      </c>
      <c r="T40">
        <v>1</v>
      </c>
      <c r="U40">
        <v>1</v>
      </c>
      <c r="V40">
        <v>61.937</v>
      </c>
      <c r="W40">
        <v>32.025</v>
      </c>
      <c r="X40">
        <v>79.22499999999999</v>
      </c>
      <c r="Y40">
        <v>17.609</v>
      </c>
      <c r="Z40">
        <v>27.873</v>
      </c>
      <c r="AA40">
        <v>218.669</v>
      </c>
      <c r="AB40">
        <v>1.09916</v>
      </c>
      <c r="AC40">
        <v>241</v>
      </c>
      <c r="AD40">
        <v>0</v>
      </c>
      <c r="AG40">
        <v>65</v>
      </c>
      <c r="AH40">
        <v>35</v>
      </c>
      <c r="AI40">
        <v>87</v>
      </c>
      <c r="AJ40">
        <v>32</v>
      </c>
      <c r="AK40">
        <v>22</v>
      </c>
    </row>
    <row r="41" spans="1:37">
      <c r="A41" t="s">
        <v>565</v>
      </c>
      <c r="B41" t="s">
        <v>1752</v>
      </c>
      <c r="C41">
        <v>19.1</v>
      </c>
      <c r="D41" t="s">
        <v>82</v>
      </c>
      <c r="E41">
        <v>14</v>
      </c>
      <c r="F41">
        <v>0</v>
      </c>
      <c r="G41">
        <v>0</v>
      </c>
      <c r="I41">
        <v>1.00726</v>
      </c>
      <c r="J41">
        <v>0.95501</v>
      </c>
      <c r="K41">
        <v>1.01538</v>
      </c>
      <c r="L41">
        <v>1.02091</v>
      </c>
      <c r="M41">
        <v>1.14905</v>
      </c>
      <c r="N41">
        <v>1.03426</v>
      </c>
      <c r="O41">
        <v>1</v>
      </c>
      <c r="P41">
        <v>1.00027</v>
      </c>
      <c r="Q41">
        <v>1</v>
      </c>
      <c r="R41">
        <v>1</v>
      </c>
      <c r="S41">
        <v>1</v>
      </c>
      <c r="T41">
        <v>1</v>
      </c>
      <c r="U41">
        <v>1</v>
      </c>
      <c r="V41">
        <v>57.776</v>
      </c>
      <c r="W41">
        <v>26.796</v>
      </c>
      <c r="X41">
        <v>119.394</v>
      </c>
      <c r="Y41">
        <v>29.857</v>
      </c>
      <c r="Z41">
        <v>32.629</v>
      </c>
      <c r="AA41">
        <v>266.452</v>
      </c>
      <c r="AB41">
        <v>1.05293</v>
      </c>
      <c r="AC41">
        <v>288</v>
      </c>
      <c r="AD41">
        <v>0</v>
      </c>
      <c r="AG41">
        <v>60</v>
      </c>
      <c r="AH41">
        <v>32</v>
      </c>
      <c r="AI41">
        <v>136</v>
      </c>
      <c r="AJ41">
        <v>24</v>
      </c>
      <c r="AK41">
        <v>36</v>
      </c>
    </row>
    <row r="42" spans="1:37">
      <c r="A42" t="s">
        <v>566</v>
      </c>
      <c r="B42" t="s">
        <v>1753</v>
      </c>
      <c r="C42">
        <v>17.7</v>
      </c>
      <c r="D42" t="s">
        <v>82</v>
      </c>
      <c r="E42">
        <v>15</v>
      </c>
      <c r="F42">
        <v>0</v>
      </c>
      <c r="G42">
        <v>0</v>
      </c>
      <c r="I42">
        <v>1.00745</v>
      </c>
      <c r="J42">
        <v>0.95061</v>
      </c>
      <c r="K42">
        <v>1.01538</v>
      </c>
      <c r="L42">
        <v>1.02064</v>
      </c>
      <c r="M42">
        <v>0.9388300000000001</v>
      </c>
      <c r="N42">
        <v>1.02103</v>
      </c>
      <c r="O42">
        <v>1</v>
      </c>
      <c r="P42">
        <v>0.99673</v>
      </c>
      <c r="Q42">
        <v>1</v>
      </c>
      <c r="R42">
        <v>1</v>
      </c>
      <c r="S42">
        <v>1</v>
      </c>
      <c r="T42">
        <v>1</v>
      </c>
      <c r="U42">
        <v>1</v>
      </c>
      <c r="V42">
        <v>13.735</v>
      </c>
      <c r="W42">
        <v>11.646</v>
      </c>
      <c r="X42">
        <v>107.232</v>
      </c>
      <c r="Y42">
        <v>45.955</v>
      </c>
      <c r="Z42">
        <v>34.401</v>
      </c>
      <c r="AA42">
        <v>212.968</v>
      </c>
      <c r="AB42">
        <v>1.1154</v>
      </c>
      <c r="AC42">
        <v>245</v>
      </c>
      <c r="AD42">
        <v>0</v>
      </c>
      <c r="AG42">
        <v>19</v>
      </c>
      <c r="AH42">
        <v>13</v>
      </c>
      <c r="AI42">
        <v>136</v>
      </c>
      <c r="AJ42">
        <v>39</v>
      </c>
      <c r="AK42">
        <v>38</v>
      </c>
    </row>
    <row r="43" spans="1:37">
      <c r="A43" t="s">
        <v>567</v>
      </c>
      <c r="B43" t="s">
        <v>1754</v>
      </c>
      <c r="C43">
        <v>16.6</v>
      </c>
      <c r="D43" t="s">
        <v>82</v>
      </c>
      <c r="E43">
        <v>16</v>
      </c>
      <c r="F43">
        <v>0</v>
      </c>
      <c r="G43">
        <v>0</v>
      </c>
      <c r="I43">
        <v>1.00764</v>
      </c>
      <c r="J43">
        <v>0.95258</v>
      </c>
      <c r="K43">
        <v>1.01538</v>
      </c>
      <c r="L43">
        <v>1.02041</v>
      </c>
      <c r="M43">
        <v>0.86493</v>
      </c>
      <c r="N43">
        <v>0.99987</v>
      </c>
      <c r="O43">
        <v>1</v>
      </c>
      <c r="P43">
        <v>0.99349</v>
      </c>
      <c r="Q43">
        <v>1</v>
      </c>
      <c r="R43">
        <v>1</v>
      </c>
      <c r="S43">
        <v>1</v>
      </c>
      <c r="T43">
        <v>1</v>
      </c>
      <c r="U43">
        <v>1</v>
      </c>
      <c r="V43">
        <v>18.746</v>
      </c>
      <c r="W43">
        <v>18.303</v>
      </c>
      <c r="X43">
        <v>88.81999999999999</v>
      </c>
      <c r="Y43">
        <v>37.912</v>
      </c>
      <c r="Z43">
        <v>29.691</v>
      </c>
      <c r="AA43">
        <v>193.473</v>
      </c>
      <c r="AB43">
        <v>0.9668600000000001</v>
      </c>
      <c r="AC43">
        <v>197</v>
      </c>
      <c r="AD43">
        <v>0</v>
      </c>
      <c r="AG43">
        <v>18</v>
      </c>
      <c r="AH43">
        <v>17</v>
      </c>
      <c r="AI43">
        <v>103</v>
      </c>
      <c r="AJ43">
        <v>33</v>
      </c>
      <c r="AK43">
        <v>26</v>
      </c>
    </row>
    <row r="44" spans="1:37">
      <c r="A44" t="s">
        <v>371</v>
      </c>
      <c r="B44" t="s">
        <v>1751</v>
      </c>
      <c r="C44">
        <v>17.5</v>
      </c>
      <c r="D44" t="s">
        <v>82</v>
      </c>
      <c r="E44">
        <v>17</v>
      </c>
      <c r="F44">
        <v>0</v>
      </c>
      <c r="G44">
        <v>0</v>
      </c>
      <c r="I44">
        <v>1.00782</v>
      </c>
      <c r="J44">
        <v>0.94761</v>
      </c>
      <c r="K44">
        <v>1.01538</v>
      </c>
      <c r="L44">
        <v>1.02023</v>
      </c>
      <c r="M44">
        <v>0.89646</v>
      </c>
      <c r="N44">
        <v>1.00488</v>
      </c>
      <c r="O44">
        <v>1</v>
      </c>
      <c r="P44">
        <v>0.9922800000000001</v>
      </c>
      <c r="Q44">
        <v>1</v>
      </c>
      <c r="R44">
        <v>1</v>
      </c>
      <c r="S44">
        <v>1</v>
      </c>
      <c r="T44">
        <v>1</v>
      </c>
      <c r="U44">
        <v>1</v>
      </c>
      <c r="V44">
        <v>65.196</v>
      </c>
      <c r="W44">
        <v>33.041</v>
      </c>
      <c r="X44">
        <v>64.139</v>
      </c>
      <c r="Y44">
        <v>14.309</v>
      </c>
      <c r="Z44">
        <v>24.423</v>
      </c>
      <c r="AA44">
        <v>201.108</v>
      </c>
      <c r="AB44">
        <v>0.92448</v>
      </c>
      <c r="AC44">
        <v>197</v>
      </c>
      <c r="AD44">
        <v>0</v>
      </c>
      <c r="AG44">
        <v>43</v>
      </c>
      <c r="AH44">
        <v>40</v>
      </c>
      <c r="AI44">
        <v>68</v>
      </c>
      <c r="AJ44">
        <v>22</v>
      </c>
      <c r="AK44">
        <v>24</v>
      </c>
    </row>
    <row r="45" spans="1:37">
      <c r="A45" t="s">
        <v>568</v>
      </c>
      <c r="B45" t="s">
        <v>1751</v>
      </c>
      <c r="C45">
        <v>17.8</v>
      </c>
      <c r="D45" t="s">
        <v>82</v>
      </c>
      <c r="E45">
        <v>18</v>
      </c>
      <c r="F45">
        <v>0</v>
      </c>
      <c r="G45">
        <v>0</v>
      </c>
      <c r="I45">
        <v>1.00801</v>
      </c>
      <c r="J45">
        <v>0.96568</v>
      </c>
      <c r="K45">
        <v>1.01538</v>
      </c>
      <c r="L45">
        <v>1.0201</v>
      </c>
      <c r="M45">
        <v>0.87015</v>
      </c>
      <c r="N45">
        <v>1.00735</v>
      </c>
      <c r="O45">
        <v>1</v>
      </c>
      <c r="P45">
        <v>0.9896200000000001</v>
      </c>
      <c r="Q45">
        <v>1</v>
      </c>
      <c r="R45">
        <v>1</v>
      </c>
      <c r="S45">
        <v>1</v>
      </c>
      <c r="T45">
        <v>1</v>
      </c>
      <c r="U45">
        <v>1</v>
      </c>
      <c r="V45">
        <v>63.206</v>
      </c>
      <c r="W45">
        <v>33.609</v>
      </c>
      <c r="X45">
        <v>63.956</v>
      </c>
      <c r="Y45">
        <v>13.38</v>
      </c>
      <c r="Z45">
        <v>24.913</v>
      </c>
      <c r="AA45">
        <v>199.065</v>
      </c>
      <c r="AB45">
        <v>0.97321</v>
      </c>
      <c r="AC45">
        <v>186</v>
      </c>
      <c r="AD45">
        <v>0</v>
      </c>
      <c r="AG45">
        <v>59</v>
      </c>
      <c r="AH45">
        <v>31</v>
      </c>
      <c r="AI45">
        <v>61</v>
      </c>
      <c r="AJ45">
        <v>5</v>
      </c>
      <c r="AK45">
        <v>30</v>
      </c>
    </row>
    <row r="46" spans="1:37">
      <c r="A46" t="s">
        <v>569</v>
      </c>
      <c r="B46" t="s">
        <v>1751</v>
      </c>
      <c r="C46">
        <v>17.3</v>
      </c>
      <c r="D46" t="s">
        <v>82</v>
      </c>
      <c r="E46">
        <v>19</v>
      </c>
      <c r="F46">
        <v>0</v>
      </c>
      <c r="G46">
        <v>0</v>
      </c>
      <c r="I46">
        <v>1.0082</v>
      </c>
      <c r="J46">
        <v>0.97924</v>
      </c>
      <c r="K46">
        <v>1.01538</v>
      </c>
      <c r="L46">
        <v>1.02002</v>
      </c>
      <c r="M46">
        <v>0.89588</v>
      </c>
      <c r="N46">
        <v>1.00298</v>
      </c>
      <c r="O46">
        <v>1</v>
      </c>
      <c r="P46">
        <v>0.98687</v>
      </c>
      <c r="Q46">
        <v>1</v>
      </c>
      <c r="R46">
        <v>1</v>
      </c>
      <c r="S46">
        <v>1</v>
      </c>
      <c r="T46">
        <v>1</v>
      </c>
      <c r="U46">
        <v>1</v>
      </c>
      <c r="V46">
        <v>64.029</v>
      </c>
      <c r="W46">
        <v>34.02</v>
      </c>
      <c r="X46">
        <v>67.876</v>
      </c>
      <c r="Y46">
        <v>14.627</v>
      </c>
      <c r="Z46">
        <v>25.525</v>
      </c>
      <c r="AA46">
        <v>206.077</v>
      </c>
      <c r="AB46">
        <v>1.00514</v>
      </c>
      <c r="AC46">
        <v>185</v>
      </c>
      <c r="AD46">
        <v>0</v>
      </c>
      <c r="AG46">
        <v>56</v>
      </c>
      <c r="AH46">
        <v>24</v>
      </c>
      <c r="AI46">
        <v>68</v>
      </c>
      <c r="AJ46">
        <v>16</v>
      </c>
      <c r="AK46">
        <v>21</v>
      </c>
    </row>
    <row r="47" spans="1:37">
      <c r="A47" t="s">
        <v>570</v>
      </c>
      <c r="B47" t="s">
        <v>1751</v>
      </c>
      <c r="C47">
        <v>18.4</v>
      </c>
      <c r="D47" t="s">
        <v>82</v>
      </c>
      <c r="E47">
        <v>20</v>
      </c>
      <c r="F47">
        <v>0</v>
      </c>
      <c r="G47">
        <v>0</v>
      </c>
      <c r="I47">
        <v>1.00838</v>
      </c>
      <c r="J47">
        <v>0.9764699999999999</v>
      </c>
      <c r="K47">
        <v>1.01538</v>
      </c>
      <c r="L47">
        <v>1.02</v>
      </c>
      <c r="M47">
        <v>0.93409</v>
      </c>
      <c r="N47">
        <v>1.01654</v>
      </c>
      <c r="O47">
        <v>1</v>
      </c>
      <c r="P47">
        <v>0.98369</v>
      </c>
      <c r="Q47">
        <v>1</v>
      </c>
      <c r="R47">
        <v>1</v>
      </c>
      <c r="S47">
        <v>1</v>
      </c>
      <c r="T47">
        <v>1</v>
      </c>
      <c r="U47">
        <v>1</v>
      </c>
      <c r="V47">
        <v>62.509</v>
      </c>
      <c r="W47">
        <v>32.171</v>
      </c>
      <c r="X47">
        <v>77.188</v>
      </c>
      <c r="Y47">
        <v>17.247</v>
      </c>
      <c r="Z47">
        <v>27.206</v>
      </c>
      <c r="AA47">
        <v>216.322</v>
      </c>
      <c r="AB47">
        <v>0.94794</v>
      </c>
      <c r="AC47">
        <v>195</v>
      </c>
      <c r="AD47">
        <v>1</v>
      </c>
      <c r="AG47">
        <v>52</v>
      </c>
      <c r="AH47">
        <v>28</v>
      </c>
      <c r="AI47">
        <v>80</v>
      </c>
      <c r="AJ47">
        <v>14</v>
      </c>
      <c r="AK47">
        <v>21</v>
      </c>
    </row>
    <row r="48" spans="1:37">
      <c r="A48" t="s">
        <v>571</v>
      </c>
      <c r="B48" t="s">
        <v>1752</v>
      </c>
      <c r="C48">
        <v>17.7</v>
      </c>
      <c r="D48" t="s">
        <v>82</v>
      </c>
      <c r="E48">
        <v>21</v>
      </c>
      <c r="F48">
        <v>0</v>
      </c>
      <c r="G48">
        <v>0</v>
      </c>
      <c r="I48">
        <v>1.00857</v>
      </c>
      <c r="J48">
        <v>0.9766899999999999</v>
      </c>
      <c r="K48">
        <v>1.01538</v>
      </c>
      <c r="L48">
        <v>1.01994</v>
      </c>
      <c r="M48">
        <v>1.14414</v>
      </c>
      <c r="N48">
        <v>1.01663</v>
      </c>
      <c r="O48">
        <v>1</v>
      </c>
      <c r="P48">
        <v>0.97916</v>
      </c>
      <c r="Q48">
        <v>1</v>
      </c>
      <c r="R48">
        <v>1</v>
      </c>
      <c r="S48">
        <v>1</v>
      </c>
      <c r="T48">
        <v>1</v>
      </c>
      <c r="U48">
        <v>1</v>
      </c>
      <c r="V48">
        <v>58.636</v>
      </c>
      <c r="W48">
        <v>27.05</v>
      </c>
      <c r="X48">
        <v>115.688</v>
      </c>
      <c r="Y48">
        <v>29.153</v>
      </c>
      <c r="Z48">
        <v>31.79</v>
      </c>
      <c r="AA48">
        <v>262.318</v>
      </c>
      <c r="AB48">
        <v>0.92642</v>
      </c>
      <c r="AC48">
        <v>243</v>
      </c>
      <c r="AD48">
        <v>0</v>
      </c>
      <c r="AG48">
        <v>48</v>
      </c>
      <c r="AH48">
        <v>28</v>
      </c>
      <c r="AI48">
        <v>109</v>
      </c>
      <c r="AJ48">
        <v>22</v>
      </c>
      <c r="AK48">
        <v>36</v>
      </c>
    </row>
    <row r="49" spans="1:37">
      <c r="A49" t="s">
        <v>572</v>
      </c>
      <c r="B49" t="s">
        <v>1753</v>
      </c>
      <c r="C49">
        <v>18.4</v>
      </c>
      <c r="D49" t="s">
        <v>82</v>
      </c>
      <c r="E49">
        <v>22</v>
      </c>
      <c r="F49">
        <v>0</v>
      </c>
      <c r="G49">
        <v>0</v>
      </c>
      <c r="I49">
        <v>1.00876</v>
      </c>
      <c r="J49">
        <v>0.9856</v>
      </c>
      <c r="K49">
        <v>1.01538</v>
      </c>
      <c r="L49">
        <v>1.01977</v>
      </c>
      <c r="M49">
        <v>0.93753</v>
      </c>
      <c r="N49">
        <v>1.03275</v>
      </c>
      <c r="O49">
        <v>1</v>
      </c>
      <c r="P49">
        <v>0.97216</v>
      </c>
      <c r="Q49">
        <v>1</v>
      </c>
      <c r="R49">
        <v>1</v>
      </c>
      <c r="S49">
        <v>1</v>
      </c>
      <c r="T49">
        <v>1</v>
      </c>
      <c r="U49">
        <v>1</v>
      </c>
      <c r="V49">
        <v>14.134</v>
      </c>
      <c r="W49">
        <v>11.92</v>
      </c>
      <c r="X49">
        <v>109.879</v>
      </c>
      <c r="Y49">
        <v>46.895</v>
      </c>
      <c r="Z49">
        <v>35.121</v>
      </c>
      <c r="AA49">
        <v>217.948</v>
      </c>
      <c r="AB49">
        <v>1.09393</v>
      </c>
      <c r="AC49">
        <v>262</v>
      </c>
      <c r="AD49">
        <v>0</v>
      </c>
      <c r="AG49">
        <v>27</v>
      </c>
      <c r="AH49">
        <v>15</v>
      </c>
      <c r="AI49">
        <v>141</v>
      </c>
      <c r="AJ49">
        <v>40</v>
      </c>
      <c r="AK49">
        <v>39</v>
      </c>
    </row>
    <row r="50" spans="1:37">
      <c r="A50" t="s">
        <v>573</v>
      </c>
      <c r="B50" t="s">
        <v>1754</v>
      </c>
      <c r="C50">
        <v>16.7</v>
      </c>
      <c r="D50" t="s">
        <v>82</v>
      </c>
      <c r="E50">
        <v>23</v>
      </c>
      <c r="F50">
        <v>0</v>
      </c>
      <c r="G50">
        <v>0</v>
      </c>
      <c r="I50">
        <v>1.00894</v>
      </c>
      <c r="J50">
        <v>0.97565</v>
      </c>
      <c r="K50">
        <v>1.01538</v>
      </c>
      <c r="L50">
        <v>1.01951</v>
      </c>
      <c r="M50">
        <v>0.86172</v>
      </c>
      <c r="N50">
        <v>1.00161</v>
      </c>
      <c r="O50">
        <v>1</v>
      </c>
      <c r="P50">
        <v>0.97012</v>
      </c>
      <c r="Q50">
        <v>1</v>
      </c>
      <c r="R50">
        <v>1</v>
      </c>
      <c r="S50">
        <v>1</v>
      </c>
      <c r="T50">
        <v>1</v>
      </c>
      <c r="U50">
        <v>1</v>
      </c>
      <c r="V50">
        <v>19.056</v>
      </c>
      <c r="W50">
        <v>18.505</v>
      </c>
      <c r="X50">
        <v>88.812</v>
      </c>
      <c r="Y50">
        <v>37.881</v>
      </c>
      <c r="Z50">
        <v>29.662</v>
      </c>
      <c r="AA50">
        <v>193.915</v>
      </c>
      <c r="AB50">
        <v>0.9837399999999999</v>
      </c>
      <c r="AC50">
        <v>203</v>
      </c>
      <c r="AD50">
        <v>0</v>
      </c>
      <c r="AG50">
        <v>19</v>
      </c>
      <c r="AH50">
        <v>18</v>
      </c>
      <c r="AI50">
        <v>95</v>
      </c>
      <c r="AJ50">
        <v>43</v>
      </c>
      <c r="AK50">
        <v>28</v>
      </c>
    </row>
    <row r="51" spans="1:37">
      <c r="A51" t="s">
        <v>372</v>
      </c>
      <c r="B51" t="s">
        <v>1751</v>
      </c>
      <c r="C51">
        <v>16.4</v>
      </c>
      <c r="D51" t="s">
        <v>1474</v>
      </c>
      <c r="E51">
        <v>24</v>
      </c>
      <c r="F51">
        <v>0</v>
      </c>
      <c r="G51">
        <v>0</v>
      </c>
      <c r="I51">
        <v>1.00913</v>
      </c>
      <c r="J51">
        <v>0.97175</v>
      </c>
      <c r="K51">
        <v>1.01538</v>
      </c>
      <c r="L51">
        <v>1.01913</v>
      </c>
      <c r="M51">
        <v>0.90185</v>
      </c>
      <c r="N51">
        <v>0.99296</v>
      </c>
      <c r="O51">
        <v>1.01321</v>
      </c>
      <c r="P51">
        <v>0.97435</v>
      </c>
      <c r="Q51">
        <v>1</v>
      </c>
      <c r="R51">
        <v>1</v>
      </c>
      <c r="S51">
        <v>1</v>
      </c>
      <c r="T51">
        <v>1</v>
      </c>
      <c r="U51">
        <v>1</v>
      </c>
      <c r="V51">
        <v>66.34099999999999</v>
      </c>
      <c r="W51">
        <v>36.786</v>
      </c>
      <c r="X51">
        <v>62.343</v>
      </c>
      <c r="Y51">
        <v>13.315</v>
      </c>
      <c r="Z51">
        <v>23.957</v>
      </c>
      <c r="AA51">
        <v>202.742</v>
      </c>
      <c r="AB51">
        <v>1.03376</v>
      </c>
      <c r="AC51">
        <v>198</v>
      </c>
      <c r="AD51">
        <v>0</v>
      </c>
      <c r="AG51">
        <v>56</v>
      </c>
      <c r="AH51">
        <v>39</v>
      </c>
      <c r="AI51">
        <v>67</v>
      </c>
      <c r="AJ51">
        <v>12</v>
      </c>
      <c r="AK51">
        <v>24</v>
      </c>
    </row>
    <row r="52" spans="1:37">
      <c r="A52" t="s">
        <v>574</v>
      </c>
      <c r="B52" t="s">
        <v>1751</v>
      </c>
      <c r="C52">
        <v>16</v>
      </c>
      <c r="D52" t="s">
        <v>1474</v>
      </c>
      <c r="E52">
        <v>25</v>
      </c>
      <c r="F52">
        <v>0</v>
      </c>
      <c r="G52">
        <v>0</v>
      </c>
      <c r="I52">
        <v>1.00931</v>
      </c>
      <c r="J52">
        <v>0.96983</v>
      </c>
      <c r="K52">
        <v>1.01538</v>
      </c>
      <c r="L52">
        <v>1.01867</v>
      </c>
      <c r="M52">
        <v>0.8767200000000001</v>
      </c>
      <c r="N52">
        <v>0.98798</v>
      </c>
      <c r="O52">
        <v>1.01401</v>
      </c>
      <c r="P52">
        <v>0.97176</v>
      </c>
      <c r="Q52">
        <v>1</v>
      </c>
      <c r="R52">
        <v>1</v>
      </c>
      <c r="S52">
        <v>1</v>
      </c>
      <c r="T52">
        <v>1</v>
      </c>
      <c r="U52">
        <v>1</v>
      </c>
      <c r="V52">
        <v>62.968</v>
      </c>
      <c r="W52">
        <v>36.633</v>
      </c>
      <c r="X52">
        <v>59.828</v>
      </c>
      <c r="Y52">
        <v>12.042</v>
      </c>
      <c r="Z52">
        <v>23.656</v>
      </c>
      <c r="AA52">
        <v>195.127</v>
      </c>
      <c r="AB52">
        <v>0.97724</v>
      </c>
      <c r="AC52">
        <v>183</v>
      </c>
      <c r="AD52">
        <v>2</v>
      </c>
      <c r="AG52">
        <v>65</v>
      </c>
      <c r="AH52">
        <v>19</v>
      </c>
      <c r="AI52">
        <v>63</v>
      </c>
      <c r="AJ52">
        <v>15</v>
      </c>
      <c r="AK52">
        <v>21</v>
      </c>
    </row>
    <row r="53" spans="1:37">
      <c r="A53" t="s">
        <v>575</v>
      </c>
      <c r="B53" t="s">
        <v>1751</v>
      </c>
      <c r="C53">
        <v>16.9</v>
      </c>
      <c r="D53" t="s">
        <v>1474</v>
      </c>
      <c r="E53">
        <v>26</v>
      </c>
      <c r="F53">
        <v>0</v>
      </c>
      <c r="G53">
        <v>0</v>
      </c>
      <c r="I53">
        <v>1.0095</v>
      </c>
      <c r="J53">
        <v>0.96213</v>
      </c>
      <c r="K53">
        <v>1.01538</v>
      </c>
      <c r="L53">
        <v>1.01811</v>
      </c>
      <c r="M53">
        <v>0.89988</v>
      </c>
      <c r="N53">
        <v>0.9991100000000001</v>
      </c>
      <c r="O53">
        <v>1.01352</v>
      </c>
      <c r="P53">
        <v>0.96851</v>
      </c>
      <c r="Q53">
        <v>1</v>
      </c>
      <c r="R53">
        <v>1</v>
      </c>
      <c r="S53">
        <v>1.02328</v>
      </c>
      <c r="T53">
        <v>1</v>
      </c>
      <c r="U53">
        <v>1</v>
      </c>
      <c r="V53">
        <v>62.374</v>
      </c>
      <c r="W53">
        <v>37.709</v>
      </c>
      <c r="X53">
        <v>67.45699999999999</v>
      </c>
      <c r="Y53">
        <v>13.189</v>
      </c>
      <c r="Z53">
        <v>24.237</v>
      </c>
      <c r="AA53">
        <v>204.966</v>
      </c>
      <c r="AB53">
        <v>1.02621</v>
      </c>
      <c r="AC53">
        <v>207</v>
      </c>
      <c r="AD53">
        <v>0</v>
      </c>
      <c r="AG53">
        <v>68</v>
      </c>
      <c r="AH53">
        <v>30</v>
      </c>
      <c r="AI53">
        <v>74</v>
      </c>
      <c r="AJ53">
        <v>17</v>
      </c>
      <c r="AK53">
        <v>18</v>
      </c>
    </row>
    <row r="54" spans="1:37">
      <c r="A54" t="s">
        <v>576</v>
      </c>
      <c r="B54" t="s">
        <v>1755</v>
      </c>
      <c r="C54">
        <v>17.3</v>
      </c>
      <c r="D54" t="s">
        <v>1474</v>
      </c>
      <c r="E54">
        <v>27</v>
      </c>
      <c r="F54">
        <v>0</v>
      </c>
      <c r="G54">
        <v>0</v>
      </c>
      <c r="I54">
        <v>1.00969</v>
      </c>
      <c r="J54">
        <v>0.95072</v>
      </c>
      <c r="K54">
        <v>1.01538</v>
      </c>
      <c r="L54">
        <v>1.01746</v>
      </c>
      <c r="M54">
        <v>0.90887</v>
      </c>
      <c r="N54">
        <v>1.01601</v>
      </c>
      <c r="O54">
        <v>0.99527</v>
      </c>
      <c r="P54">
        <v>0.9589800000000001</v>
      </c>
      <c r="Q54">
        <v>1</v>
      </c>
      <c r="R54">
        <v>1.08616</v>
      </c>
      <c r="S54">
        <v>1.0277</v>
      </c>
      <c r="T54">
        <v>1</v>
      </c>
      <c r="U54">
        <v>1</v>
      </c>
      <c r="V54">
        <v>18.482</v>
      </c>
      <c r="W54">
        <v>12.291</v>
      </c>
      <c r="X54">
        <v>109.214</v>
      </c>
      <c r="Y54">
        <v>40.222</v>
      </c>
      <c r="Z54">
        <v>30.247</v>
      </c>
      <c r="AA54">
        <v>210.456</v>
      </c>
      <c r="AB54">
        <v>1.06206</v>
      </c>
      <c r="AC54">
        <v>223</v>
      </c>
      <c r="AD54">
        <v>0</v>
      </c>
      <c r="AG54">
        <v>15</v>
      </c>
      <c r="AH54">
        <v>10</v>
      </c>
      <c r="AI54">
        <v>125</v>
      </c>
      <c r="AJ54">
        <v>39</v>
      </c>
      <c r="AK54">
        <v>34</v>
      </c>
    </row>
    <row r="55" spans="1:37">
      <c r="A55" t="s">
        <v>577</v>
      </c>
      <c r="B55" t="s">
        <v>1755</v>
      </c>
      <c r="C55">
        <v>17.9</v>
      </c>
      <c r="D55" t="s">
        <v>1474</v>
      </c>
      <c r="E55">
        <v>28</v>
      </c>
      <c r="F55">
        <v>0</v>
      </c>
      <c r="G55">
        <v>0</v>
      </c>
      <c r="I55">
        <v>1.00987</v>
      </c>
      <c r="J55">
        <v>0.95546</v>
      </c>
      <c r="K55">
        <v>1.01538</v>
      </c>
      <c r="L55">
        <v>1.01674</v>
      </c>
      <c r="M55">
        <v>0.88411</v>
      </c>
      <c r="N55">
        <v>1.02399</v>
      </c>
      <c r="O55">
        <v>0.9967</v>
      </c>
      <c r="P55">
        <v>0.95951</v>
      </c>
      <c r="Q55">
        <v>1</v>
      </c>
      <c r="R55">
        <v>1.00119</v>
      </c>
      <c r="S55">
        <v>1.02708</v>
      </c>
      <c r="T55">
        <v>1</v>
      </c>
      <c r="U55">
        <v>1</v>
      </c>
      <c r="V55">
        <v>18.564</v>
      </c>
      <c r="W55">
        <v>14.403</v>
      </c>
      <c r="X55">
        <v>97.297</v>
      </c>
      <c r="Y55">
        <v>37.248</v>
      </c>
      <c r="Z55">
        <v>29.212</v>
      </c>
      <c r="AA55">
        <v>196.725</v>
      </c>
      <c r="AB55">
        <v>1.01871</v>
      </c>
      <c r="AC55">
        <v>196</v>
      </c>
      <c r="AD55">
        <v>0</v>
      </c>
      <c r="AG55">
        <v>21</v>
      </c>
      <c r="AH55">
        <v>15</v>
      </c>
      <c r="AI55">
        <v>89</v>
      </c>
      <c r="AJ55">
        <v>40</v>
      </c>
      <c r="AK55">
        <v>31</v>
      </c>
    </row>
    <row r="56" spans="1:37">
      <c r="A56" t="s">
        <v>578</v>
      </c>
      <c r="B56" t="s">
        <v>1753</v>
      </c>
      <c r="C56">
        <v>17.1</v>
      </c>
      <c r="D56" t="s">
        <v>1474</v>
      </c>
      <c r="E56">
        <v>29</v>
      </c>
      <c r="F56">
        <v>0</v>
      </c>
      <c r="G56">
        <v>0</v>
      </c>
      <c r="I56">
        <v>1.01006</v>
      </c>
      <c r="J56">
        <v>0.95344</v>
      </c>
      <c r="K56">
        <v>1.01538</v>
      </c>
      <c r="L56">
        <v>1.01594</v>
      </c>
      <c r="M56">
        <v>0.9140200000000001</v>
      </c>
      <c r="N56">
        <v>1.00969</v>
      </c>
      <c r="O56">
        <v>0.99487</v>
      </c>
      <c r="P56">
        <v>0.95843</v>
      </c>
      <c r="Q56">
        <v>1</v>
      </c>
      <c r="R56">
        <v>1</v>
      </c>
      <c r="S56">
        <v>1</v>
      </c>
      <c r="T56">
        <v>1</v>
      </c>
      <c r="U56">
        <v>1</v>
      </c>
      <c r="V56">
        <v>13.577</v>
      </c>
      <c r="W56">
        <v>12.556</v>
      </c>
      <c r="X56">
        <v>101.445</v>
      </c>
      <c r="Y56">
        <v>41.465</v>
      </c>
      <c r="Z56">
        <v>32.687</v>
      </c>
      <c r="AA56">
        <v>201.73</v>
      </c>
      <c r="AB56">
        <v>0.97432</v>
      </c>
      <c r="AC56">
        <v>216</v>
      </c>
      <c r="AD56">
        <v>0</v>
      </c>
      <c r="AG56">
        <v>11</v>
      </c>
      <c r="AH56">
        <v>12</v>
      </c>
      <c r="AI56">
        <v>115</v>
      </c>
      <c r="AJ56">
        <v>43</v>
      </c>
      <c r="AK56">
        <v>35</v>
      </c>
    </row>
    <row r="57" spans="1:37">
      <c r="A57" t="s">
        <v>579</v>
      </c>
      <c r="B57" t="s">
        <v>1754</v>
      </c>
      <c r="C57">
        <v>18</v>
      </c>
      <c r="D57" t="s">
        <v>1474</v>
      </c>
      <c r="E57">
        <v>30</v>
      </c>
      <c r="F57">
        <v>0</v>
      </c>
      <c r="G57">
        <v>0</v>
      </c>
      <c r="I57">
        <v>1.01025</v>
      </c>
      <c r="J57">
        <v>0.94255</v>
      </c>
      <c r="K57">
        <v>1.01538</v>
      </c>
      <c r="L57">
        <v>1.01508</v>
      </c>
      <c r="M57">
        <v>0.85693</v>
      </c>
      <c r="N57">
        <v>1.02254</v>
      </c>
      <c r="O57">
        <v>0.99963</v>
      </c>
      <c r="P57">
        <v>0.96025</v>
      </c>
      <c r="Q57">
        <v>1</v>
      </c>
      <c r="R57">
        <v>1</v>
      </c>
      <c r="S57">
        <v>1</v>
      </c>
      <c r="T57">
        <v>1</v>
      </c>
      <c r="U57">
        <v>1</v>
      </c>
      <c r="V57">
        <v>18.29</v>
      </c>
      <c r="W57">
        <v>19.493</v>
      </c>
      <c r="X57">
        <v>87.13500000000001</v>
      </c>
      <c r="Y57">
        <v>35.005</v>
      </c>
      <c r="Z57">
        <v>28.826</v>
      </c>
      <c r="AA57">
        <v>188.749</v>
      </c>
      <c r="AB57">
        <v>0.94155</v>
      </c>
      <c r="AC57">
        <v>160</v>
      </c>
      <c r="AD57">
        <v>0</v>
      </c>
      <c r="AG57">
        <v>11</v>
      </c>
      <c r="AH57">
        <v>15</v>
      </c>
      <c r="AI57">
        <v>64</v>
      </c>
      <c r="AJ57">
        <v>39</v>
      </c>
      <c r="AK57">
        <v>31</v>
      </c>
    </row>
    <row r="58" spans="1:37">
      <c r="A58" t="s">
        <v>373</v>
      </c>
      <c r="B58" t="s">
        <v>1751</v>
      </c>
      <c r="C58">
        <v>19.4</v>
      </c>
      <c r="D58" t="s">
        <v>1474</v>
      </c>
      <c r="E58">
        <v>31</v>
      </c>
      <c r="F58">
        <v>0</v>
      </c>
      <c r="G58">
        <v>0</v>
      </c>
      <c r="I58">
        <v>1.01043</v>
      </c>
      <c r="J58">
        <v>0.9482</v>
      </c>
      <c r="K58">
        <v>1.01538</v>
      </c>
      <c r="L58">
        <v>1.01416</v>
      </c>
      <c r="M58">
        <v>0.89904</v>
      </c>
      <c r="N58">
        <v>1.02163</v>
      </c>
      <c r="O58">
        <v>1.01271</v>
      </c>
      <c r="P58">
        <v>0.9688099999999999</v>
      </c>
      <c r="Q58">
        <v>1</v>
      </c>
      <c r="R58">
        <v>1</v>
      </c>
      <c r="S58">
        <v>1</v>
      </c>
      <c r="T58">
        <v>1</v>
      </c>
      <c r="U58">
        <v>1</v>
      </c>
      <c r="V58">
        <v>64.354</v>
      </c>
      <c r="W58">
        <v>35.628</v>
      </c>
      <c r="X58">
        <v>64.08</v>
      </c>
      <c r="Y58">
        <v>13.442</v>
      </c>
      <c r="Z58">
        <v>24.233</v>
      </c>
      <c r="AA58">
        <v>201.737</v>
      </c>
      <c r="AB58">
        <v>0.88988</v>
      </c>
      <c r="AC58">
        <v>192</v>
      </c>
      <c r="AD58">
        <v>0</v>
      </c>
      <c r="AG58">
        <v>49</v>
      </c>
      <c r="AH58">
        <v>40</v>
      </c>
      <c r="AI58">
        <v>57</v>
      </c>
      <c r="AJ58">
        <v>13</v>
      </c>
      <c r="AK58">
        <v>33</v>
      </c>
    </row>
    <row r="59" spans="1:37">
      <c r="A59" t="s">
        <v>580</v>
      </c>
      <c r="B59" t="s">
        <v>1751</v>
      </c>
      <c r="C59">
        <v>21.3</v>
      </c>
      <c r="D59" t="s">
        <v>1474</v>
      </c>
      <c r="E59">
        <v>0</v>
      </c>
      <c r="F59">
        <v>0</v>
      </c>
      <c r="G59">
        <v>0</v>
      </c>
      <c r="I59">
        <v>1.01062</v>
      </c>
      <c r="J59">
        <v>0.9699</v>
      </c>
      <c r="K59">
        <v>1.01538</v>
      </c>
      <c r="L59">
        <v>1.0132</v>
      </c>
      <c r="M59">
        <v>0.86816</v>
      </c>
      <c r="N59">
        <v>1.03313</v>
      </c>
      <c r="O59">
        <v>1.01264</v>
      </c>
      <c r="P59">
        <v>1.06284</v>
      </c>
      <c r="Q59">
        <v>1</v>
      </c>
      <c r="R59">
        <v>1</v>
      </c>
      <c r="S59">
        <v>1</v>
      </c>
      <c r="T59">
        <v>1</v>
      </c>
      <c r="U59">
        <v>1</v>
      </c>
      <c r="V59">
        <v>65.21599999999999</v>
      </c>
      <c r="W59">
        <v>38.931</v>
      </c>
      <c r="X59">
        <v>74.31</v>
      </c>
      <c r="Y59">
        <v>14.571</v>
      </c>
      <c r="Z59">
        <v>29.098</v>
      </c>
      <c r="AA59">
        <v>222.125</v>
      </c>
      <c r="AB59">
        <v>0.97117</v>
      </c>
      <c r="AC59">
        <v>244</v>
      </c>
      <c r="AD59">
        <v>0</v>
      </c>
      <c r="AG59">
        <v>74</v>
      </c>
      <c r="AH59">
        <v>54</v>
      </c>
      <c r="AI59">
        <v>74</v>
      </c>
      <c r="AJ59">
        <v>18</v>
      </c>
      <c r="AK59">
        <v>24</v>
      </c>
    </row>
    <row r="60" spans="1:37">
      <c r="A60" t="s">
        <v>581</v>
      </c>
      <c r="B60" t="s">
        <v>1751</v>
      </c>
      <c r="C60">
        <v>19.8</v>
      </c>
      <c r="D60" t="s">
        <v>1474</v>
      </c>
      <c r="E60">
        <v>1</v>
      </c>
      <c r="F60">
        <v>0</v>
      </c>
      <c r="G60">
        <v>0</v>
      </c>
      <c r="I60">
        <v>1.01081</v>
      </c>
      <c r="J60">
        <v>0.9721</v>
      </c>
      <c r="K60">
        <v>1.01538</v>
      </c>
      <c r="L60">
        <v>1.01221</v>
      </c>
      <c r="M60">
        <v>0.89517</v>
      </c>
      <c r="N60">
        <v>1.02621</v>
      </c>
      <c r="O60">
        <v>1.01221</v>
      </c>
      <c r="P60">
        <v>1.04249</v>
      </c>
      <c r="Q60">
        <v>1</v>
      </c>
      <c r="R60">
        <v>1</v>
      </c>
      <c r="S60">
        <v>1</v>
      </c>
      <c r="T60">
        <v>1</v>
      </c>
      <c r="U60">
        <v>1</v>
      </c>
      <c r="V60">
        <v>64.746</v>
      </c>
      <c r="W60">
        <v>38.434</v>
      </c>
      <c r="X60">
        <v>75.917</v>
      </c>
      <c r="Y60">
        <v>15.339</v>
      </c>
      <c r="Z60">
        <v>28.326</v>
      </c>
      <c r="AA60">
        <v>222.763</v>
      </c>
      <c r="AB60">
        <v>1.04248</v>
      </c>
      <c r="AC60">
        <v>237</v>
      </c>
      <c r="AD60">
        <v>0</v>
      </c>
      <c r="AG60">
        <v>76</v>
      </c>
      <c r="AH60">
        <v>26</v>
      </c>
      <c r="AI60">
        <v>88</v>
      </c>
      <c r="AJ60">
        <v>13</v>
      </c>
      <c r="AK60">
        <v>34</v>
      </c>
    </row>
    <row r="61" spans="1:37">
      <c r="A61" t="s">
        <v>582</v>
      </c>
      <c r="B61" t="s">
        <v>1751</v>
      </c>
      <c r="C61">
        <v>20.7</v>
      </c>
      <c r="D61" t="s">
        <v>1474</v>
      </c>
      <c r="E61">
        <v>2</v>
      </c>
      <c r="F61">
        <v>0</v>
      </c>
      <c r="G61">
        <v>0</v>
      </c>
      <c r="I61">
        <v>1.01099</v>
      </c>
      <c r="J61">
        <v>0.98022</v>
      </c>
      <c r="K61">
        <v>1.03594</v>
      </c>
      <c r="L61">
        <v>1.01119</v>
      </c>
      <c r="M61">
        <v>0.93472</v>
      </c>
      <c r="N61">
        <v>1.03491</v>
      </c>
      <c r="O61">
        <v>1.01032</v>
      </c>
      <c r="P61">
        <v>1.02937</v>
      </c>
      <c r="Q61">
        <v>1</v>
      </c>
      <c r="R61">
        <v>1</v>
      </c>
      <c r="S61">
        <v>1</v>
      </c>
      <c r="T61">
        <v>1</v>
      </c>
      <c r="U61">
        <v>1</v>
      </c>
      <c r="V61">
        <v>64.84099999999999</v>
      </c>
      <c r="W61">
        <v>37.17</v>
      </c>
      <c r="X61">
        <v>86.392</v>
      </c>
      <c r="Y61">
        <v>18.174</v>
      </c>
      <c r="Z61">
        <v>30.539</v>
      </c>
      <c r="AA61">
        <v>237.116</v>
      </c>
      <c r="AB61">
        <v>0.9353900000000001</v>
      </c>
      <c r="AC61">
        <v>212</v>
      </c>
      <c r="AD61">
        <v>0</v>
      </c>
      <c r="AG61">
        <v>48</v>
      </c>
      <c r="AH61">
        <v>36</v>
      </c>
      <c r="AI61">
        <v>88</v>
      </c>
      <c r="AJ61">
        <v>11</v>
      </c>
      <c r="AK61">
        <v>29</v>
      </c>
    </row>
    <row r="62" spans="1:37">
      <c r="A62" t="s">
        <v>583</v>
      </c>
      <c r="B62" t="s">
        <v>1752</v>
      </c>
      <c r="C62">
        <v>20.4</v>
      </c>
      <c r="D62" t="s">
        <v>1474</v>
      </c>
      <c r="E62">
        <v>3</v>
      </c>
      <c r="F62">
        <v>0</v>
      </c>
      <c r="G62">
        <v>0</v>
      </c>
      <c r="I62">
        <v>1.01118</v>
      </c>
      <c r="J62">
        <v>0.98212</v>
      </c>
      <c r="K62">
        <v>1.03594</v>
      </c>
      <c r="L62">
        <v>1.01017</v>
      </c>
      <c r="M62">
        <v>1.14752</v>
      </c>
      <c r="N62">
        <v>1.04581</v>
      </c>
      <c r="O62">
        <v>1.00423</v>
      </c>
      <c r="P62">
        <v>1.02158</v>
      </c>
      <c r="Q62">
        <v>1</v>
      </c>
      <c r="R62">
        <v>1</v>
      </c>
      <c r="S62">
        <v>1</v>
      </c>
      <c r="T62">
        <v>1</v>
      </c>
      <c r="U62">
        <v>1</v>
      </c>
      <c r="V62">
        <v>60.697</v>
      </c>
      <c r="W62">
        <v>31.131</v>
      </c>
      <c r="X62">
        <v>129.973</v>
      </c>
      <c r="Y62">
        <v>30.731</v>
      </c>
      <c r="Z62">
        <v>35.62</v>
      </c>
      <c r="AA62">
        <v>288.152</v>
      </c>
      <c r="AB62">
        <v>1.00976</v>
      </c>
      <c r="AC62">
        <v>278</v>
      </c>
      <c r="AD62">
        <v>0</v>
      </c>
      <c r="AG62">
        <v>61</v>
      </c>
      <c r="AH62">
        <v>39</v>
      </c>
      <c r="AI62">
        <v>124</v>
      </c>
      <c r="AJ62">
        <v>25</v>
      </c>
      <c r="AK62">
        <v>29</v>
      </c>
    </row>
    <row r="63" spans="1:37">
      <c r="A63" t="s">
        <v>584</v>
      </c>
      <c r="B63" t="s">
        <v>1753</v>
      </c>
      <c r="C63">
        <v>20.9</v>
      </c>
      <c r="D63" t="s">
        <v>1475</v>
      </c>
      <c r="E63">
        <v>4</v>
      </c>
      <c r="F63">
        <v>0</v>
      </c>
      <c r="G63">
        <v>0</v>
      </c>
      <c r="I63">
        <v>1.01136</v>
      </c>
      <c r="J63">
        <v>0.9763500000000001</v>
      </c>
      <c r="K63">
        <v>1.03594</v>
      </c>
      <c r="L63">
        <v>1.00913</v>
      </c>
      <c r="M63">
        <v>1.03984</v>
      </c>
      <c r="N63">
        <v>1.06704</v>
      </c>
      <c r="O63">
        <v>1.01324</v>
      </c>
      <c r="P63">
        <v>1.01724</v>
      </c>
      <c r="Q63">
        <v>1</v>
      </c>
      <c r="R63">
        <v>1</v>
      </c>
      <c r="S63">
        <v>1</v>
      </c>
      <c r="T63">
        <v>1</v>
      </c>
      <c r="U63">
        <v>1</v>
      </c>
      <c r="V63">
        <v>13.372</v>
      </c>
      <c r="W63">
        <v>5.51</v>
      </c>
      <c r="X63">
        <v>124.427</v>
      </c>
      <c r="Y63">
        <v>56.653</v>
      </c>
      <c r="Z63">
        <v>38.412</v>
      </c>
      <c r="AA63">
        <v>238.375</v>
      </c>
      <c r="AB63">
        <v>1.0247</v>
      </c>
      <c r="AC63">
        <v>236</v>
      </c>
      <c r="AD63">
        <v>0</v>
      </c>
      <c r="AG63">
        <v>14</v>
      </c>
      <c r="AH63">
        <v>4</v>
      </c>
      <c r="AI63">
        <v>129</v>
      </c>
      <c r="AJ63">
        <v>52</v>
      </c>
      <c r="AK63">
        <v>37</v>
      </c>
    </row>
    <row r="64" spans="1:37">
      <c r="A64" t="s">
        <v>585</v>
      </c>
      <c r="B64" t="s">
        <v>1754</v>
      </c>
      <c r="C64">
        <v>21.8</v>
      </c>
      <c r="D64" t="s">
        <v>1475</v>
      </c>
      <c r="E64">
        <v>5</v>
      </c>
      <c r="F64">
        <v>0</v>
      </c>
      <c r="G64">
        <v>0</v>
      </c>
      <c r="I64">
        <v>1.01155</v>
      </c>
      <c r="J64">
        <v>0.98343</v>
      </c>
      <c r="K64">
        <v>1.03594</v>
      </c>
      <c r="L64">
        <v>1.00811</v>
      </c>
      <c r="M64">
        <v>0.93531</v>
      </c>
      <c r="N64">
        <v>1.06732</v>
      </c>
      <c r="O64">
        <v>0.98728</v>
      </c>
      <c r="P64">
        <v>1.0112</v>
      </c>
      <c r="Q64">
        <v>1</v>
      </c>
      <c r="R64">
        <v>1</v>
      </c>
      <c r="S64">
        <v>1</v>
      </c>
      <c r="T64">
        <v>1</v>
      </c>
      <c r="U64">
        <v>1</v>
      </c>
      <c r="V64">
        <v>18.319</v>
      </c>
      <c r="W64">
        <v>8.688000000000001</v>
      </c>
      <c r="X64">
        <v>106.427</v>
      </c>
      <c r="Y64">
        <v>47.856</v>
      </c>
      <c r="Z64">
        <v>34.278</v>
      </c>
      <c r="AA64">
        <v>215.568</v>
      </c>
      <c r="AB64">
        <v>0.98765</v>
      </c>
      <c r="AC64">
        <v>228</v>
      </c>
      <c r="AD64">
        <v>0</v>
      </c>
      <c r="AG64">
        <v>19</v>
      </c>
      <c r="AH64">
        <v>11</v>
      </c>
      <c r="AI64">
        <v>108</v>
      </c>
      <c r="AJ64">
        <v>53</v>
      </c>
      <c r="AK64">
        <v>37</v>
      </c>
    </row>
    <row r="65" spans="1:37">
      <c r="A65" t="s">
        <v>374</v>
      </c>
      <c r="B65" t="s">
        <v>1751</v>
      </c>
      <c r="C65">
        <v>21.3</v>
      </c>
      <c r="D65" t="s">
        <v>1475</v>
      </c>
      <c r="E65">
        <v>6</v>
      </c>
      <c r="F65">
        <v>0</v>
      </c>
      <c r="G65">
        <v>0</v>
      </c>
      <c r="I65">
        <v>1.01174</v>
      </c>
      <c r="J65">
        <v>0.99147</v>
      </c>
      <c r="K65">
        <v>1.03594</v>
      </c>
      <c r="L65">
        <v>1.00711</v>
      </c>
      <c r="M65">
        <v>0.87573</v>
      </c>
      <c r="N65">
        <v>1.03953</v>
      </c>
      <c r="O65">
        <v>0.91246</v>
      </c>
      <c r="P65">
        <v>1.00602</v>
      </c>
      <c r="Q65">
        <v>1</v>
      </c>
      <c r="R65">
        <v>1</v>
      </c>
      <c r="S65">
        <v>1</v>
      </c>
      <c r="T65">
        <v>1</v>
      </c>
      <c r="U65">
        <v>1</v>
      </c>
      <c r="V65">
        <v>64.512</v>
      </c>
      <c r="W65">
        <v>15.881</v>
      </c>
      <c r="X65">
        <v>76.03700000000001</v>
      </c>
      <c r="Y65">
        <v>17.988</v>
      </c>
      <c r="Z65">
        <v>27.931</v>
      </c>
      <c r="AA65">
        <v>202.349</v>
      </c>
      <c r="AB65">
        <v>0.9559800000000001</v>
      </c>
      <c r="AC65">
        <v>186</v>
      </c>
      <c r="AD65">
        <v>0</v>
      </c>
      <c r="AG65">
        <v>60</v>
      </c>
      <c r="AH65">
        <v>18</v>
      </c>
      <c r="AI65">
        <v>71</v>
      </c>
      <c r="AJ65">
        <v>20</v>
      </c>
      <c r="AK65">
        <v>17</v>
      </c>
    </row>
    <row r="66" spans="1:37">
      <c r="A66" t="s">
        <v>586</v>
      </c>
      <c r="B66" t="s">
        <v>1751</v>
      </c>
      <c r="C66">
        <v>22.2</v>
      </c>
      <c r="D66" t="s">
        <v>1475</v>
      </c>
      <c r="E66">
        <v>7</v>
      </c>
      <c r="F66">
        <v>0</v>
      </c>
      <c r="G66">
        <v>0</v>
      </c>
      <c r="I66">
        <v>1.01192</v>
      </c>
      <c r="J66">
        <v>0.98009</v>
      </c>
      <c r="K66">
        <v>1.03594</v>
      </c>
      <c r="L66">
        <v>1.00614</v>
      </c>
      <c r="M66">
        <v>0.84804</v>
      </c>
      <c r="N66">
        <v>1.04165</v>
      </c>
      <c r="O66">
        <v>0.90998</v>
      </c>
      <c r="P66">
        <v>1.00405</v>
      </c>
      <c r="Q66">
        <v>1</v>
      </c>
      <c r="R66">
        <v>1</v>
      </c>
      <c r="S66">
        <v>1</v>
      </c>
      <c r="T66">
        <v>1</v>
      </c>
      <c r="U66">
        <v>1</v>
      </c>
      <c r="V66">
        <v>60.638</v>
      </c>
      <c r="W66">
        <v>15.666</v>
      </c>
      <c r="X66">
        <v>73.18000000000001</v>
      </c>
      <c r="Y66">
        <v>16.26</v>
      </c>
      <c r="Z66">
        <v>27.886</v>
      </c>
      <c r="AA66">
        <v>193.631</v>
      </c>
      <c r="AB66">
        <v>0.92944</v>
      </c>
      <c r="AC66">
        <v>163</v>
      </c>
      <c r="AD66">
        <v>0</v>
      </c>
      <c r="AG66">
        <v>50</v>
      </c>
      <c r="AH66">
        <v>12</v>
      </c>
      <c r="AI66">
        <v>59</v>
      </c>
      <c r="AJ66">
        <v>17</v>
      </c>
      <c r="AK66">
        <v>25</v>
      </c>
    </row>
    <row r="67" spans="1:37">
      <c r="A67" t="s">
        <v>587</v>
      </c>
      <c r="B67" t="s">
        <v>1751</v>
      </c>
      <c r="C67">
        <v>21.5</v>
      </c>
      <c r="D67" t="s">
        <v>1475</v>
      </c>
      <c r="E67">
        <v>8</v>
      </c>
      <c r="F67">
        <v>0</v>
      </c>
      <c r="G67">
        <v>0</v>
      </c>
      <c r="I67">
        <v>1.01211</v>
      </c>
      <c r="J67">
        <v>0.99383</v>
      </c>
      <c r="K67">
        <v>1.03594</v>
      </c>
      <c r="L67">
        <v>1.00521</v>
      </c>
      <c r="M67">
        <v>0.87727</v>
      </c>
      <c r="N67">
        <v>1.04154</v>
      </c>
      <c r="O67">
        <v>0.9139</v>
      </c>
      <c r="P67">
        <v>1.00274</v>
      </c>
      <c r="Q67">
        <v>1</v>
      </c>
      <c r="R67">
        <v>1</v>
      </c>
      <c r="S67">
        <v>1</v>
      </c>
      <c r="T67">
        <v>1</v>
      </c>
      <c r="U67">
        <v>1</v>
      </c>
      <c r="V67">
        <v>61.41</v>
      </c>
      <c r="W67">
        <v>15.859</v>
      </c>
      <c r="X67">
        <v>78.593</v>
      </c>
      <c r="Y67">
        <v>17.933</v>
      </c>
      <c r="Z67">
        <v>28.534</v>
      </c>
      <c r="AA67">
        <v>202.329</v>
      </c>
      <c r="AB67">
        <v>1.1018</v>
      </c>
      <c r="AC67">
        <v>221</v>
      </c>
      <c r="AD67">
        <v>0</v>
      </c>
      <c r="AG67">
        <v>83</v>
      </c>
      <c r="AH67">
        <v>13</v>
      </c>
      <c r="AI67">
        <v>76</v>
      </c>
      <c r="AJ67">
        <v>18</v>
      </c>
      <c r="AK67">
        <v>31</v>
      </c>
    </row>
    <row r="68" spans="1:37">
      <c r="A68" t="s">
        <v>588</v>
      </c>
      <c r="B68" t="s">
        <v>1751</v>
      </c>
      <c r="C68">
        <v>19.7</v>
      </c>
      <c r="D68" t="s">
        <v>1475</v>
      </c>
      <c r="E68">
        <v>9</v>
      </c>
      <c r="F68">
        <v>0</v>
      </c>
      <c r="G68">
        <v>0</v>
      </c>
      <c r="I68">
        <v>1.0123</v>
      </c>
      <c r="J68">
        <v>0.9988899999999999</v>
      </c>
      <c r="K68">
        <v>1.03594</v>
      </c>
      <c r="L68">
        <v>1.00433</v>
      </c>
      <c r="M68">
        <v>0.92833</v>
      </c>
      <c r="N68">
        <v>1.03347</v>
      </c>
      <c r="O68">
        <v>0.92402</v>
      </c>
      <c r="P68">
        <v>1.00188</v>
      </c>
      <c r="Q68">
        <v>1</v>
      </c>
      <c r="R68">
        <v>1</v>
      </c>
      <c r="S68">
        <v>1</v>
      </c>
      <c r="T68">
        <v>1</v>
      </c>
      <c r="U68">
        <v>1</v>
      </c>
      <c r="V68">
        <v>60.424</v>
      </c>
      <c r="W68">
        <v>15.123</v>
      </c>
      <c r="X68">
        <v>86.79300000000001</v>
      </c>
      <c r="Y68">
        <v>20.759</v>
      </c>
      <c r="Z68">
        <v>29.369</v>
      </c>
      <c r="AA68">
        <v>212.468</v>
      </c>
      <c r="AB68">
        <v>1.02121</v>
      </c>
      <c r="AC68">
        <v>194</v>
      </c>
      <c r="AD68">
        <v>0</v>
      </c>
      <c r="AG68">
        <v>67</v>
      </c>
      <c r="AH68">
        <v>10</v>
      </c>
      <c r="AI68">
        <v>75</v>
      </c>
      <c r="AJ68">
        <v>21</v>
      </c>
      <c r="AK68">
        <v>21</v>
      </c>
    </row>
    <row r="69" spans="1:37">
      <c r="A69" t="s">
        <v>589</v>
      </c>
      <c r="B69" t="s">
        <v>1752</v>
      </c>
      <c r="C69">
        <v>19.6</v>
      </c>
      <c r="D69" t="s">
        <v>1475</v>
      </c>
      <c r="E69">
        <v>10</v>
      </c>
      <c r="F69">
        <v>0</v>
      </c>
      <c r="G69">
        <v>0</v>
      </c>
      <c r="I69">
        <v>1.01248</v>
      </c>
      <c r="J69">
        <v>1.00662</v>
      </c>
      <c r="K69">
        <v>1.03594</v>
      </c>
      <c r="L69">
        <v>1.00351</v>
      </c>
      <c r="M69">
        <v>1.18974</v>
      </c>
      <c r="N69">
        <v>1.04418</v>
      </c>
      <c r="O69">
        <v>0.96133</v>
      </c>
      <c r="P69">
        <v>1.00137</v>
      </c>
      <c r="Q69">
        <v>1</v>
      </c>
      <c r="R69">
        <v>1</v>
      </c>
      <c r="S69">
        <v>1</v>
      </c>
      <c r="T69">
        <v>1</v>
      </c>
      <c r="U69">
        <v>1</v>
      </c>
      <c r="V69">
        <v>57.114</v>
      </c>
      <c r="W69">
        <v>12.821</v>
      </c>
      <c r="X69">
        <v>133.123</v>
      </c>
      <c r="Y69">
        <v>35.775</v>
      </c>
      <c r="Z69">
        <v>34.984</v>
      </c>
      <c r="AA69">
        <v>273.817</v>
      </c>
      <c r="AB69">
        <v>1.04745</v>
      </c>
      <c r="AC69">
        <v>277</v>
      </c>
      <c r="AD69">
        <v>0</v>
      </c>
      <c r="AG69">
        <v>61</v>
      </c>
      <c r="AH69">
        <v>8</v>
      </c>
      <c r="AI69">
        <v>147</v>
      </c>
      <c r="AJ69">
        <v>34</v>
      </c>
      <c r="AK69">
        <v>27</v>
      </c>
    </row>
    <row r="70" spans="1:37">
      <c r="A70" t="s">
        <v>590</v>
      </c>
      <c r="B70" t="s">
        <v>1753</v>
      </c>
      <c r="C70">
        <v>18.5</v>
      </c>
      <c r="D70" t="s">
        <v>1475</v>
      </c>
      <c r="E70">
        <v>11</v>
      </c>
      <c r="F70">
        <v>0</v>
      </c>
      <c r="G70">
        <v>0</v>
      </c>
      <c r="I70">
        <v>1.01267</v>
      </c>
      <c r="J70">
        <v>1.01298</v>
      </c>
      <c r="K70">
        <v>1.03594</v>
      </c>
      <c r="L70">
        <v>1.00276</v>
      </c>
      <c r="M70">
        <v>1.02917</v>
      </c>
      <c r="N70">
        <v>1.03743</v>
      </c>
      <c r="O70">
        <v>1.01202</v>
      </c>
      <c r="P70">
        <v>1.00105</v>
      </c>
      <c r="Q70">
        <v>1</v>
      </c>
      <c r="R70">
        <v>1</v>
      </c>
      <c r="S70">
        <v>1</v>
      </c>
      <c r="T70">
        <v>1</v>
      </c>
      <c r="U70">
        <v>1</v>
      </c>
      <c r="V70">
        <v>13.734</v>
      </c>
      <c r="W70">
        <v>5.64</v>
      </c>
      <c r="X70">
        <v>122.315</v>
      </c>
      <c r="Y70">
        <v>56.187</v>
      </c>
      <c r="Z70">
        <v>37.577</v>
      </c>
      <c r="AA70">
        <v>235.453</v>
      </c>
      <c r="AB70">
        <v>0.9067</v>
      </c>
      <c r="AC70">
        <v>222</v>
      </c>
      <c r="AD70">
        <v>0</v>
      </c>
      <c r="AG70">
        <v>12</v>
      </c>
      <c r="AH70">
        <v>5</v>
      </c>
      <c r="AI70">
        <v>116</v>
      </c>
      <c r="AJ70">
        <v>52</v>
      </c>
      <c r="AK70">
        <v>37</v>
      </c>
    </row>
    <row r="71" spans="1:37">
      <c r="A71" t="s">
        <v>591</v>
      </c>
      <c r="B71" t="s">
        <v>1754</v>
      </c>
      <c r="C71">
        <v>18.4</v>
      </c>
      <c r="D71" t="s">
        <v>1475</v>
      </c>
      <c r="E71">
        <v>12</v>
      </c>
      <c r="F71">
        <v>0</v>
      </c>
      <c r="G71">
        <v>0</v>
      </c>
      <c r="I71">
        <v>1.01286</v>
      </c>
      <c r="J71">
        <v>1.00879</v>
      </c>
      <c r="K71">
        <v>1.03594</v>
      </c>
      <c r="L71">
        <v>1.00209</v>
      </c>
      <c r="M71">
        <v>0.92702</v>
      </c>
      <c r="N71">
        <v>1.03294</v>
      </c>
      <c r="O71">
        <v>0.9852</v>
      </c>
      <c r="P71">
        <v>1.00068</v>
      </c>
      <c r="Q71">
        <v>1</v>
      </c>
      <c r="R71">
        <v>1</v>
      </c>
      <c r="S71">
        <v>1</v>
      </c>
      <c r="T71">
        <v>1</v>
      </c>
      <c r="U71">
        <v>1</v>
      </c>
      <c r="V71">
        <v>18.639</v>
      </c>
      <c r="W71">
        <v>8.82</v>
      </c>
      <c r="X71">
        <v>103.473</v>
      </c>
      <c r="Y71">
        <v>47.013</v>
      </c>
      <c r="Z71">
        <v>32.852</v>
      </c>
      <c r="AA71">
        <v>210.798</v>
      </c>
      <c r="AB71">
        <v>0.95605</v>
      </c>
      <c r="AC71">
        <v>173</v>
      </c>
      <c r="AD71">
        <v>0</v>
      </c>
      <c r="AG71">
        <v>15</v>
      </c>
      <c r="AH71">
        <v>6</v>
      </c>
      <c r="AI71">
        <v>87</v>
      </c>
      <c r="AJ71">
        <v>38</v>
      </c>
      <c r="AK71">
        <v>27</v>
      </c>
    </row>
    <row r="72" spans="1:37">
      <c r="A72" t="s">
        <v>375</v>
      </c>
      <c r="B72" t="s">
        <v>1751</v>
      </c>
      <c r="C72">
        <v>19.8</v>
      </c>
      <c r="D72" t="s">
        <v>82</v>
      </c>
      <c r="E72">
        <v>13</v>
      </c>
      <c r="F72">
        <v>0</v>
      </c>
      <c r="G72">
        <v>0</v>
      </c>
      <c r="I72">
        <v>1.01304</v>
      </c>
      <c r="J72">
        <v>1.01639</v>
      </c>
      <c r="K72">
        <v>1.03594</v>
      </c>
      <c r="L72">
        <v>1.0015</v>
      </c>
      <c r="M72">
        <v>0.89396</v>
      </c>
      <c r="N72">
        <v>1.02548</v>
      </c>
      <c r="O72">
        <v>1</v>
      </c>
      <c r="P72">
        <v>1.00035</v>
      </c>
      <c r="Q72">
        <v>1</v>
      </c>
      <c r="R72">
        <v>1</v>
      </c>
      <c r="S72">
        <v>1</v>
      </c>
      <c r="T72">
        <v>1</v>
      </c>
      <c r="U72">
        <v>1</v>
      </c>
      <c r="V72">
        <v>70.64400000000001</v>
      </c>
      <c r="W72">
        <v>35.886</v>
      </c>
      <c r="X72">
        <v>73.098</v>
      </c>
      <c r="Y72">
        <v>16.116</v>
      </c>
      <c r="Z72">
        <v>27.658</v>
      </c>
      <c r="AA72">
        <v>223.401</v>
      </c>
      <c r="AB72">
        <v>1.10024</v>
      </c>
      <c r="AC72">
        <v>258</v>
      </c>
      <c r="AD72">
        <v>0</v>
      </c>
      <c r="AG72">
        <v>69</v>
      </c>
      <c r="AH72">
        <v>59</v>
      </c>
      <c r="AI72">
        <v>82</v>
      </c>
      <c r="AJ72">
        <v>13</v>
      </c>
      <c r="AK72">
        <v>35</v>
      </c>
    </row>
    <row r="73" spans="1:37">
      <c r="A73" t="s">
        <v>592</v>
      </c>
      <c r="B73" t="s">
        <v>1751</v>
      </c>
      <c r="C73">
        <v>20</v>
      </c>
      <c r="D73" t="s">
        <v>82</v>
      </c>
      <c r="E73">
        <v>14</v>
      </c>
      <c r="F73">
        <v>0</v>
      </c>
      <c r="G73">
        <v>0</v>
      </c>
      <c r="I73">
        <v>1.01323</v>
      </c>
      <c r="J73">
        <v>1.01877</v>
      </c>
      <c r="K73">
        <v>1.03594</v>
      </c>
      <c r="L73">
        <v>1.001</v>
      </c>
      <c r="M73">
        <v>0.8678900000000001</v>
      </c>
      <c r="N73">
        <v>1.02629</v>
      </c>
      <c r="O73">
        <v>1</v>
      </c>
      <c r="P73">
        <v>1.00023</v>
      </c>
      <c r="Q73">
        <v>1</v>
      </c>
      <c r="R73">
        <v>1</v>
      </c>
      <c r="S73">
        <v>1</v>
      </c>
      <c r="T73">
        <v>1</v>
      </c>
      <c r="U73">
        <v>1</v>
      </c>
      <c r="V73">
        <v>67.413</v>
      </c>
      <c r="W73">
        <v>35.956</v>
      </c>
      <c r="X73">
        <v>71.626</v>
      </c>
      <c r="Y73">
        <v>14.827</v>
      </c>
      <c r="Z73">
        <v>27.794</v>
      </c>
      <c r="AA73">
        <v>217.616</v>
      </c>
      <c r="AB73">
        <v>0.95545</v>
      </c>
      <c r="AC73">
        <v>218</v>
      </c>
      <c r="AD73">
        <v>0</v>
      </c>
      <c r="AG73">
        <v>59</v>
      </c>
      <c r="AH73">
        <v>36</v>
      </c>
      <c r="AI73">
        <v>73</v>
      </c>
      <c r="AJ73">
        <v>21</v>
      </c>
      <c r="AK73">
        <v>29</v>
      </c>
    </row>
    <row r="74" spans="1:37">
      <c r="A74" t="s">
        <v>593</v>
      </c>
      <c r="B74" t="s">
        <v>1751</v>
      </c>
      <c r="C74">
        <v>21.5</v>
      </c>
      <c r="D74" t="s">
        <v>82</v>
      </c>
      <c r="E74">
        <v>15</v>
      </c>
      <c r="F74">
        <v>0</v>
      </c>
      <c r="G74">
        <v>0</v>
      </c>
      <c r="I74">
        <v>1.01342</v>
      </c>
      <c r="J74">
        <v>1.02683</v>
      </c>
      <c r="K74">
        <v>1.03594</v>
      </c>
      <c r="L74">
        <v>1.0006</v>
      </c>
      <c r="M74">
        <v>0.89333</v>
      </c>
      <c r="N74">
        <v>1.03535</v>
      </c>
      <c r="O74">
        <v>1</v>
      </c>
      <c r="P74">
        <v>0.99749</v>
      </c>
      <c r="Q74">
        <v>1</v>
      </c>
      <c r="R74">
        <v>1</v>
      </c>
      <c r="S74">
        <v>1</v>
      </c>
      <c r="T74">
        <v>1</v>
      </c>
      <c r="U74">
        <v>1</v>
      </c>
      <c r="V74">
        <v>67.852</v>
      </c>
      <c r="W74">
        <v>36.162</v>
      </c>
      <c r="X74">
        <v>77.264</v>
      </c>
      <c r="Y74">
        <v>16.371</v>
      </c>
      <c r="Z74">
        <v>29.173</v>
      </c>
      <c r="AA74">
        <v>226.822</v>
      </c>
      <c r="AB74">
        <v>1.10244</v>
      </c>
      <c r="AC74">
        <v>246</v>
      </c>
      <c r="AD74">
        <v>0</v>
      </c>
      <c r="AG74">
        <v>71</v>
      </c>
      <c r="AH74">
        <v>39</v>
      </c>
      <c r="AI74">
        <v>87</v>
      </c>
      <c r="AJ74">
        <v>20</v>
      </c>
      <c r="AK74">
        <v>29</v>
      </c>
    </row>
    <row r="75" spans="1:37">
      <c r="A75" t="s">
        <v>594</v>
      </c>
      <c r="B75" t="s">
        <v>1751</v>
      </c>
      <c r="C75">
        <v>19.7</v>
      </c>
      <c r="D75" t="s">
        <v>82</v>
      </c>
      <c r="E75">
        <v>16</v>
      </c>
      <c r="F75">
        <v>0</v>
      </c>
      <c r="G75">
        <v>0</v>
      </c>
      <c r="I75">
        <v>1.0136</v>
      </c>
      <c r="J75">
        <v>1.02784</v>
      </c>
      <c r="K75">
        <v>1.03594</v>
      </c>
      <c r="L75">
        <v>1.0003</v>
      </c>
      <c r="M75">
        <v>0.93375</v>
      </c>
      <c r="N75">
        <v>1.02852</v>
      </c>
      <c r="O75">
        <v>1</v>
      </c>
      <c r="P75">
        <v>0.99464</v>
      </c>
      <c r="Q75">
        <v>1</v>
      </c>
      <c r="R75">
        <v>1</v>
      </c>
      <c r="S75">
        <v>1</v>
      </c>
      <c r="T75">
        <v>1</v>
      </c>
      <c r="U75">
        <v>1</v>
      </c>
      <c r="V75">
        <v>66.476</v>
      </c>
      <c r="W75">
        <v>34.318</v>
      </c>
      <c r="X75">
        <v>84.801</v>
      </c>
      <c r="Y75">
        <v>18.834</v>
      </c>
      <c r="Z75">
        <v>29.843</v>
      </c>
      <c r="AA75">
        <v>234.271</v>
      </c>
      <c r="AB75">
        <v>0.96011</v>
      </c>
      <c r="AC75">
        <v>232</v>
      </c>
      <c r="AD75">
        <v>0</v>
      </c>
      <c r="AG75">
        <v>58</v>
      </c>
      <c r="AH75">
        <v>40</v>
      </c>
      <c r="AI75">
        <v>82</v>
      </c>
      <c r="AJ75">
        <v>18</v>
      </c>
      <c r="AK75">
        <v>34</v>
      </c>
    </row>
    <row r="76" spans="1:37">
      <c r="A76" t="s">
        <v>595</v>
      </c>
      <c r="B76" t="s">
        <v>1752</v>
      </c>
      <c r="C76">
        <v>19.4</v>
      </c>
      <c r="D76" t="s">
        <v>82</v>
      </c>
      <c r="E76">
        <v>17</v>
      </c>
      <c r="F76">
        <v>0</v>
      </c>
      <c r="G76">
        <v>0</v>
      </c>
      <c r="I76">
        <v>1.01379</v>
      </c>
      <c r="J76">
        <v>1.02064</v>
      </c>
      <c r="K76">
        <v>1.03594</v>
      </c>
      <c r="L76">
        <v>1.0001</v>
      </c>
      <c r="M76">
        <v>1.14878</v>
      </c>
      <c r="N76">
        <v>1.03736</v>
      </c>
      <c r="O76">
        <v>1</v>
      </c>
      <c r="P76">
        <v>0.9911</v>
      </c>
      <c r="Q76">
        <v>1</v>
      </c>
      <c r="R76">
        <v>1</v>
      </c>
      <c r="S76">
        <v>1</v>
      </c>
      <c r="T76">
        <v>1</v>
      </c>
      <c r="U76">
        <v>1</v>
      </c>
      <c r="V76">
        <v>61.898</v>
      </c>
      <c r="W76">
        <v>28.642</v>
      </c>
      <c r="X76">
        <v>127.485</v>
      </c>
      <c r="Y76">
        <v>31.838</v>
      </c>
      <c r="Z76">
        <v>34.837</v>
      </c>
      <c r="AA76">
        <v>284.7</v>
      </c>
      <c r="AB76">
        <v>0.96934</v>
      </c>
      <c r="AC76">
        <v>284</v>
      </c>
      <c r="AD76">
        <v>0</v>
      </c>
      <c r="AG76">
        <v>51</v>
      </c>
      <c r="AH76">
        <v>23</v>
      </c>
      <c r="AI76">
        <v>132</v>
      </c>
      <c r="AJ76">
        <v>34</v>
      </c>
      <c r="AK76">
        <v>44</v>
      </c>
    </row>
    <row r="77" spans="1:37">
      <c r="A77" t="s">
        <v>596</v>
      </c>
      <c r="B77" t="s">
        <v>1753</v>
      </c>
      <c r="C77">
        <v>19</v>
      </c>
      <c r="D77" t="s">
        <v>82</v>
      </c>
      <c r="E77">
        <v>18</v>
      </c>
      <c r="F77">
        <v>0</v>
      </c>
      <c r="G77">
        <v>0</v>
      </c>
      <c r="I77">
        <v>1.01398</v>
      </c>
      <c r="J77">
        <v>1.02191</v>
      </c>
      <c r="K77">
        <v>1.03594</v>
      </c>
      <c r="L77">
        <v>1.00001</v>
      </c>
      <c r="M77">
        <v>0.9431</v>
      </c>
      <c r="N77">
        <v>1.0419</v>
      </c>
      <c r="O77">
        <v>1</v>
      </c>
      <c r="P77">
        <v>0.98613</v>
      </c>
      <c r="Q77">
        <v>1</v>
      </c>
      <c r="R77">
        <v>1</v>
      </c>
      <c r="S77">
        <v>1</v>
      </c>
      <c r="T77">
        <v>1</v>
      </c>
      <c r="U77">
        <v>1</v>
      </c>
      <c r="V77">
        <v>14.805</v>
      </c>
      <c r="W77">
        <v>12.524</v>
      </c>
      <c r="X77">
        <v>117.639</v>
      </c>
      <c r="Y77">
        <v>50.052</v>
      </c>
      <c r="Z77">
        <v>37.538</v>
      </c>
      <c r="AA77">
        <v>232.557</v>
      </c>
      <c r="AB77">
        <v>1.10785</v>
      </c>
      <c r="AC77">
        <v>274</v>
      </c>
      <c r="AD77">
        <v>0</v>
      </c>
      <c r="AG77">
        <v>15</v>
      </c>
      <c r="AH77">
        <v>10</v>
      </c>
      <c r="AI77">
        <v>145</v>
      </c>
      <c r="AJ77">
        <v>56</v>
      </c>
      <c r="AK77">
        <v>48</v>
      </c>
    </row>
    <row r="78" spans="1:37">
      <c r="A78" t="s">
        <v>597</v>
      </c>
      <c r="B78" t="s">
        <v>1754</v>
      </c>
      <c r="C78">
        <v>19</v>
      </c>
      <c r="D78" t="s">
        <v>82</v>
      </c>
      <c r="E78">
        <v>19</v>
      </c>
      <c r="F78">
        <v>0</v>
      </c>
      <c r="G78">
        <v>0</v>
      </c>
      <c r="I78">
        <v>1.01416</v>
      </c>
      <c r="J78">
        <v>1.02369</v>
      </c>
      <c r="K78">
        <v>1.03594</v>
      </c>
      <c r="L78">
        <v>0.99999</v>
      </c>
      <c r="M78">
        <v>0.87244</v>
      </c>
      <c r="N78">
        <v>1.03766</v>
      </c>
      <c r="O78">
        <v>1</v>
      </c>
      <c r="P78">
        <v>0.98336</v>
      </c>
      <c r="Q78">
        <v>1</v>
      </c>
      <c r="R78">
        <v>1</v>
      </c>
      <c r="S78">
        <v>1</v>
      </c>
      <c r="T78">
        <v>1</v>
      </c>
      <c r="U78">
        <v>1</v>
      </c>
      <c r="V78">
        <v>20.204</v>
      </c>
      <c r="W78">
        <v>19.68</v>
      </c>
      <c r="X78">
        <v>100.018</v>
      </c>
      <c r="Y78">
        <v>42.068</v>
      </c>
      <c r="Z78">
        <v>32.97</v>
      </c>
      <c r="AA78">
        <v>214.939</v>
      </c>
      <c r="AB78">
        <v>1.05074</v>
      </c>
      <c r="AC78">
        <v>220</v>
      </c>
      <c r="AD78">
        <v>0</v>
      </c>
      <c r="AG78">
        <v>22</v>
      </c>
      <c r="AH78">
        <v>17</v>
      </c>
      <c r="AI78">
        <v>98</v>
      </c>
      <c r="AJ78">
        <v>43</v>
      </c>
      <c r="AK78">
        <v>40</v>
      </c>
    </row>
    <row r="79" spans="1:37">
      <c r="A79" t="s">
        <v>376</v>
      </c>
      <c r="B79" t="s">
        <v>1751</v>
      </c>
      <c r="C79">
        <v>20</v>
      </c>
      <c r="D79" t="s">
        <v>82</v>
      </c>
      <c r="E79">
        <v>20</v>
      </c>
      <c r="F79">
        <v>0</v>
      </c>
      <c r="G79">
        <v>0</v>
      </c>
      <c r="I79">
        <v>1.01435</v>
      </c>
      <c r="J79">
        <v>1.03366</v>
      </c>
      <c r="K79">
        <v>1.03594</v>
      </c>
      <c r="L79">
        <v>0.99993</v>
      </c>
      <c r="M79">
        <v>0.89471</v>
      </c>
      <c r="N79">
        <v>1.02665</v>
      </c>
      <c r="O79">
        <v>1</v>
      </c>
      <c r="P79">
        <v>0.9843</v>
      </c>
      <c r="Q79">
        <v>1</v>
      </c>
      <c r="R79">
        <v>1</v>
      </c>
      <c r="S79">
        <v>1</v>
      </c>
      <c r="T79">
        <v>1</v>
      </c>
      <c r="U79">
        <v>1</v>
      </c>
      <c r="V79">
        <v>71.32899999999999</v>
      </c>
      <c r="W79">
        <v>36.067</v>
      </c>
      <c r="X79">
        <v>72.794</v>
      </c>
      <c r="Y79">
        <v>16.038</v>
      </c>
      <c r="Z79">
        <v>27.558</v>
      </c>
      <c r="AA79">
        <v>223.785</v>
      </c>
      <c r="AB79">
        <v>0.9393</v>
      </c>
      <c r="AC79">
        <v>225</v>
      </c>
      <c r="AD79">
        <v>0</v>
      </c>
      <c r="AG79">
        <v>63</v>
      </c>
      <c r="AH79">
        <v>43</v>
      </c>
      <c r="AI79">
        <v>59</v>
      </c>
      <c r="AJ79">
        <v>20</v>
      </c>
      <c r="AK79">
        <v>40</v>
      </c>
    </row>
    <row r="80" spans="1:37">
      <c r="A80" t="s">
        <v>598</v>
      </c>
      <c r="B80" t="s">
        <v>1751</v>
      </c>
      <c r="C80">
        <v>19.8</v>
      </c>
      <c r="D80" t="s">
        <v>82</v>
      </c>
      <c r="E80">
        <v>21</v>
      </c>
      <c r="F80">
        <v>0</v>
      </c>
      <c r="G80">
        <v>0</v>
      </c>
      <c r="I80">
        <v>1.01453</v>
      </c>
      <c r="J80">
        <v>1.03695</v>
      </c>
      <c r="K80">
        <v>1.03594</v>
      </c>
      <c r="L80">
        <v>0.99982</v>
      </c>
      <c r="M80">
        <v>0.86893</v>
      </c>
      <c r="N80">
        <v>1.02472</v>
      </c>
      <c r="O80">
        <v>1</v>
      </c>
      <c r="P80">
        <v>0.98164</v>
      </c>
      <c r="Q80">
        <v>1</v>
      </c>
      <c r="R80">
        <v>1</v>
      </c>
      <c r="S80">
        <v>1</v>
      </c>
      <c r="T80">
        <v>1</v>
      </c>
      <c r="U80">
        <v>1</v>
      </c>
      <c r="V80">
        <v>68.07599999999999</v>
      </c>
      <c r="W80">
        <v>36.115</v>
      </c>
      <c r="X80">
        <v>70.79900000000001</v>
      </c>
      <c r="Y80">
        <v>14.666</v>
      </c>
      <c r="Z80">
        <v>27.457</v>
      </c>
      <c r="AA80">
        <v>217.113</v>
      </c>
      <c r="AB80">
        <v>1.01905</v>
      </c>
      <c r="AC80">
        <v>226</v>
      </c>
      <c r="AD80">
        <v>0</v>
      </c>
      <c r="AG80">
        <v>83</v>
      </c>
      <c r="AH80">
        <v>38</v>
      </c>
      <c r="AI80">
        <v>65</v>
      </c>
      <c r="AJ80">
        <v>14</v>
      </c>
      <c r="AK80">
        <v>26</v>
      </c>
    </row>
    <row r="81" spans="1:37">
      <c r="A81" t="s">
        <v>599</v>
      </c>
      <c r="B81" t="s">
        <v>1751</v>
      </c>
      <c r="C81">
        <v>23</v>
      </c>
      <c r="D81" t="s">
        <v>82</v>
      </c>
      <c r="E81">
        <v>22</v>
      </c>
      <c r="F81">
        <v>0</v>
      </c>
      <c r="G81">
        <v>0</v>
      </c>
      <c r="I81">
        <v>1.01472</v>
      </c>
      <c r="J81">
        <v>1.04971</v>
      </c>
      <c r="K81">
        <v>1.03594</v>
      </c>
      <c r="L81">
        <v>0.99966</v>
      </c>
      <c r="M81">
        <v>0.89423</v>
      </c>
      <c r="N81">
        <v>1.03709</v>
      </c>
      <c r="O81">
        <v>1</v>
      </c>
      <c r="P81">
        <v>0.97866</v>
      </c>
      <c r="Q81">
        <v>1</v>
      </c>
      <c r="R81">
        <v>1</v>
      </c>
      <c r="S81">
        <v>1</v>
      </c>
      <c r="T81">
        <v>1</v>
      </c>
      <c r="U81">
        <v>1</v>
      </c>
      <c r="V81">
        <v>68.837</v>
      </c>
      <c r="W81">
        <v>36.491</v>
      </c>
      <c r="X81">
        <v>76.738</v>
      </c>
      <c r="Y81">
        <v>16.269</v>
      </c>
      <c r="Z81">
        <v>29.693</v>
      </c>
      <c r="AA81">
        <v>228.027</v>
      </c>
      <c r="AB81">
        <v>0.90946</v>
      </c>
      <c r="AC81">
        <v>235</v>
      </c>
      <c r="AD81">
        <v>1</v>
      </c>
      <c r="AG81">
        <v>61</v>
      </c>
      <c r="AH81">
        <v>44</v>
      </c>
      <c r="AI81">
        <v>82</v>
      </c>
      <c r="AJ81">
        <v>17</v>
      </c>
      <c r="AK81">
        <v>31</v>
      </c>
    </row>
    <row r="82" spans="1:37">
      <c r="A82" t="s">
        <v>600</v>
      </c>
      <c r="B82" t="s">
        <v>1751</v>
      </c>
      <c r="C82">
        <v>21.5</v>
      </c>
      <c r="D82" t="s">
        <v>82</v>
      </c>
      <c r="E82">
        <v>23</v>
      </c>
      <c r="F82">
        <v>0</v>
      </c>
      <c r="G82">
        <v>0</v>
      </c>
      <c r="I82">
        <v>1.01491</v>
      </c>
      <c r="J82">
        <v>1.04411</v>
      </c>
      <c r="K82">
        <v>1.03594</v>
      </c>
      <c r="L82">
        <v>0.99944</v>
      </c>
      <c r="M82">
        <v>0.93263</v>
      </c>
      <c r="N82">
        <v>1.04201</v>
      </c>
      <c r="O82">
        <v>1</v>
      </c>
      <c r="P82">
        <v>0.97473</v>
      </c>
      <c r="Q82">
        <v>1</v>
      </c>
      <c r="R82">
        <v>1.06861</v>
      </c>
      <c r="S82">
        <v>1</v>
      </c>
      <c r="T82">
        <v>1</v>
      </c>
      <c r="U82">
        <v>1</v>
      </c>
      <c r="V82">
        <v>67.02200000000001</v>
      </c>
      <c r="W82">
        <v>34.415</v>
      </c>
      <c r="X82">
        <v>97.947</v>
      </c>
      <c r="Y82">
        <v>20.721</v>
      </c>
      <c r="Z82">
        <v>31.855</v>
      </c>
      <c r="AA82">
        <v>251.959</v>
      </c>
      <c r="AB82">
        <v>0.97644</v>
      </c>
      <c r="AC82">
        <v>237</v>
      </c>
      <c r="AD82">
        <v>1</v>
      </c>
      <c r="AG82">
        <v>62</v>
      </c>
      <c r="AH82">
        <v>34</v>
      </c>
      <c r="AI82">
        <v>91</v>
      </c>
      <c r="AJ82">
        <v>22</v>
      </c>
      <c r="AK82">
        <v>28</v>
      </c>
    </row>
    <row r="83" spans="1:37">
      <c r="A83" t="s">
        <v>601</v>
      </c>
      <c r="B83" t="s">
        <v>1756</v>
      </c>
      <c r="C83">
        <v>23.2</v>
      </c>
      <c r="D83" t="s">
        <v>82</v>
      </c>
      <c r="E83">
        <v>24</v>
      </c>
      <c r="F83">
        <v>1</v>
      </c>
      <c r="G83">
        <v>0</v>
      </c>
      <c r="I83">
        <v>1.01509</v>
      </c>
      <c r="J83">
        <v>1.04258</v>
      </c>
      <c r="K83">
        <v>1.03594</v>
      </c>
      <c r="L83">
        <v>0.99918</v>
      </c>
      <c r="M83">
        <v>1.09528</v>
      </c>
      <c r="N83">
        <v>1.06336</v>
      </c>
      <c r="O83">
        <v>1</v>
      </c>
      <c r="P83">
        <v>0.96543</v>
      </c>
      <c r="Q83">
        <v>0.85843</v>
      </c>
      <c r="R83">
        <v>1</v>
      </c>
      <c r="S83">
        <v>1</v>
      </c>
      <c r="T83">
        <v>1</v>
      </c>
      <c r="U83">
        <v>1</v>
      </c>
      <c r="V83">
        <v>16.822</v>
      </c>
      <c r="W83">
        <v>12.63</v>
      </c>
      <c r="X83">
        <v>122.665</v>
      </c>
      <c r="Y83">
        <v>30.508</v>
      </c>
      <c r="Z83">
        <v>44.44</v>
      </c>
      <c r="AA83">
        <v>227.065</v>
      </c>
      <c r="AB83">
        <v>1.04501</v>
      </c>
      <c r="AC83">
        <v>278</v>
      </c>
      <c r="AD83">
        <v>0</v>
      </c>
      <c r="AG83">
        <v>11</v>
      </c>
      <c r="AH83">
        <v>13</v>
      </c>
      <c r="AI83">
        <v>161</v>
      </c>
      <c r="AJ83">
        <v>34</v>
      </c>
      <c r="AK83">
        <v>59</v>
      </c>
    </row>
    <row r="84" spans="1:37">
      <c r="A84" t="s">
        <v>602</v>
      </c>
      <c r="B84" t="s">
        <v>1756</v>
      </c>
      <c r="C84">
        <v>24.6</v>
      </c>
      <c r="D84" t="s">
        <v>82</v>
      </c>
      <c r="E84">
        <v>25</v>
      </c>
      <c r="F84">
        <v>2</v>
      </c>
      <c r="G84">
        <v>0</v>
      </c>
      <c r="I84">
        <v>1.01528</v>
      </c>
      <c r="J84">
        <v>1.04918</v>
      </c>
      <c r="K84">
        <v>1.03594</v>
      </c>
      <c r="L84">
        <v>0.99888</v>
      </c>
      <c r="M84">
        <v>1.06214</v>
      </c>
      <c r="N84">
        <v>1.0595</v>
      </c>
      <c r="O84">
        <v>1</v>
      </c>
      <c r="P84">
        <v>0.9608100000000001</v>
      </c>
      <c r="Q84">
        <v>0.98872</v>
      </c>
      <c r="R84">
        <v>1</v>
      </c>
      <c r="S84">
        <v>1</v>
      </c>
      <c r="T84">
        <v>1</v>
      </c>
      <c r="U84">
        <v>1</v>
      </c>
      <c r="V84">
        <v>9.875999999999999</v>
      </c>
      <c r="W84">
        <v>9.433999999999999</v>
      </c>
      <c r="X84">
        <v>121.758</v>
      </c>
      <c r="Y84">
        <v>37.612</v>
      </c>
      <c r="Z84">
        <v>48.65</v>
      </c>
      <c r="AA84">
        <v>227.33</v>
      </c>
      <c r="AB84">
        <v>1.0656</v>
      </c>
      <c r="AC84">
        <v>231</v>
      </c>
      <c r="AD84">
        <v>0</v>
      </c>
      <c r="AG84">
        <v>9</v>
      </c>
      <c r="AH84">
        <v>7</v>
      </c>
      <c r="AI84">
        <v>123</v>
      </c>
      <c r="AJ84">
        <v>34</v>
      </c>
      <c r="AK84">
        <v>58</v>
      </c>
    </row>
    <row r="85" spans="1:37">
      <c r="A85" t="s">
        <v>603</v>
      </c>
      <c r="B85" t="s">
        <v>1756</v>
      </c>
      <c r="C85">
        <v>23</v>
      </c>
      <c r="D85" t="s">
        <v>82</v>
      </c>
      <c r="E85">
        <v>26</v>
      </c>
      <c r="F85">
        <v>3</v>
      </c>
      <c r="G85">
        <v>0</v>
      </c>
      <c r="I85">
        <v>1.01547</v>
      </c>
      <c r="J85">
        <v>1.05106</v>
      </c>
      <c r="K85">
        <v>1.03594</v>
      </c>
      <c r="L85">
        <v>0.99853</v>
      </c>
      <c r="M85">
        <v>1.01906</v>
      </c>
      <c r="N85">
        <v>1.06456</v>
      </c>
      <c r="O85">
        <v>1</v>
      </c>
      <c r="P85">
        <v>0.9577</v>
      </c>
      <c r="Q85">
        <v>0.98314</v>
      </c>
      <c r="R85">
        <v>1</v>
      </c>
      <c r="S85">
        <v>1</v>
      </c>
      <c r="T85">
        <v>1</v>
      </c>
      <c r="U85">
        <v>1</v>
      </c>
      <c r="V85">
        <v>11.568</v>
      </c>
      <c r="W85">
        <v>11.686</v>
      </c>
      <c r="X85">
        <v>119.854</v>
      </c>
      <c r="Y85">
        <v>36.68</v>
      </c>
      <c r="Z85">
        <v>46.602</v>
      </c>
      <c r="AA85">
        <v>226.389</v>
      </c>
      <c r="AB85">
        <v>0.98592</v>
      </c>
      <c r="AC85">
        <v>202</v>
      </c>
      <c r="AD85">
        <v>0</v>
      </c>
      <c r="AG85">
        <v>13</v>
      </c>
      <c r="AH85">
        <v>15</v>
      </c>
      <c r="AI85">
        <v>124</v>
      </c>
      <c r="AJ85">
        <v>27</v>
      </c>
      <c r="AK85">
        <v>23</v>
      </c>
    </row>
    <row r="86" spans="1:37">
      <c r="A86" t="s">
        <v>377</v>
      </c>
      <c r="B86" t="s">
        <v>1756</v>
      </c>
      <c r="C86">
        <v>22.3</v>
      </c>
      <c r="D86" t="s">
        <v>82</v>
      </c>
      <c r="E86">
        <v>27</v>
      </c>
      <c r="F86">
        <v>4</v>
      </c>
      <c r="G86">
        <v>0</v>
      </c>
      <c r="I86">
        <v>1.01565</v>
      </c>
      <c r="J86">
        <v>1.04674</v>
      </c>
      <c r="K86">
        <v>1.03594</v>
      </c>
      <c r="L86">
        <v>0.99815</v>
      </c>
      <c r="M86">
        <v>0.92901</v>
      </c>
      <c r="N86">
        <v>1.05713</v>
      </c>
      <c r="O86">
        <v>1</v>
      </c>
      <c r="P86">
        <v>0.95943</v>
      </c>
      <c r="Q86">
        <v>0.88579</v>
      </c>
      <c r="R86">
        <v>1</v>
      </c>
      <c r="S86">
        <v>1</v>
      </c>
      <c r="T86">
        <v>1</v>
      </c>
      <c r="U86">
        <v>1</v>
      </c>
      <c r="V86">
        <v>19.637</v>
      </c>
      <c r="W86">
        <v>15.266</v>
      </c>
      <c r="X86">
        <v>107.974</v>
      </c>
      <c r="Y86">
        <v>25.535</v>
      </c>
      <c r="Z86">
        <v>43.781</v>
      </c>
      <c r="AA86">
        <v>212.193</v>
      </c>
      <c r="AB86">
        <v>1.0477</v>
      </c>
      <c r="AC86">
        <v>221</v>
      </c>
      <c r="AD86">
        <v>0</v>
      </c>
      <c r="AG86">
        <v>16</v>
      </c>
      <c r="AH86">
        <v>14</v>
      </c>
      <c r="AI86">
        <v>120</v>
      </c>
      <c r="AJ86">
        <v>31</v>
      </c>
      <c r="AK86">
        <v>40</v>
      </c>
    </row>
    <row r="87" spans="1:37">
      <c r="A87" t="s">
        <v>604</v>
      </c>
      <c r="B87" t="s">
        <v>1756</v>
      </c>
      <c r="C87">
        <v>21.2</v>
      </c>
      <c r="D87" t="s">
        <v>82</v>
      </c>
      <c r="E87">
        <v>0</v>
      </c>
      <c r="F87">
        <v>5</v>
      </c>
      <c r="G87">
        <v>0</v>
      </c>
      <c r="I87">
        <v>1.01584</v>
      </c>
      <c r="J87">
        <v>1.05405</v>
      </c>
      <c r="K87">
        <v>1.03594</v>
      </c>
      <c r="L87">
        <v>0.99773</v>
      </c>
      <c r="M87">
        <v>0.91781</v>
      </c>
      <c r="N87">
        <v>1.05283</v>
      </c>
      <c r="O87">
        <v>1</v>
      </c>
      <c r="P87">
        <v>1.08113</v>
      </c>
      <c r="Q87">
        <v>0.93485</v>
      </c>
      <c r="R87">
        <v>1</v>
      </c>
      <c r="S87">
        <v>1</v>
      </c>
      <c r="T87">
        <v>1</v>
      </c>
      <c r="U87">
        <v>1</v>
      </c>
      <c r="V87">
        <v>20.828</v>
      </c>
      <c r="W87">
        <v>16.954</v>
      </c>
      <c r="X87">
        <v>126.556</v>
      </c>
      <c r="Y87">
        <v>29.206</v>
      </c>
      <c r="Z87">
        <v>51.07</v>
      </c>
      <c r="AA87">
        <v>244.614</v>
      </c>
      <c r="AB87">
        <v>1.15615</v>
      </c>
      <c r="AC87">
        <v>277</v>
      </c>
      <c r="AD87">
        <v>0</v>
      </c>
      <c r="AG87">
        <v>18</v>
      </c>
      <c r="AH87">
        <v>21</v>
      </c>
      <c r="AI87">
        <v>151</v>
      </c>
      <c r="AJ87">
        <v>30</v>
      </c>
      <c r="AK87">
        <v>57</v>
      </c>
    </row>
    <row r="88" spans="1:37">
      <c r="A88" t="s">
        <v>605</v>
      </c>
      <c r="B88" t="s">
        <v>1756</v>
      </c>
      <c r="C88">
        <v>22.1</v>
      </c>
      <c r="D88" t="s">
        <v>82</v>
      </c>
      <c r="E88">
        <v>1</v>
      </c>
      <c r="F88">
        <v>6</v>
      </c>
      <c r="G88">
        <v>0</v>
      </c>
      <c r="I88">
        <v>1.01603</v>
      </c>
      <c r="J88">
        <v>1.04097</v>
      </c>
      <c r="K88">
        <v>1.03594</v>
      </c>
      <c r="L88">
        <v>0.99729</v>
      </c>
      <c r="M88">
        <v>0.93526</v>
      </c>
      <c r="N88">
        <v>1.05756</v>
      </c>
      <c r="O88">
        <v>1</v>
      </c>
      <c r="P88">
        <v>1.05451</v>
      </c>
      <c r="Q88">
        <v>0.9660300000000001</v>
      </c>
      <c r="R88">
        <v>1</v>
      </c>
      <c r="S88">
        <v>1</v>
      </c>
      <c r="T88">
        <v>1</v>
      </c>
      <c r="U88">
        <v>1</v>
      </c>
      <c r="V88">
        <v>21.016</v>
      </c>
      <c r="W88">
        <v>17.012</v>
      </c>
      <c r="X88">
        <v>128.636</v>
      </c>
      <c r="Y88">
        <v>29.985</v>
      </c>
      <c r="Z88">
        <v>51.703</v>
      </c>
      <c r="AA88">
        <v>248.351</v>
      </c>
      <c r="AB88">
        <v>0.9843</v>
      </c>
      <c r="AC88">
        <v>248</v>
      </c>
      <c r="AD88">
        <v>0</v>
      </c>
      <c r="AG88">
        <v>25</v>
      </c>
      <c r="AH88">
        <v>14</v>
      </c>
      <c r="AI88">
        <v>115</v>
      </c>
      <c r="AJ88">
        <v>32</v>
      </c>
      <c r="AK88">
        <v>62</v>
      </c>
    </row>
    <row r="89" spans="1:37">
      <c r="A89" t="s">
        <v>606</v>
      </c>
      <c r="B89" t="s">
        <v>1756</v>
      </c>
      <c r="C89">
        <v>22.2</v>
      </c>
      <c r="D89" t="s">
        <v>82</v>
      </c>
      <c r="E89">
        <v>2</v>
      </c>
      <c r="F89">
        <v>7</v>
      </c>
      <c r="G89">
        <v>0</v>
      </c>
      <c r="I89">
        <v>1.01621</v>
      </c>
      <c r="J89">
        <v>1.04506</v>
      </c>
      <c r="K89">
        <v>1.03594</v>
      </c>
      <c r="L89">
        <v>0.99682</v>
      </c>
      <c r="M89">
        <v>0.96675</v>
      </c>
      <c r="N89">
        <v>1.05895</v>
      </c>
      <c r="O89">
        <v>1</v>
      </c>
      <c r="P89">
        <v>1.03671</v>
      </c>
      <c r="Q89">
        <v>0.97618</v>
      </c>
      <c r="R89">
        <v>1</v>
      </c>
      <c r="S89">
        <v>1</v>
      </c>
      <c r="T89">
        <v>1</v>
      </c>
      <c r="U89">
        <v>1</v>
      </c>
      <c r="V89">
        <v>20.8</v>
      </c>
      <c r="W89">
        <v>16.566</v>
      </c>
      <c r="X89">
        <v>132.434</v>
      </c>
      <c r="Y89">
        <v>31.406</v>
      </c>
      <c r="Z89">
        <v>52.084</v>
      </c>
      <c r="AA89">
        <v>253.289</v>
      </c>
      <c r="AB89">
        <v>1.02047</v>
      </c>
      <c r="AC89">
        <v>289</v>
      </c>
      <c r="AD89">
        <v>0</v>
      </c>
      <c r="AG89">
        <v>22</v>
      </c>
      <c r="AH89">
        <v>15</v>
      </c>
      <c r="AI89">
        <v>161</v>
      </c>
      <c r="AJ89">
        <v>34</v>
      </c>
      <c r="AK89">
        <v>57</v>
      </c>
    </row>
    <row r="90" spans="1:37">
      <c r="A90" t="s">
        <v>607</v>
      </c>
      <c r="B90" t="s">
        <v>1756</v>
      </c>
      <c r="C90">
        <v>24.6</v>
      </c>
      <c r="D90" t="s">
        <v>82</v>
      </c>
      <c r="E90">
        <v>3</v>
      </c>
      <c r="F90">
        <v>8</v>
      </c>
      <c r="G90">
        <v>0</v>
      </c>
      <c r="I90">
        <v>1.0164</v>
      </c>
      <c r="J90">
        <v>1.04234</v>
      </c>
      <c r="K90">
        <v>1.03594</v>
      </c>
      <c r="L90">
        <v>0.99633</v>
      </c>
      <c r="M90">
        <v>1.0955</v>
      </c>
      <c r="N90">
        <v>1.05728</v>
      </c>
      <c r="O90">
        <v>1</v>
      </c>
      <c r="P90">
        <v>1.02498</v>
      </c>
      <c r="Q90">
        <v>1.01895</v>
      </c>
      <c r="R90">
        <v>1</v>
      </c>
      <c r="S90">
        <v>1</v>
      </c>
      <c r="T90">
        <v>1</v>
      </c>
      <c r="U90">
        <v>1</v>
      </c>
      <c r="V90">
        <v>20.142</v>
      </c>
      <c r="W90">
        <v>15.32</v>
      </c>
      <c r="X90">
        <v>151.309</v>
      </c>
      <c r="Y90">
        <v>37.796</v>
      </c>
      <c r="Z90">
        <v>56.827</v>
      </c>
      <c r="AA90">
        <v>281.394</v>
      </c>
      <c r="AB90">
        <v>0.91916</v>
      </c>
      <c r="AC90">
        <v>241</v>
      </c>
      <c r="AD90">
        <v>0</v>
      </c>
      <c r="AG90">
        <v>19</v>
      </c>
      <c r="AH90">
        <v>10</v>
      </c>
      <c r="AI90">
        <v>141</v>
      </c>
      <c r="AJ90">
        <v>34</v>
      </c>
      <c r="AK90">
        <v>37</v>
      </c>
    </row>
    <row r="91" spans="1:37">
      <c r="A91" t="s">
        <v>608</v>
      </c>
      <c r="B91" t="s">
        <v>1756</v>
      </c>
      <c r="C91">
        <v>24.7</v>
      </c>
      <c r="D91" t="s">
        <v>82</v>
      </c>
      <c r="E91">
        <v>4</v>
      </c>
      <c r="F91">
        <v>9</v>
      </c>
      <c r="G91">
        <v>0</v>
      </c>
      <c r="I91">
        <v>1.01659</v>
      </c>
      <c r="J91">
        <v>1.04394</v>
      </c>
      <c r="K91">
        <v>1.03594</v>
      </c>
      <c r="L91">
        <v>0.99582</v>
      </c>
      <c r="M91">
        <v>1.06469</v>
      </c>
      <c r="N91">
        <v>1.05895</v>
      </c>
      <c r="O91">
        <v>1</v>
      </c>
      <c r="P91">
        <v>1.01726</v>
      </c>
      <c r="Q91">
        <v>1.13114</v>
      </c>
      <c r="R91">
        <v>1</v>
      </c>
      <c r="S91">
        <v>1</v>
      </c>
      <c r="T91">
        <v>1</v>
      </c>
      <c r="U91">
        <v>1</v>
      </c>
      <c r="V91">
        <v>11.348</v>
      </c>
      <c r="W91">
        <v>10.971</v>
      </c>
      <c r="X91">
        <v>145.719</v>
      </c>
      <c r="Y91">
        <v>45.033</v>
      </c>
      <c r="Z91">
        <v>58.397</v>
      </c>
      <c r="AA91">
        <v>271.468</v>
      </c>
      <c r="AB91">
        <v>1.02455</v>
      </c>
      <c r="AC91">
        <v>279</v>
      </c>
      <c r="AD91">
        <v>0</v>
      </c>
      <c r="AG91">
        <v>9</v>
      </c>
      <c r="AH91">
        <v>11</v>
      </c>
      <c r="AI91">
        <v>157</v>
      </c>
      <c r="AJ91">
        <v>48</v>
      </c>
      <c r="AK91">
        <v>54</v>
      </c>
    </row>
    <row r="92" spans="1:37">
      <c r="A92" t="s">
        <v>609</v>
      </c>
      <c r="B92" t="s">
        <v>1756</v>
      </c>
      <c r="C92">
        <v>25.6</v>
      </c>
      <c r="D92" t="s">
        <v>82</v>
      </c>
      <c r="E92">
        <v>5</v>
      </c>
      <c r="F92">
        <v>10</v>
      </c>
      <c r="G92">
        <v>0</v>
      </c>
      <c r="I92">
        <v>1.01677</v>
      </c>
      <c r="J92">
        <v>1.06792</v>
      </c>
      <c r="K92">
        <v>0.98691</v>
      </c>
      <c r="L92">
        <v>0.99531</v>
      </c>
      <c r="M92">
        <v>1.01972</v>
      </c>
      <c r="N92">
        <v>1.04965</v>
      </c>
      <c r="O92">
        <v>1</v>
      </c>
      <c r="P92">
        <v>1.01144</v>
      </c>
      <c r="Q92">
        <v>1.08605</v>
      </c>
      <c r="R92">
        <v>1</v>
      </c>
      <c r="S92">
        <v>1</v>
      </c>
      <c r="T92">
        <v>1</v>
      </c>
      <c r="U92">
        <v>1</v>
      </c>
      <c r="V92">
        <v>12.494</v>
      </c>
      <c r="W92">
        <v>12.768</v>
      </c>
      <c r="X92">
        <v>130.271</v>
      </c>
      <c r="Y92">
        <v>40.252</v>
      </c>
      <c r="Z92">
        <v>54.428</v>
      </c>
      <c r="AA92">
        <v>250.213</v>
      </c>
      <c r="AB92">
        <v>1.06012</v>
      </c>
      <c r="AC92">
        <v>248</v>
      </c>
      <c r="AD92">
        <v>0</v>
      </c>
      <c r="AG92">
        <v>18</v>
      </c>
      <c r="AH92">
        <v>11</v>
      </c>
      <c r="AI92">
        <v>125</v>
      </c>
      <c r="AJ92">
        <v>36</v>
      </c>
      <c r="AK92">
        <v>58</v>
      </c>
    </row>
    <row r="93" spans="1:37">
      <c r="A93" t="s">
        <v>378</v>
      </c>
      <c r="B93" t="s">
        <v>1756</v>
      </c>
      <c r="C93">
        <v>25.1</v>
      </c>
      <c r="D93" t="s">
        <v>82</v>
      </c>
      <c r="E93">
        <v>6</v>
      </c>
      <c r="F93">
        <v>11</v>
      </c>
      <c r="G93">
        <v>0</v>
      </c>
      <c r="I93">
        <v>1.01696</v>
      </c>
      <c r="J93">
        <v>1.06315</v>
      </c>
      <c r="K93">
        <v>0.98691</v>
      </c>
      <c r="L93">
        <v>0.99479</v>
      </c>
      <c r="M93">
        <v>0.92924</v>
      </c>
      <c r="N93">
        <v>1.04896</v>
      </c>
      <c r="O93">
        <v>1</v>
      </c>
      <c r="P93">
        <v>1.00736</v>
      </c>
      <c r="Q93">
        <v>0.94972</v>
      </c>
      <c r="R93">
        <v>1</v>
      </c>
      <c r="S93">
        <v>1</v>
      </c>
      <c r="T93">
        <v>1</v>
      </c>
      <c r="U93">
        <v>1</v>
      </c>
      <c r="V93">
        <v>20.498</v>
      </c>
      <c r="W93">
        <v>16.108</v>
      </c>
      <c r="X93">
        <v>113.846</v>
      </c>
      <c r="Y93">
        <v>27.133</v>
      </c>
      <c r="Z93">
        <v>49.44</v>
      </c>
      <c r="AA93">
        <v>227.024</v>
      </c>
      <c r="AB93">
        <v>1.01587</v>
      </c>
      <c r="AC93">
        <v>238</v>
      </c>
      <c r="AD93">
        <v>0</v>
      </c>
      <c r="AG93">
        <v>27</v>
      </c>
      <c r="AH93">
        <v>17</v>
      </c>
      <c r="AI93">
        <v>110</v>
      </c>
      <c r="AJ93">
        <v>33</v>
      </c>
      <c r="AK93">
        <v>51</v>
      </c>
    </row>
    <row r="94" spans="1:37">
      <c r="A94" t="s">
        <v>610</v>
      </c>
      <c r="B94" t="s">
        <v>1756</v>
      </c>
      <c r="C94">
        <v>23.8</v>
      </c>
      <c r="D94" t="s">
        <v>82</v>
      </c>
      <c r="E94">
        <v>7</v>
      </c>
      <c r="F94">
        <v>12</v>
      </c>
      <c r="G94">
        <v>0</v>
      </c>
      <c r="I94">
        <v>1.01715</v>
      </c>
      <c r="J94">
        <v>1.05495</v>
      </c>
      <c r="K94">
        <v>0.98691</v>
      </c>
      <c r="L94">
        <v>0.9942800000000001</v>
      </c>
      <c r="M94">
        <v>0.91882</v>
      </c>
      <c r="N94">
        <v>1.05596</v>
      </c>
      <c r="O94">
        <v>1</v>
      </c>
      <c r="P94">
        <v>1.00494</v>
      </c>
      <c r="Q94">
        <v>0.95216</v>
      </c>
      <c r="R94">
        <v>1</v>
      </c>
      <c r="S94">
        <v>1</v>
      </c>
      <c r="T94">
        <v>1</v>
      </c>
      <c r="U94">
        <v>1</v>
      </c>
      <c r="V94">
        <v>19.924</v>
      </c>
      <c r="W94">
        <v>15.957</v>
      </c>
      <c r="X94">
        <v>113.605</v>
      </c>
      <c r="Y94">
        <v>26.274</v>
      </c>
      <c r="Z94">
        <v>48.009</v>
      </c>
      <c r="AA94">
        <v>223.77</v>
      </c>
      <c r="AB94">
        <v>0.96349</v>
      </c>
      <c r="AC94">
        <v>223</v>
      </c>
      <c r="AD94">
        <v>0</v>
      </c>
      <c r="AG94">
        <v>24</v>
      </c>
      <c r="AH94">
        <v>27</v>
      </c>
      <c r="AI94">
        <v>97</v>
      </c>
      <c r="AJ94">
        <v>29</v>
      </c>
      <c r="AK94">
        <v>46</v>
      </c>
    </row>
    <row r="95" spans="1:37">
      <c r="A95" t="s">
        <v>611</v>
      </c>
      <c r="B95" t="s">
        <v>1756</v>
      </c>
      <c r="C95">
        <v>25</v>
      </c>
      <c r="D95" t="s">
        <v>82</v>
      </c>
      <c r="E95">
        <v>8</v>
      </c>
      <c r="F95">
        <v>13</v>
      </c>
      <c r="G95">
        <v>0</v>
      </c>
      <c r="I95">
        <v>1.01733</v>
      </c>
      <c r="J95">
        <v>1.04858</v>
      </c>
      <c r="K95">
        <v>0.98691</v>
      </c>
      <c r="L95">
        <v>0.99377</v>
      </c>
      <c r="M95">
        <v>0.93614</v>
      </c>
      <c r="N95">
        <v>1.04992</v>
      </c>
      <c r="O95">
        <v>1</v>
      </c>
      <c r="P95">
        <v>1.00331</v>
      </c>
      <c r="Q95">
        <v>0.95567</v>
      </c>
      <c r="R95">
        <v>1</v>
      </c>
      <c r="S95">
        <v>1</v>
      </c>
      <c r="T95">
        <v>1</v>
      </c>
      <c r="U95">
        <v>1</v>
      </c>
      <c r="V95">
        <v>19.787</v>
      </c>
      <c r="W95">
        <v>15.841</v>
      </c>
      <c r="X95">
        <v>113.525</v>
      </c>
      <c r="Y95">
        <v>26.657</v>
      </c>
      <c r="Z95">
        <v>48.872</v>
      </c>
      <c r="AA95">
        <v>224.682</v>
      </c>
      <c r="AB95">
        <v>1.00019</v>
      </c>
      <c r="AC95">
        <v>226</v>
      </c>
      <c r="AD95">
        <v>0</v>
      </c>
      <c r="AG95">
        <v>21</v>
      </c>
      <c r="AH95">
        <v>15</v>
      </c>
      <c r="AI95">
        <v>126</v>
      </c>
      <c r="AJ95">
        <v>21</v>
      </c>
      <c r="AK95">
        <v>43</v>
      </c>
    </row>
    <row r="96" spans="1:37">
      <c r="A96" t="s">
        <v>612</v>
      </c>
      <c r="B96" t="s">
        <v>1756</v>
      </c>
      <c r="C96">
        <v>25.8</v>
      </c>
      <c r="D96" t="s">
        <v>82</v>
      </c>
      <c r="E96">
        <v>9</v>
      </c>
      <c r="F96">
        <v>14</v>
      </c>
      <c r="G96">
        <v>0</v>
      </c>
      <c r="I96">
        <v>1.01752</v>
      </c>
      <c r="J96">
        <v>1.04265</v>
      </c>
      <c r="K96">
        <v>0.98691</v>
      </c>
      <c r="L96">
        <v>0.9932800000000001</v>
      </c>
      <c r="M96">
        <v>0.96718</v>
      </c>
      <c r="N96">
        <v>1.04396</v>
      </c>
      <c r="O96">
        <v>1</v>
      </c>
      <c r="P96">
        <v>1.00223</v>
      </c>
      <c r="Q96">
        <v>0.96693</v>
      </c>
      <c r="R96">
        <v>1</v>
      </c>
      <c r="S96">
        <v>1</v>
      </c>
      <c r="T96">
        <v>1</v>
      </c>
      <c r="U96">
        <v>1</v>
      </c>
      <c r="V96">
        <v>19.503</v>
      </c>
      <c r="W96">
        <v>15.417</v>
      </c>
      <c r="X96">
        <v>116.081</v>
      </c>
      <c r="Y96">
        <v>27.846</v>
      </c>
      <c r="Z96">
        <v>50.123</v>
      </c>
      <c r="AA96">
        <v>228.97</v>
      </c>
      <c r="AB96">
        <v>0.90308</v>
      </c>
      <c r="AC96">
        <v>228</v>
      </c>
      <c r="AD96">
        <v>0</v>
      </c>
      <c r="AG96">
        <v>19</v>
      </c>
      <c r="AH96">
        <v>20</v>
      </c>
      <c r="AI96">
        <v>108</v>
      </c>
      <c r="AJ96">
        <v>27</v>
      </c>
      <c r="AK96">
        <v>54</v>
      </c>
    </row>
    <row r="97" spans="1:37">
      <c r="A97" t="s">
        <v>613</v>
      </c>
      <c r="B97" t="s">
        <v>1756</v>
      </c>
      <c r="C97">
        <v>26.1</v>
      </c>
      <c r="D97" t="s">
        <v>82</v>
      </c>
      <c r="E97">
        <v>10</v>
      </c>
      <c r="F97">
        <v>15</v>
      </c>
      <c r="G97">
        <v>0</v>
      </c>
      <c r="I97">
        <v>1.01771</v>
      </c>
      <c r="J97">
        <v>1.04407</v>
      </c>
      <c r="K97">
        <v>0.98691</v>
      </c>
      <c r="L97">
        <v>0.99281</v>
      </c>
      <c r="M97">
        <v>1.09414</v>
      </c>
      <c r="N97">
        <v>1.04338</v>
      </c>
      <c r="O97">
        <v>1</v>
      </c>
      <c r="P97">
        <v>1.00152</v>
      </c>
      <c r="Q97">
        <v>1.01188</v>
      </c>
      <c r="R97">
        <v>1</v>
      </c>
      <c r="S97">
        <v>1</v>
      </c>
      <c r="T97">
        <v>1</v>
      </c>
      <c r="U97">
        <v>1</v>
      </c>
      <c r="V97">
        <v>19.032</v>
      </c>
      <c r="W97">
        <v>14.403</v>
      </c>
      <c r="X97">
        <v>136.643</v>
      </c>
      <c r="Y97">
        <v>34.399</v>
      </c>
      <c r="Z97">
        <v>53.894</v>
      </c>
      <c r="AA97">
        <v>258.371</v>
      </c>
      <c r="AB97">
        <v>0.9767400000000001</v>
      </c>
      <c r="AC97">
        <v>247</v>
      </c>
      <c r="AD97">
        <v>0</v>
      </c>
      <c r="AG97">
        <v>16</v>
      </c>
      <c r="AH97">
        <v>13</v>
      </c>
      <c r="AI97">
        <v>142</v>
      </c>
      <c r="AJ97">
        <v>29</v>
      </c>
      <c r="AK97">
        <v>47</v>
      </c>
    </row>
    <row r="98" spans="1:37">
      <c r="A98" t="s">
        <v>614</v>
      </c>
      <c r="B98" t="s">
        <v>1756</v>
      </c>
      <c r="C98">
        <v>27.6</v>
      </c>
      <c r="D98" t="s">
        <v>82</v>
      </c>
      <c r="E98">
        <v>11</v>
      </c>
      <c r="F98">
        <v>16</v>
      </c>
      <c r="G98">
        <v>0</v>
      </c>
      <c r="I98">
        <v>1.01789</v>
      </c>
      <c r="J98">
        <v>1.02871</v>
      </c>
      <c r="K98">
        <v>0.98691</v>
      </c>
      <c r="L98">
        <v>0.99236</v>
      </c>
      <c r="M98">
        <v>1.06085</v>
      </c>
      <c r="N98">
        <v>1.0266</v>
      </c>
      <c r="O98">
        <v>1</v>
      </c>
      <c r="P98">
        <v>1.00105</v>
      </c>
      <c r="Q98">
        <v>1.12378</v>
      </c>
      <c r="R98">
        <v>1</v>
      </c>
      <c r="S98">
        <v>1</v>
      </c>
      <c r="T98">
        <v>1</v>
      </c>
      <c r="U98">
        <v>1</v>
      </c>
      <c r="V98">
        <v>10.576</v>
      </c>
      <c r="W98">
        <v>10.19</v>
      </c>
      <c r="X98">
        <v>126.151</v>
      </c>
      <c r="Y98">
        <v>39.675</v>
      </c>
      <c r="Z98">
        <v>56.008</v>
      </c>
      <c r="AA98">
        <v>242.6</v>
      </c>
      <c r="AB98">
        <v>0.93508</v>
      </c>
      <c r="AC98">
        <v>204</v>
      </c>
      <c r="AD98">
        <v>0</v>
      </c>
      <c r="AG98">
        <v>10</v>
      </c>
      <c r="AH98">
        <v>9</v>
      </c>
      <c r="AI98">
        <v>101</v>
      </c>
      <c r="AJ98">
        <v>36</v>
      </c>
      <c r="AK98">
        <v>48</v>
      </c>
    </row>
    <row r="99" spans="1:37">
      <c r="A99" t="s">
        <v>615</v>
      </c>
      <c r="B99" t="s">
        <v>1756</v>
      </c>
      <c r="C99">
        <v>27.3</v>
      </c>
      <c r="D99" t="s">
        <v>82</v>
      </c>
      <c r="E99">
        <v>12</v>
      </c>
      <c r="F99">
        <v>17</v>
      </c>
      <c r="G99">
        <v>0</v>
      </c>
      <c r="I99">
        <v>1.01808</v>
      </c>
      <c r="J99">
        <v>1.01713</v>
      </c>
      <c r="K99">
        <v>0.98691</v>
      </c>
      <c r="L99">
        <v>0.99193</v>
      </c>
      <c r="M99">
        <v>1.01803</v>
      </c>
      <c r="N99">
        <v>1.02991</v>
      </c>
      <c r="O99">
        <v>1</v>
      </c>
      <c r="P99">
        <v>1.00069</v>
      </c>
      <c r="Q99">
        <v>1.0807</v>
      </c>
      <c r="R99">
        <v>1</v>
      </c>
      <c r="S99">
        <v>1</v>
      </c>
      <c r="T99">
        <v>1</v>
      </c>
      <c r="U99">
        <v>1</v>
      </c>
      <c r="V99">
        <v>11.834</v>
      </c>
      <c r="W99">
        <v>12.066</v>
      </c>
      <c r="X99">
        <v>117.8</v>
      </c>
      <c r="Y99">
        <v>36.798</v>
      </c>
      <c r="Z99">
        <v>52.369</v>
      </c>
      <c r="AA99">
        <v>230.868</v>
      </c>
      <c r="AB99">
        <v>0.9772999999999999</v>
      </c>
      <c r="AC99">
        <v>241</v>
      </c>
      <c r="AD99">
        <v>0</v>
      </c>
      <c r="AG99">
        <v>12</v>
      </c>
      <c r="AH99">
        <v>22</v>
      </c>
      <c r="AI99">
        <v>109</v>
      </c>
      <c r="AJ99">
        <v>44</v>
      </c>
      <c r="AK99">
        <v>54</v>
      </c>
    </row>
    <row r="100" spans="1:37">
      <c r="A100" t="s">
        <v>379</v>
      </c>
      <c r="B100" t="s">
        <v>1756</v>
      </c>
      <c r="C100">
        <v>28</v>
      </c>
      <c r="D100" t="s">
        <v>82</v>
      </c>
      <c r="E100">
        <v>13</v>
      </c>
      <c r="F100">
        <v>18</v>
      </c>
      <c r="G100">
        <v>0</v>
      </c>
      <c r="I100">
        <v>1.01827</v>
      </c>
      <c r="J100">
        <v>1.02398</v>
      </c>
      <c r="K100">
        <v>0.98691</v>
      </c>
      <c r="L100">
        <v>0.99154</v>
      </c>
      <c r="M100">
        <v>0.93048</v>
      </c>
      <c r="N100">
        <v>1.01918</v>
      </c>
      <c r="O100">
        <v>1</v>
      </c>
      <c r="P100">
        <v>1.00045</v>
      </c>
      <c r="Q100">
        <v>0.94059</v>
      </c>
      <c r="R100">
        <v>1</v>
      </c>
      <c r="S100">
        <v>1</v>
      </c>
      <c r="T100">
        <v>1</v>
      </c>
      <c r="U100">
        <v>1</v>
      </c>
      <c r="V100">
        <v>19.658</v>
      </c>
      <c r="W100">
        <v>15.424</v>
      </c>
      <c r="X100">
        <v>101.703</v>
      </c>
      <c r="Y100">
        <v>24.696</v>
      </c>
      <c r="Z100">
        <v>49.101</v>
      </c>
      <c r="AA100">
        <v>210.583</v>
      </c>
      <c r="AB100">
        <v>0.95495</v>
      </c>
      <c r="AC100">
        <v>212</v>
      </c>
      <c r="AD100">
        <v>0</v>
      </c>
      <c r="AG100">
        <v>23</v>
      </c>
      <c r="AH100">
        <v>11</v>
      </c>
      <c r="AI100">
        <v>109</v>
      </c>
      <c r="AJ100">
        <v>24</v>
      </c>
      <c r="AK100">
        <v>45</v>
      </c>
    </row>
    <row r="101" spans="1:37">
      <c r="A101" t="s">
        <v>616</v>
      </c>
      <c r="B101" t="s">
        <v>1756</v>
      </c>
      <c r="C101">
        <v>27.2</v>
      </c>
      <c r="D101" t="s">
        <v>82</v>
      </c>
      <c r="E101">
        <v>14</v>
      </c>
      <c r="F101">
        <v>19</v>
      </c>
      <c r="G101">
        <v>0</v>
      </c>
      <c r="I101">
        <v>1.01845</v>
      </c>
      <c r="J101">
        <v>1.03382</v>
      </c>
      <c r="K101">
        <v>0.98691</v>
      </c>
      <c r="L101">
        <v>0.99119</v>
      </c>
      <c r="M101">
        <v>0.9202399999999999</v>
      </c>
      <c r="N101">
        <v>1.02841</v>
      </c>
      <c r="O101">
        <v>1</v>
      </c>
      <c r="P101">
        <v>1.0003</v>
      </c>
      <c r="Q101">
        <v>0.94429</v>
      </c>
      <c r="R101">
        <v>1</v>
      </c>
      <c r="S101">
        <v>1</v>
      </c>
      <c r="T101">
        <v>1</v>
      </c>
      <c r="U101">
        <v>1</v>
      </c>
      <c r="V101">
        <v>19.459</v>
      </c>
      <c r="W101">
        <v>15.568</v>
      </c>
      <c r="X101">
        <v>103.73</v>
      </c>
      <c r="Y101">
        <v>24.424</v>
      </c>
      <c r="Z101">
        <v>49.016</v>
      </c>
      <c r="AA101">
        <v>212.198</v>
      </c>
      <c r="AB101">
        <v>0.9866</v>
      </c>
      <c r="AC101">
        <v>216</v>
      </c>
      <c r="AD101">
        <v>0</v>
      </c>
      <c r="AG101">
        <v>13</v>
      </c>
      <c r="AH101">
        <v>26</v>
      </c>
      <c r="AI101">
        <v>104</v>
      </c>
      <c r="AJ101">
        <v>24</v>
      </c>
      <c r="AK101">
        <v>49</v>
      </c>
    </row>
    <row r="102" spans="1:37">
      <c r="A102" t="s">
        <v>617</v>
      </c>
      <c r="B102" t="s">
        <v>1756</v>
      </c>
      <c r="C102">
        <v>26.3</v>
      </c>
      <c r="D102" t="s">
        <v>82</v>
      </c>
      <c r="E102">
        <v>15</v>
      </c>
      <c r="F102">
        <v>20</v>
      </c>
      <c r="G102">
        <v>0</v>
      </c>
      <c r="I102">
        <v>1.01864</v>
      </c>
      <c r="J102">
        <v>1.03611</v>
      </c>
      <c r="K102">
        <v>0.98691</v>
      </c>
      <c r="L102">
        <v>0.99088</v>
      </c>
      <c r="M102">
        <v>0.9366</v>
      </c>
      <c r="N102">
        <v>1.03835</v>
      </c>
      <c r="O102">
        <v>1</v>
      </c>
      <c r="P102">
        <v>0.99682</v>
      </c>
      <c r="Q102">
        <v>0.88493</v>
      </c>
      <c r="R102">
        <v>1</v>
      </c>
      <c r="S102">
        <v>1</v>
      </c>
      <c r="T102">
        <v>1</v>
      </c>
      <c r="U102">
        <v>1</v>
      </c>
      <c r="V102">
        <v>18.114</v>
      </c>
      <c r="W102">
        <v>14.481</v>
      </c>
      <c r="X102">
        <v>100.778</v>
      </c>
      <c r="Y102">
        <v>23.836</v>
      </c>
      <c r="Z102">
        <v>45.337</v>
      </c>
      <c r="AA102">
        <v>202.546</v>
      </c>
      <c r="AB102">
        <v>0.96322</v>
      </c>
      <c r="AC102">
        <v>194</v>
      </c>
      <c r="AD102">
        <v>0</v>
      </c>
      <c r="AG102">
        <v>18</v>
      </c>
      <c r="AH102">
        <v>18</v>
      </c>
      <c r="AI102">
        <v>88</v>
      </c>
      <c r="AJ102">
        <v>25</v>
      </c>
      <c r="AK102">
        <v>45</v>
      </c>
    </row>
    <row r="103" spans="1:37">
      <c r="A103" t="s">
        <v>618</v>
      </c>
      <c r="B103" t="s">
        <v>1756</v>
      </c>
      <c r="C103">
        <v>27.1</v>
      </c>
      <c r="D103" t="s">
        <v>82</v>
      </c>
      <c r="E103">
        <v>16</v>
      </c>
      <c r="F103">
        <v>21</v>
      </c>
      <c r="G103">
        <v>0</v>
      </c>
      <c r="I103">
        <v>1.01883</v>
      </c>
      <c r="J103">
        <v>1.04023</v>
      </c>
      <c r="K103">
        <v>0.98691</v>
      </c>
      <c r="L103">
        <v>0.99061</v>
      </c>
      <c r="M103">
        <v>0.96739</v>
      </c>
      <c r="N103">
        <v>1.03009</v>
      </c>
      <c r="O103">
        <v>1</v>
      </c>
      <c r="P103">
        <v>0.99335</v>
      </c>
      <c r="Q103">
        <v>0.8944299999999999</v>
      </c>
      <c r="R103">
        <v>1</v>
      </c>
      <c r="S103">
        <v>1</v>
      </c>
      <c r="T103">
        <v>1</v>
      </c>
      <c r="U103">
        <v>1</v>
      </c>
      <c r="V103">
        <v>18.017</v>
      </c>
      <c r="W103">
        <v>14.215</v>
      </c>
      <c r="X103">
        <v>103.408</v>
      </c>
      <c r="Y103">
        <v>25.015</v>
      </c>
      <c r="Z103">
        <v>46.825</v>
      </c>
      <c r="AA103">
        <v>207.48</v>
      </c>
      <c r="AB103">
        <v>0.9374400000000001</v>
      </c>
      <c r="AC103">
        <v>196</v>
      </c>
      <c r="AD103">
        <v>0</v>
      </c>
      <c r="AG103">
        <v>23</v>
      </c>
      <c r="AH103">
        <v>15</v>
      </c>
      <c r="AI103">
        <v>88</v>
      </c>
      <c r="AJ103">
        <v>29</v>
      </c>
      <c r="AK103">
        <v>41</v>
      </c>
    </row>
    <row r="104" spans="1:37">
      <c r="A104" t="s">
        <v>619</v>
      </c>
      <c r="B104" t="s">
        <v>1756</v>
      </c>
      <c r="C104">
        <v>27.2</v>
      </c>
      <c r="D104" t="s">
        <v>1475</v>
      </c>
      <c r="E104">
        <v>17</v>
      </c>
      <c r="F104">
        <v>22</v>
      </c>
      <c r="G104">
        <v>0</v>
      </c>
      <c r="I104">
        <v>1.01901</v>
      </c>
      <c r="J104">
        <v>1.05498</v>
      </c>
      <c r="K104">
        <v>0.98691</v>
      </c>
      <c r="L104">
        <v>0.99038</v>
      </c>
      <c r="M104">
        <v>1.10156</v>
      </c>
      <c r="N104">
        <v>1.03178</v>
      </c>
      <c r="O104">
        <v>1.00025</v>
      </c>
      <c r="P104">
        <v>0.98953</v>
      </c>
      <c r="Q104">
        <v>0.99594</v>
      </c>
      <c r="R104">
        <v>1</v>
      </c>
      <c r="S104">
        <v>1</v>
      </c>
      <c r="T104">
        <v>1</v>
      </c>
      <c r="U104">
        <v>1</v>
      </c>
      <c r="V104">
        <v>16.55</v>
      </c>
      <c r="W104">
        <v>6.045</v>
      </c>
      <c r="X104">
        <v>128.354</v>
      </c>
      <c r="Y104">
        <v>35.052</v>
      </c>
      <c r="Z104">
        <v>50.708</v>
      </c>
      <c r="AA104">
        <v>236.709</v>
      </c>
      <c r="AB104">
        <v>1.06313</v>
      </c>
      <c r="AC104">
        <v>277</v>
      </c>
      <c r="AD104">
        <v>0</v>
      </c>
      <c r="AG104">
        <v>18</v>
      </c>
      <c r="AH104">
        <v>8</v>
      </c>
      <c r="AI104">
        <v>148</v>
      </c>
      <c r="AJ104">
        <v>41</v>
      </c>
      <c r="AK104">
        <v>62</v>
      </c>
    </row>
    <row r="105" spans="1:37">
      <c r="A105" t="s">
        <v>620</v>
      </c>
      <c r="B105" t="s">
        <v>1756</v>
      </c>
      <c r="C105">
        <v>27.4</v>
      </c>
      <c r="D105" t="s">
        <v>1475</v>
      </c>
      <c r="E105">
        <v>18</v>
      </c>
      <c r="F105">
        <v>23</v>
      </c>
      <c r="G105">
        <v>0</v>
      </c>
      <c r="I105">
        <v>1.0192</v>
      </c>
      <c r="J105">
        <v>1.05255</v>
      </c>
      <c r="K105">
        <v>0.98691</v>
      </c>
      <c r="L105">
        <v>0.99021</v>
      </c>
      <c r="M105">
        <v>1.0838</v>
      </c>
      <c r="N105">
        <v>1.03035</v>
      </c>
      <c r="O105">
        <v>1.01418</v>
      </c>
      <c r="P105">
        <v>0.9856200000000001</v>
      </c>
      <c r="Q105">
        <v>1.09684</v>
      </c>
      <c r="R105">
        <v>1</v>
      </c>
      <c r="S105">
        <v>1</v>
      </c>
      <c r="T105">
        <v>1</v>
      </c>
      <c r="U105">
        <v>1</v>
      </c>
      <c r="V105">
        <v>9.305999999999999</v>
      </c>
      <c r="W105">
        <v>4.324</v>
      </c>
      <c r="X105">
        <v>123.357</v>
      </c>
      <c r="Y105">
        <v>41.72</v>
      </c>
      <c r="Z105">
        <v>52.251</v>
      </c>
      <c r="AA105">
        <v>230.958</v>
      </c>
      <c r="AB105">
        <v>0.93832</v>
      </c>
      <c r="AC105">
        <v>212</v>
      </c>
      <c r="AD105">
        <v>0</v>
      </c>
      <c r="AG105">
        <v>12</v>
      </c>
      <c r="AH105">
        <v>3</v>
      </c>
      <c r="AI105">
        <v>118</v>
      </c>
      <c r="AJ105">
        <v>30</v>
      </c>
      <c r="AK105">
        <v>49</v>
      </c>
    </row>
    <row r="106" spans="1:37">
      <c r="A106" t="s">
        <v>621</v>
      </c>
      <c r="B106" t="s">
        <v>1756</v>
      </c>
      <c r="C106">
        <v>28</v>
      </c>
      <c r="D106" t="s">
        <v>1475</v>
      </c>
      <c r="E106">
        <v>19</v>
      </c>
      <c r="F106">
        <v>24</v>
      </c>
      <c r="G106">
        <v>0</v>
      </c>
      <c r="I106">
        <v>1.01939</v>
      </c>
      <c r="J106">
        <v>1.06587</v>
      </c>
      <c r="K106">
        <v>0.98691</v>
      </c>
      <c r="L106">
        <v>0.99009</v>
      </c>
      <c r="M106">
        <v>1.03182</v>
      </c>
      <c r="N106">
        <v>1.02155</v>
      </c>
      <c r="O106">
        <v>1.00631</v>
      </c>
      <c r="P106">
        <v>0.98214</v>
      </c>
      <c r="Q106">
        <v>1.06142</v>
      </c>
      <c r="R106">
        <v>1</v>
      </c>
      <c r="S106">
        <v>1</v>
      </c>
      <c r="T106">
        <v>1</v>
      </c>
      <c r="U106">
        <v>1</v>
      </c>
      <c r="V106">
        <v>10.657</v>
      </c>
      <c r="W106">
        <v>5.237</v>
      </c>
      <c r="X106">
        <v>114.932</v>
      </c>
      <c r="Y106">
        <v>38.865</v>
      </c>
      <c r="Z106">
        <v>50.498</v>
      </c>
      <c r="AA106">
        <v>220.189</v>
      </c>
      <c r="AB106">
        <v>0.90439</v>
      </c>
      <c r="AC106">
        <v>190</v>
      </c>
      <c r="AD106">
        <v>0</v>
      </c>
      <c r="AG106">
        <v>9</v>
      </c>
      <c r="AH106">
        <v>2</v>
      </c>
      <c r="AI106">
        <v>105</v>
      </c>
      <c r="AJ106">
        <v>38</v>
      </c>
      <c r="AK106">
        <v>36</v>
      </c>
    </row>
    <row r="107" spans="1:37">
      <c r="A107" t="s">
        <v>380</v>
      </c>
      <c r="B107" t="s">
        <v>1756</v>
      </c>
      <c r="C107">
        <v>28.6</v>
      </c>
      <c r="D107" t="s">
        <v>1475</v>
      </c>
      <c r="E107">
        <v>20</v>
      </c>
      <c r="F107">
        <v>25</v>
      </c>
      <c r="G107">
        <v>0</v>
      </c>
      <c r="I107">
        <v>1.01957</v>
      </c>
      <c r="J107">
        <v>1.06454</v>
      </c>
      <c r="K107">
        <v>0.98691</v>
      </c>
      <c r="L107">
        <v>0.99002</v>
      </c>
      <c r="M107">
        <v>0.9257300000000001</v>
      </c>
      <c r="N107">
        <v>1.01253</v>
      </c>
      <c r="O107">
        <v>0.98547</v>
      </c>
      <c r="P107">
        <v>0.9792999999999999</v>
      </c>
      <c r="Q107">
        <v>0.93379</v>
      </c>
      <c r="R107">
        <v>1</v>
      </c>
      <c r="S107">
        <v>1</v>
      </c>
      <c r="T107">
        <v>1</v>
      </c>
      <c r="U107">
        <v>1</v>
      </c>
      <c r="V107">
        <v>17.55</v>
      </c>
      <c r="W107">
        <v>6.632</v>
      </c>
      <c r="X107">
        <v>98.324</v>
      </c>
      <c r="Y107">
        <v>25.832</v>
      </c>
      <c r="Z107">
        <v>46.75</v>
      </c>
      <c r="AA107">
        <v>195.088</v>
      </c>
      <c r="AB107">
        <v>0.92635</v>
      </c>
      <c r="AC107">
        <v>215</v>
      </c>
      <c r="AD107">
        <v>0</v>
      </c>
      <c r="AG107">
        <v>17</v>
      </c>
      <c r="AH107">
        <v>8</v>
      </c>
      <c r="AI107">
        <v>118</v>
      </c>
      <c r="AJ107">
        <v>21</v>
      </c>
      <c r="AK107">
        <v>51</v>
      </c>
    </row>
    <row r="108" spans="1:37">
      <c r="A108" t="s">
        <v>622</v>
      </c>
      <c r="B108" t="s">
        <v>1756</v>
      </c>
      <c r="C108">
        <v>28.7</v>
      </c>
      <c r="D108" t="s">
        <v>1475</v>
      </c>
      <c r="E108">
        <v>21</v>
      </c>
      <c r="F108">
        <v>26</v>
      </c>
      <c r="G108">
        <v>0</v>
      </c>
      <c r="I108">
        <v>1.01976</v>
      </c>
      <c r="J108">
        <v>1.05897</v>
      </c>
      <c r="K108">
        <v>0.98691</v>
      </c>
      <c r="L108">
        <v>0.99</v>
      </c>
      <c r="M108">
        <v>0.9154099999999999</v>
      </c>
      <c r="N108">
        <v>1.01131</v>
      </c>
      <c r="O108">
        <v>0.98458</v>
      </c>
      <c r="P108">
        <v>0.97583</v>
      </c>
      <c r="Q108">
        <v>0.93458</v>
      </c>
      <c r="R108">
        <v>1</v>
      </c>
      <c r="S108">
        <v>1</v>
      </c>
      <c r="T108">
        <v>1</v>
      </c>
      <c r="U108">
        <v>1</v>
      </c>
      <c r="V108">
        <v>17.104</v>
      </c>
      <c r="W108">
        <v>6.586</v>
      </c>
      <c r="X108">
        <v>96.235</v>
      </c>
      <c r="Y108">
        <v>24.68</v>
      </c>
      <c r="Z108">
        <v>46.397</v>
      </c>
      <c r="AA108">
        <v>191.002</v>
      </c>
      <c r="AB108">
        <v>0.94337</v>
      </c>
      <c r="AC108">
        <v>193</v>
      </c>
      <c r="AD108">
        <v>0</v>
      </c>
      <c r="AG108">
        <v>16</v>
      </c>
      <c r="AH108">
        <v>9</v>
      </c>
      <c r="AI108">
        <v>79</v>
      </c>
      <c r="AJ108">
        <v>31</v>
      </c>
      <c r="AK108">
        <v>58</v>
      </c>
    </row>
    <row r="109" spans="1:37">
      <c r="A109" t="s">
        <v>623</v>
      </c>
      <c r="B109" t="s">
        <v>1756</v>
      </c>
      <c r="C109">
        <v>29.3</v>
      </c>
      <c r="D109" t="s">
        <v>1475</v>
      </c>
      <c r="E109">
        <v>22</v>
      </c>
      <c r="F109">
        <v>27</v>
      </c>
      <c r="G109">
        <v>0</v>
      </c>
      <c r="I109">
        <v>1.01995</v>
      </c>
      <c r="J109">
        <v>1.05377</v>
      </c>
      <c r="K109">
        <v>0.98691</v>
      </c>
      <c r="L109">
        <v>0.98996</v>
      </c>
      <c r="M109">
        <v>0.93314</v>
      </c>
      <c r="N109">
        <v>1.00363</v>
      </c>
      <c r="O109">
        <v>0.98513</v>
      </c>
      <c r="P109">
        <v>0.97235</v>
      </c>
      <c r="Q109">
        <v>0.93698</v>
      </c>
      <c r="R109">
        <v>1</v>
      </c>
      <c r="S109">
        <v>1</v>
      </c>
      <c r="T109">
        <v>1</v>
      </c>
      <c r="U109">
        <v>1</v>
      </c>
      <c r="V109">
        <v>17.003</v>
      </c>
      <c r="W109">
        <v>6.542</v>
      </c>
      <c r="X109">
        <v>96.20099999999999</v>
      </c>
      <c r="Y109">
        <v>25.052</v>
      </c>
      <c r="Z109">
        <v>46.78</v>
      </c>
      <c r="AA109">
        <v>191.578</v>
      </c>
      <c r="AB109">
        <v>0.99537</v>
      </c>
      <c r="AC109">
        <v>172</v>
      </c>
      <c r="AD109">
        <v>0</v>
      </c>
      <c r="AG109">
        <v>16</v>
      </c>
      <c r="AH109">
        <v>3</v>
      </c>
      <c r="AI109">
        <v>82</v>
      </c>
      <c r="AJ109">
        <v>21</v>
      </c>
      <c r="AK109">
        <v>50</v>
      </c>
    </row>
    <row r="110" spans="1:37">
      <c r="A110" t="s">
        <v>624</v>
      </c>
      <c r="B110" t="s">
        <v>1756</v>
      </c>
      <c r="C110">
        <v>28</v>
      </c>
      <c r="D110" t="s">
        <v>1475</v>
      </c>
      <c r="E110">
        <v>23</v>
      </c>
      <c r="F110">
        <v>28</v>
      </c>
      <c r="G110">
        <v>0</v>
      </c>
      <c r="I110">
        <v>1.02013</v>
      </c>
      <c r="J110">
        <v>1.04619</v>
      </c>
      <c r="K110">
        <v>0.98691</v>
      </c>
      <c r="L110">
        <v>0.98987</v>
      </c>
      <c r="M110">
        <v>0.96558</v>
      </c>
      <c r="N110">
        <v>1.02035</v>
      </c>
      <c r="O110">
        <v>0.98924</v>
      </c>
      <c r="P110">
        <v>0.96873</v>
      </c>
      <c r="Q110">
        <v>0.95147</v>
      </c>
      <c r="R110">
        <v>1</v>
      </c>
      <c r="S110">
        <v>1</v>
      </c>
      <c r="T110">
        <v>1</v>
      </c>
      <c r="U110">
        <v>1</v>
      </c>
      <c r="V110">
        <v>16.727</v>
      </c>
      <c r="W110">
        <v>6.352</v>
      </c>
      <c r="X110">
        <v>102.962</v>
      </c>
      <c r="Y110">
        <v>27.001</v>
      </c>
      <c r="Z110">
        <v>46.435</v>
      </c>
      <c r="AA110">
        <v>199.478</v>
      </c>
      <c r="AB110">
        <v>0.9297800000000001</v>
      </c>
      <c r="AC110">
        <v>194</v>
      </c>
      <c r="AD110">
        <v>0</v>
      </c>
      <c r="AG110">
        <v>23</v>
      </c>
      <c r="AH110">
        <v>7</v>
      </c>
      <c r="AI110">
        <v>95</v>
      </c>
      <c r="AJ110">
        <v>23</v>
      </c>
      <c r="AK110">
        <v>46</v>
      </c>
    </row>
    <row r="111" spans="1:37">
      <c r="A111" t="s">
        <v>625</v>
      </c>
      <c r="B111" t="s">
        <v>1756</v>
      </c>
      <c r="C111">
        <v>26.9</v>
      </c>
      <c r="D111" t="s">
        <v>1475</v>
      </c>
      <c r="E111">
        <v>24</v>
      </c>
      <c r="F111">
        <v>29</v>
      </c>
      <c r="G111">
        <v>0</v>
      </c>
      <c r="I111">
        <v>1.02032</v>
      </c>
      <c r="J111">
        <v>1.03729</v>
      </c>
      <c r="K111">
        <v>0.98691</v>
      </c>
      <c r="L111">
        <v>0.98973</v>
      </c>
      <c r="M111">
        <v>1.10152</v>
      </c>
      <c r="N111">
        <v>1.03571</v>
      </c>
      <c r="O111">
        <v>0.99995</v>
      </c>
      <c r="P111">
        <v>0.9648</v>
      </c>
      <c r="Q111">
        <v>1.26087</v>
      </c>
      <c r="R111">
        <v>1</v>
      </c>
      <c r="S111">
        <v>1</v>
      </c>
      <c r="T111">
        <v>1</v>
      </c>
      <c r="U111">
        <v>1</v>
      </c>
      <c r="V111">
        <v>20.515</v>
      </c>
      <c r="W111">
        <v>7.453</v>
      </c>
      <c r="X111">
        <v>157.25</v>
      </c>
      <c r="Y111">
        <v>42.854</v>
      </c>
      <c r="Z111">
        <v>61.417</v>
      </c>
      <c r="AA111">
        <v>289.488</v>
      </c>
      <c r="AB111">
        <v>1.05288</v>
      </c>
      <c r="AC111">
        <v>336</v>
      </c>
      <c r="AD111">
        <v>0</v>
      </c>
      <c r="AG111">
        <v>30</v>
      </c>
      <c r="AH111">
        <v>9</v>
      </c>
      <c r="AI111">
        <v>207</v>
      </c>
      <c r="AJ111">
        <v>40</v>
      </c>
      <c r="AK111">
        <v>50</v>
      </c>
    </row>
    <row r="112" spans="1:37">
      <c r="A112" t="s">
        <v>626</v>
      </c>
      <c r="B112" t="s">
        <v>1757</v>
      </c>
      <c r="C112">
        <v>27.8</v>
      </c>
      <c r="D112" t="s">
        <v>1475</v>
      </c>
      <c r="E112">
        <v>25</v>
      </c>
      <c r="F112">
        <v>0</v>
      </c>
      <c r="G112">
        <v>1</v>
      </c>
      <c r="I112">
        <v>1.02051</v>
      </c>
      <c r="J112">
        <v>1.03614</v>
      </c>
      <c r="K112">
        <v>0.98691</v>
      </c>
      <c r="L112">
        <v>0.98954</v>
      </c>
      <c r="M112">
        <v>1.33837</v>
      </c>
      <c r="N112">
        <v>1.02649</v>
      </c>
      <c r="O112">
        <v>1.04611</v>
      </c>
      <c r="P112">
        <v>0.95921</v>
      </c>
      <c r="Q112">
        <v>1</v>
      </c>
      <c r="R112">
        <v>0.97522</v>
      </c>
      <c r="S112">
        <v>1</v>
      </c>
      <c r="T112">
        <v>1</v>
      </c>
      <c r="U112">
        <v>1</v>
      </c>
      <c r="V112">
        <v>2.628</v>
      </c>
      <c r="W112">
        <v>1.07</v>
      </c>
      <c r="X112">
        <v>113.029</v>
      </c>
      <c r="Y112">
        <v>60.244</v>
      </c>
      <c r="Z112">
        <v>33.955</v>
      </c>
      <c r="AA112">
        <v>210.926</v>
      </c>
      <c r="AB112">
        <v>0.94628</v>
      </c>
      <c r="AC112">
        <v>171</v>
      </c>
      <c r="AD112">
        <v>0</v>
      </c>
      <c r="AG112">
        <v>3</v>
      </c>
      <c r="AH112">
        <v>0</v>
      </c>
      <c r="AI112">
        <v>98</v>
      </c>
      <c r="AJ112">
        <v>41</v>
      </c>
      <c r="AK112">
        <v>29</v>
      </c>
    </row>
    <row r="113" spans="1:37">
      <c r="A113" t="s">
        <v>627</v>
      </c>
      <c r="B113" t="s">
        <v>1755</v>
      </c>
      <c r="C113">
        <v>31</v>
      </c>
      <c r="D113" t="s">
        <v>1475</v>
      </c>
      <c r="E113">
        <v>26</v>
      </c>
      <c r="F113">
        <v>0</v>
      </c>
      <c r="G113">
        <v>2</v>
      </c>
      <c r="I113">
        <v>1.02069</v>
      </c>
      <c r="J113">
        <v>1.03899</v>
      </c>
      <c r="K113">
        <v>0.98691</v>
      </c>
      <c r="L113">
        <v>0.9893</v>
      </c>
      <c r="M113">
        <v>1.07411</v>
      </c>
      <c r="N113">
        <v>0.9754699999999999</v>
      </c>
      <c r="O113">
        <v>1.02121</v>
      </c>
      <c r="P113">
        <v>0.95666</v>
      </c>
      <c r="Q113">
        <v>1</v>
      </c>
      <c r="R113">
        <v>1.18007</v>
      </c>
      <c r="S113">
        <v>1</v>
      </c>
      <c r="T113">
        <v>1</v>
      </c>
      <c r="U113">
        <v>1</v>
      </c>
      <c r="V113">
        <v>8.973000000000001</v>
      </c>
      <c r="W113">
        <v>4.206</v>
      </c>
      <c r="X113">
        <v>109.555</v>
      </c>
      <c r="Y113">
        <v>57.757</v>
      </c>
      <c r="Z113">
        <v>40.309</v>
      </c>
      <c r="AA113">
        <v>220.8</v>
      </c>
      <c r="AB113">
        <v>1.02232</v>
      </c>
      <c r="AC113">
        <v>225</v>
      </c>
      <c r="AD113">
        <v>0</v>
      </c>
      <c r="AG113">
        <v>10</v>
      </c>
      <c r="AH113">
        <v>4</v>
      </c>
      <c r="AI113">
        <v>120</v>
      </c>
      <c r="AJ113">
        <v>56</v>
      </c>
      <c r="AK113">
        <v>35</v>
      </c>
    </row>
    <row r="114" spans="1:37">
      <c r="A114" t="s">
        <v>381</v>
      </c>
      <c r="B114" t="s">
        <v>1755</v>
      </c>
      <c r="C114">
        <v>28.9</v>
      </c>
      <c r="D114" t="s">
        <v>1475</v>
      </c>
      <c r="E114">
        <v>27</v>
      </c>
      <c r="F114">
        <v>0</v>
      </c>
      <c r="G114">
        <v>3</v>
      </c>
      <c r="I114">
        <v>1.02088</v>
      </c>
      <c r="J114">
        <v>1.01349</v>
      </c>
      <c r="K114">
        <v>0.98691</v>
      </c>
      <c r="L114">
        <v>0.98902</v>
      </c>
      <c r="M114">
        <v>1.04616</v>
      </c>
      <c r="N114">
        <v>1.00747</v>
      </c>
      <c r="O114">
        <v>1.01901</v>
      </c>
      <c r="P114">
        <v>0.9569299999999999</v>
      </c>
      <c r="Q114">
        <v>1</v>
      </c>
      <c r="R114">
        <v>1.13951</v>
      </c>
      <c r="S114">
        <v>1</v>
      </c>
      <c r="T114">
        <v>1</v>
      </c>
      <c r="U114">
        <v>1</v>
      </c>
      <c r="V114">
        <v>10.502</v>
      </c>
      <c r="W114">
        <v>4.103</v>
      </c>
      <c r="X114">
        <v>108.471</v>
      </c>
      <c r="Y114">
        <v>52.454</v>
      </c>
      <c r="Z114">
        <v>38.235</v>
      </c>
      <c r="AA114">
        <v>213.765</v>
      </c>
      <c r="AB114">
        <v>0.89603</v>
      </c>
      <c r="AC114">
        <v>183</v>
      </c>
      <c r="AD114">
        <v>0</v>
      </c>
      <c r="AG114">
        <v>14</v>
      </c>
      <c r="AH114">
        <v>3</v>
      </c>
      <c r="AI114">
        <v>92</v>
      </c>
      <c r="AJ114">
        <v>39</v>
      </c>
      <c r="AK114">
        <v>35</v>
      </c>
    </row>
    <row r="115" spans="1:37">
      <c r="A115" t="s">
        <v>628</v>
      </c>
      <c r="B115" t="s">
        <v>1755</v>
      </c>
      <c r="C115">
        <v>31.1</v>
      </c>
      <c r="D115" t="s">
        <v>1475</v>
      </c>
      <c r="E115">
        <v>28</v>
      </c>
      <c r="F115">
        <v>0</v>
      </c>
      <c r="G115">
        <v>4</v>
      </c>
      <c r="I115">
        <v>1.02107</v>
      </c>
      <c r="J115">
        <v>0.99979</v>
      </c>
      <c r="K115">
        <v>0.98691</v>
      </c>
      <c r="L115">
        <v>0.98869</v>
      </c>
      <c r="M115">
        <v>0.9932299999999999</v>
      </c>
      <c r="N115">
        <v>0.97616</v>
      </c>
      <c r="O115">
        <v>1.00872</v>
      </c>
      <c r="P115">
        <v>0.95756</v>
      </c>
      <c r="Q115">
        <v>1</v>
      </c>
      <c r="R115">
        <v>1.0172</v>
      </c>
      <c r="S115">
        <v>1</v>
      </c>
      <c r="T115">
        <v>1</v>
      </c>
      <c r="U115">
        <v>1</v>
      </c>
      <c r="V115">
        <v>12.085</v>
      </c>
      <c r="W115">
        <v>4.451</v>
      </c>
      <c r="X115">
        <v>88.964</v>
      </c>
      <c r="Y115">
        <v>42.082</v>
      </c>
      <c r="Z115">
        <v>35.299</v>
      </c>
      <c r="AA115">
        <v>182.881</v>
      </c>
      <c r="AB115">
        <v>1.04433</v>
      </c>
      <c r="AC115">
        <v>212</v>
      </c>
      <c r="AD115">
        <v>0</v>
      </c>
      <c r="AG115">
        <v>9</v>
      </c>
      <c r="AH115">
        <v>3</v>
      </c>
      <c r="AI115">
        <v>106</v>
      </c>
      <c r="AJ115">
        <v>57</v>
      </c>
      <c r="AK115">
        <v>37</v>
      </c>
    </row>
    <row r="116" spans="1:37">
      <c r="A116" t="s">
        <v>629</v>
      </c>
      <c r="B116" t="s">
        <v>1751</v>
      </c>
      <c r="C116">
        <v>31.5</v>
      </c>
      <c r="D116" t="s">
        <v>1475</v>
      </c>
      <c r="E116">
        <v>29</v>
      </c>
      <c r="F116">
        <v>0</v>
      </c>
      <c r="G116">
        <v>5</v>
      </c>
      <c r="I116">
        <v>1.02125</v>
      </c>
      <c r="J116">
        <v>0.98788</v>
      </c>
      <c r="K116">
        <v>0.98691</v>
      </c>
      <c r="L116">
        <v>0.98832</v>
      </c>
      <c r="M116">
        <v>0.87562</v>
      </c>
      <c r="N116">
        <v>0.98419</v>
      </c>
      <c r="O116">
        <v>0.93311</v>
      </c>
      <c r="P116">
        <v>0.96538</v>
      </c>
      <c r="Q116">
        <v>1</v>
      </c>
      <c r="R116">
        <v>0.83814</v>
      </c>
      <c r="S116">
        <v>1</v>
      </c>
      <c r="T116">
        <v>1</v>
      </c>
      <c r="U116">
        <v>1</v>
      </c>
      <c r="V116">
        <v>42.638</v>
      </c>
      <c r="W116">
        <v>8.722</v>
      </c>
      <c r="X116">
        <v>52.65</v>
      </c>
      <c r="Y116">
        <v>13.376</v>
      </c>
      <c r="Z116">
        <v>27.852</v>
      </c>
      <c r="AA116">
        <v>145.239</v>
      </c>
      <c r="AB116">
        <v>1.03445</v>
      </c>
      <c r="AC116">
        <v>176</v>
      </c>
      <c r="AD116">
        <v>0</v>
      </c>
      <c r="AG116">
        <v>48</v>
      </c>
      <c r="AH116">
        <v>4</v>
      </c>
      <c r="AI116">
        <v>64</v>
      </c>
      <c r="AJ116">
        <v>21</v>
      </c>
      <c r="AK116">
        <v>39</v>
      </c>
    </row>
    <row r="117" spans="1:37">
      <c r="A117" t="s">
        <v>630</v>
      </c>
      <c r="B117" t="s">
        <v>1751</v>
      </c>
      <c r="C117">
        <v>30</v>
      </c>
      <c r="D117" t="s">
        <v>1475</v>
      </c>
      <c r="E117">
        <v>30</v>
      </c>
      <c r="F117">
        <v>0</v>
      </c>
      <c r="G117">
        <v>6</v>
      </c>
      <c r="I117">
        <v>1.02144</v>
      </c>
      <c r="J117">
        <v>0.9900099999999999</v>
      </c>
      <c r="K117">
        <v>0.98691</v>
      </c>
      <c r="L117">
        <v>0.98792</v>
      </c>
      <c r="M117">
        <v>0.92714</v>
      </c>
      <c r="N117">
        <v>0.99552</v>
      </c>
      <c r="O117">
        <v>0.94424</v>
      </c>
      <c r="P117">
        <v>0.96443</v>
      </c>
      <c r="Q117">
        <v>1</v>
      </c>
      <c r="R117">
        <v>0.84504</v>
      </c>
      <c r="S117">
        <v>1</v>
      </c>
      <c r="T117">
        <v>1</v>
      </c>
      <c r="U117">
        <v>1</v>
      </c>
      <c r="V117">
        <v>41.866</v>
      </c>
      <c r="W117">
        <v>8.302</v>
      </c>
      <c r="X117">
        <v>61.184</v>
      </c>
      <c r="Y117">
        <v>16.043</v>
      </c>
      <c r="Z117">
        <v>28.849</v>
      </c>
      <c r="AA117">
        <v>156.244</v>
      </c>
      <c r="AB117">
        <v>0.94672</v>
      </c>
      <c r="AC117">
        <v>135</v>
      </c>
      <c r="AD117">
        <v>0</v>
      </c>
      <c r="AG117">
        <v>29</v>
      </c>
      <c r="AH117">
        <v>8</v>
      </c>
      <c r="AI117">
        <v>57</v>
      </c>
      <c r="AJ117">
        <v>15</v>
      </c>
      <c r="AK117">
        <v>26</v>
      </c>
    </row>
    <row r="118" spans="1:37">
      <c r="A118" t="s">
        <v>631</v>
      </c>
      <c r="B118" t="s">
        <v>1752</v>
      </c>
      <c r="C118">
        <v>30.3</v>
      </c>
      <c r="D118" t="s">
        <v>1475</v>
      </c>
      <c r="E118">
        <v>0</v>
      </c>
      <c r="F118">
        <v>0</v>
      </c>
      <c r="G118">
        <v>7</v>
      </c>
      <c r="I118">
        <v>1.02162</v>
      </c>
      <c r="J118">
        <v>0.99701</v>
      </c>
      <c r="K118">
        <v>0.98691</v>
      </c>
      <c r="L118">
        <v>0.98749</v>
      </c>
      <c r="M118">
        <v>1.20183</v>
      </c>
      <c r="N118">
        <v>0.9881799999999999</v>
      </c>
      <c r="O118">
        <v>0.97907</v>
      </c>
      <c r="P118">
        <v>1.07643</v>
      </c>
      <c r="Q118">
        <v>1</v>
      </c>
      <c r="R118">
        <v>0.86824</v>
      </c>
      <c r="S118">
        <v>1</v>
      </c>
      <c r="T118">
        <v>1</v>
      </c>
      <c r="U118">
        <v>1</v>
      </c>
      <c r="V118">
        <v>41.195</v>
      </c>
      <c r="W118">
        <v>7.525</v>
      </c>
      <c r="X118">
        <v>106.486</v>
      </c>
      <c r="Y118">
        <v>31.434</v>
      </c>
      <c r="Z118">
        <v>39.459</v>
      </c>
      <c r="AA118">
        <v>226.1</v>
      </c>
      <c r="AB118">
        <v>1.10313</v>
      </c>
      <c r="AC118">
        <v>231</v>
      </c>
      <c r="AD118">
        <v>0</v>
      </c>
      <c r="AG118">
        <v>39</v>
      </c>
      <c r="AH118">
        <v>8</v>
      </c>
      <c r="AI118">
        <v>118</v>
      </c>
      <c r="AJ118">
        <v>33</v>
      </c>
      <c r="AK118">
        <v>33</v>
      </c>
    </row>
    <row r="119" spans="1:37">
      <c r="A119" t="s">
        <v>632</v>
      </c>
      <c r="B119" t="s">
        <v>1753</v>
      </c>
      <c r="C119">
        <v>28.6</v>
      </c>
      <c r="D119" t="s">
        <v>1475</v>
      </c>
      <c r="E119">
        <v>1</v>
      </c>
      <c r="F119">
        <v>0</v>
      </c>
      <c r="G119">
        <v>0</v>
      </c>
      <c r="I119">
        <v>1.02181</v>
      </c>
      <c r="J119">
        <v>1.00074</v>
      </c>
      <c r="K119">
        <v>0.98691</v>
      </c>
      <c r="L119">
        <v>0.98702</v>
      </c>
      <c r="M119">
        <v>1.02885</v>
      </c>
      <c r="N119">
        <v>1.01242</v>
      </c>
      <c r="O119">
        <v>1.01052</v>
      </c>
      <c r="P119">
        <v>1.05706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13.066</v>
      </c>
      <c r="W119">
        <v>5.428</v>
      </c>
      <c r="X119">
        <v>112.451</v>
      </c>
      <c r="Y119">
        <v>52.767</v>
      </c>
      <c r="Z119">
        <v>43.082</v>
      </c>
      <c r="AA119">
        <v>226.794</v>
      </c>
      <c r="AB119">
        <v>0.9219000000000001</v>
      </c>
      <c r="AC119">
        <v>198</v>
      </c>
      <c r="AD119">
        <v>0</v>
      </c>
      <c r="AG119">
        <v>8</v>
      </c>
      <c r="AH119">
        <v>7</v>
      </c>
      <c r="AI119">
        <v>101</v>
      </c>
      <c r="AJ119">
        <v>42</v>
      </c>
      <c r="AK119">
        <v>40</v>
      </c>
    </row>
    <row r="120" spans="1:37">
      <c r="A120" t="s">
        <v>633</v>
      </c>
      <c r="B120" t="s">
        <v>1754</v>
      </c>
      <c r="C120">
        <v>26.9</v>
      </c>
      <c r="D120" t="s">
        <v>1475</v>
      </c>
      <c r="E120">
        <v>2</v>
      </c>
      <c r="F120">
        <v>0</v>
      </c>
      <c r="G120">
        <v>0</v>
      </c>
      <c r="I120">
        <v>1.022</v>
      </c>
      <c r="J120">
        <v>1.00045</v>
      </c>
      <c r="K120">
        <v>0.98691</v>
      </c>
      <c r="L120">
        <v>0.98654</v>
      </c>
      <c r="M120">
        <v>0.93089</v>
      </c>
      <c r="N120">
        <v>1.03551</v>
      </c>
      <c r="O120">
        <v>0.98532</v>
      </c>
      <c r="P120">
        <v>1.0371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17.702</v>
      </c>
      <c r="W120">
        <v>8.442</v>
      </c>
      <c r="X120">
        <v>98.117</v>
      </c>
      <c r="Y120">
        <v>44.943</v>
      </c>
      <c r="Z120">
        <v>36.324</v>
      </c>
      <c r="AA120">
        <v>205.528</v>
      </c>
      <c r="AB120">
        <v>1.02119</v>
      </c>
      <c r="AC120">
        <v>209</v>
      </c>
      <c r="AD120">
        <v>0</v>
      </c>
      <c r="AG120">
        <v>17</v>
      </c>
      <c r="AH120">
        <v>10</v>
      </c>
      <c r="AI120">
        <v>108</v>
      </c>
      <c r="AJ120">
        <v>47</v>
      </c>
      <c r="AK120">
        <v>27</v>
      </c>
    </row>
    <row r="121" spans="1:37">
      <c r="A121" t="s">
        <v>382</v>
      </c>
      <c r="B121" t="s">
        <v>1751</v>
      </c>
      <c r="C121">
        <v>26.9</v>
      </c>
      <c r="D121" t="s">
        <v>82</v>
      </c>
      <c r="E121">
        <v>3</v>
      </c>
      <c r="F121">
        <v>0</v>
      </c>
      <c r="G121">
        <v>0</v>
      </c>
      <c r="I121">
        <v>1.02218</v>
      </c>
      <c r="J121">
        <v>0.99826</v>
      </c>
      <c r="K121">
        <v>0.98691</v>
      </c>
      <c r="L121">
        <v>0.98604</v>
      </c>
      <c r="M121">
        <v>0.89559</v>
      </c>
      <c r="N121">
        <v>1.01986</v>
      </c>
      <c r="O121">
        <v>1</v>
      </c>
      <c r="P121">
        <v>1.01888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66.191</v>
      </c>
      <c r="W121">
        <v>33.801</v>
      </c>
      <c r="X121">
        <v>66.242</v>
      </c>
      <c r="Y121">
        <v>14.818</v>
      </c>
      <c r="Z121">
        <v>29.266</v>
      </c>
      <c r="AA121">
        <v>210.317</v>
      </c>
      <c r="AB121">
        <v>1.04564</v>
      </c>
      <c r="AC121">
        <v>215</v>
      </c>
      <c r="AD121">
        <v>1</v>
      </c>
      <c r="AG121">
        <v>83</v>
      </c>
      <c r="AH121">
        <v>41</v>
      </c>
      <c r="AI121">
        <v>45</v>
      </c>
      <c r="AJ121">
        <v>18</v>
      </c>
      <c r="AK121">
        <v>28</v>
      </c>
    </row>
    <row r="122" spans="1:37">
      <c r="A122" t="s">
        <v>634</v>
      </c>
      <c r="B122" t="s">
        <v>1751</v>
      </c>
      <c r="C122">
        <v>29.6</v>
      </c>
      <c r="D122" t="s">
        <v>82</v>
      </c>
      <c r="E122">
        <v>4</v>
      </c>
      <c r="F122">
        <v>0</v>
      </c>
      <c r="G122">
        <v>0</v>
      </c>
      <c r="I122">
        <v>1.02237</v>
      </c>
      <c r="J122">
        <v>1.00698</v>
      </c>
      <c r="K122">
        <v>1.02066</v>
      </c>
      <c r="L122">
        <v>0.98554</v>
      </c>
      <c r="M122">
        <v>0.87381</v>
      </c>
      <c r="N122">
        <v>1.00014</v>
      </c>
      <c r="O122">
        <v>1</v>
      </c>
      <c r="P122">
        <v>1.01259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65.568</v>
      </c>
      <c r="W122">
        <v>35.096</v>
      </c>
      <c r="X122">
        <v>62.29</v>
      </c>
      <c r="Y122">
        <v>13.364</v>
      </c>
      <c r="Z122">
        <v>31.385</v>
      </c>
      <c r="AA122">
        <v>207.702</v>
      </c>
      <c r="AB122">
        <v>1.04613</v>
      </c>
      <c r="AC122">
        <v>230</v>
      </c>
      <c r="AD122">
        <v>0</v>
      </c>
      <c r="AG122">
        <v>68</v>
      </c>
      <c r="AH122">
        <v>38</v>
      </c>
      <c r="AI122">
        <v>67</v>
      </c>
      <c r="AJ122">
        <v>28</v>
      </c>
      <c r="AK122">
        <v>29</v>
      </c>
    </row>
    <row r="123" spans="1:37">
      <c r="A123" t="s">
        <v>635</v>
      </c>
      <c r="B123" t="s">
        <v>1751</v>
      </c>
      <c r="C123">
        <v>30.4</v>
      </c>
      <c r="D123" t="s">
        <v>82</v>
      </c>
      <c r="E123">
        <v>5</v>
      </c>
      <c r="F123">
        <v>0</v>
      </c>
      <c r="G123">
        <v>0</v>
      </c>
      <c r="I123">
        <v>1.02256</v>
      </c>
      <c r="J123">
        <v>1.00359</v>
      </c>
      <c r="K123">
        <v>1.02066</v>
      </c>
      <c r="L123">
        <v>0.98502</v>
      </c>
      <c r="M123">
        <v>0.8992</v>
      </c>
      <c r="N123">
        <v>0.99412</v>
      </c>
      <c r="O123">
        <v>1</v>
      </c>
      <c r="P123">
        <v>1.00852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65.208</v>
      </c>
      <c r="W123">
        <v>34.862</v>
      </c>
      <c r="X123">
        <v>64.20399999999999</v>
      </c>
      <c r="Y123">
        <v>14.232</v>
      </c>
      <c r="Z123">
        <v>32.114</v>
      </c>
      <c r="AA123">
        <v>210.619</v>
      </c>
      <c r="AB123">
        <v>1.00515</v>
      </c>
      <c r="AC123">
        <v>208</v>
      </c>
      <c r="AD123">
        <v>0</v>
      </c>
      <c r="AG123">
        <v>62</v>
      </c>
      <c r="AH123">
        <v>30</v>
      </c>
      <c r="AI123">
        <v>69</v>
      </c>
      <c r="AJ123">
        <v>11</v>
      </c>
      <c r="AK123">
        <v>36</v>
      </c>
    </row>
    <row r="124" spans="1:37">
      <c r="A124" t="s">
        <v>636</v>
      </c>
      <c r="B124" t="s">
        <v>1751</v>
      </c>
      <c r="C124">
        <v>30.7</v>
      </c>
      <c r="D124" t="s">
        <v>82</v>
      </c>
      <c r="E124">
        <v>6</v>
      </c>
      <c r="F124">
        <v>0</v>
      </c>
      <c r="G124">
        <v>0</v>
      </c>
      <c r="I124">
        <v>1.02274</v>
      </c>
      <c r="J124">
        <v>1.00258</v>
      </c>
      <c r="K124">
        <v>1.02066</v>
      </c>
      <c r="L124">
        <v>0.98451</v>
      </c>
      <c r="M124">
        <v>0.9361699999999999</v>
      </c>
      <c r="N124">
        <v>0.99089</v>
      </c>
      <c r="O124">
        <v>1</v>
      </c>
      <c r="P124">
        <v>1.00587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63.741</v>
      </c>
      <c r="W124">
        <v>33.008</v>
      </c>
      <c r="X124">
        <v>70.84099999999999</v>
      </c>
      <c r="Y124">
        <v>16.429</v>
      </c>
      <c r="Z124">
        <v>33.813</v>
      </c>
      <c r="AA124">
        <v>217.832</v>
      </c>
      <c r="AB124">
        <v>1.06124</v>
      </c>
      <c r="AC124">
        <v>209</v>
      </c>
      <c r="AD124">
        <v>0</v>
      </c>
      <c r="AG124">
        <v>58</v>
      </c>
      <c r="AH124">
        <v>39</v>
      </c>
      <c r="AI124">
        <v>71</v>
      </c>
      <c r="AJ124">
        <v>18</v>
      </c>
      <c r="AK124">
        <v>23</v>
      </c>
    </row>
    <row r="125" spans="1:37">
      <c r="A125" t="s">
        <v>637</v>
      </c>
      <c r="B125" t="s">
        <v>1752</v>
      </c>
      <c r="C125">
        <v>30.6</v>
      </c>
      <c r="D125" t="s">
        <v>82</v>
      </c>
      <c r="E125">
        <v>7</v>
      </c>
      <c r="F125">
        <v>0</v>
      </c>
      <c r="G125">
        <v>0</v>
      </c>
      <c r="I125">
        <v>1.02293</v>
      </c>
      <c r="J125">
        <v>1.00993</v>
      </c>
      <c r="K125">
        <v>1.02066</v>
      </c>
      <c r="L125">
        <v>0.984</v>
      </c>
      <c r="M125">
        <v>1.13471</v>
      </c>
      <c r="N125">
        <v>0.98668</v>
      </c>
      <c r="O125">
        <v>1</v>
      </c>
      <c r="P125">
        <v>1.00431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60.208</v>
      </c>
      <c r="W125">
        <v>27.953</v>
      </c>
      <c r="X125">
        <v>108.862</v>
      </c>
      <c r="Y125">
        <v>28.335</v>
      </c>
      <c r="Z125">
        <v>40.207</v>
      </c>
      <c r="AA125">
        <v>265.566</v>
      </c>
      <c r="AB125">
        <v>0.97034</v>
      </c>
      <c r="AC125">
        <v>260</v>
      </c>
      <c r="AD125">
        <v>0</v>
      </c>
      <c r="AG125">
        <v>60</v>
      </c>
      <c r="AH125">
        <v>23</v>
      </c>
      <c r="AI125">
        <v>106</v>
      </c>
      <c r="AJ125">
        <v>32</v>
      </c>
      <c r="AK125">
        <v>39</v>
      </c>
    </row>
    <row r="126" spans="1:37">
      <c r="A126" t="s">
        <v>638</v>
      </c>
      <c r="B126" t="s">
        <v>1753</v>
      </c>
      <c r="C126">
        <v>32.7</v>
      </c>
      <c r="D126" t="s">
        <v>82</v>
      </c>
      <c r="E126">
        <v>8</v>
      </c>
      <c r="F126">
        <v>0</v>
      </c>
      <c r="G126">
        <v>0</v>
      </c>
      <c r="I126">
        <v>1.02312</v>
      </c>
      <c r="J126">
        <v>1.01704</v>
      </c>
      <c r="K126">
        <v>1.02066</v>
      </c>
      <c r="L126">
        <v>0.9835</v>
      </c>
      <c r="M126">
        <v>0.91667</v>
      </c>
      <c r="N126">
        <v>0.96236</v>
      </c>
      <c r="O126">
        <v>1</v>
      </c>
      <c r="P126">
        <v>1.00339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14.486</v>
      </c>
      <c r="W126">
        <v>12.301</v>
      </c>
      <c r="X126">
        <v>97.12</v>
      </c>
      <c r="Y126">
        <v>43.63</v>
      </c>
      <c r="Z126">
        <v>45.13</v>
      </c>
      <c r="AA126">
        <v>212.668</v>
      </c>
      <c r="AB126">
        <v>1.10167</v>
      </c>
      <c r="AC126">
        <v>243</v>
      </c>
      <c r="AD126">
        <v>0</v>
      </c>
      <c r="AG126">
        <v>19</v>
      </c>
      <c r="AH126">
        <v>15</v>
      </c>
      <c r="AI126">
        <v>102</v>
      </c>
      <c r="AJ126">
        <v>46</v>
      </c>
      <c r="AK126">
        <v>61</v>
      </c>
    </row>
    <row r="127" spans="1:37">
      <c r="A127" t="s">
        <v>639</v>
      </c>
      <c r="B127" t="s">
        <v>1754</v>
      </c>
      <c r="C127">
        <v>32.7</v>
      </c>
      <c r="D127" t="s">
        <v>82</v>
      </c>
      <c r="E127">
        <v>9</v>
      </c>
      <c r="F127">
        <v>0</v>
      </c>
      <c r="G127">
        <v>0</v>
      </c>
      <c r="I127">
        <v>1.0233</v>
      </c>
      <c r="J127">
        <v>1.01413</v>
      </c>
      <c r="K127">
        <v>1.02066</v>
      </c>
      <c r="L127">
        <v>0.9830100000000001</v>
      </c>
      <c r="M127">
        <v>0.85446</v>
      </c>
      <c r="N127">
        <v>0.96612</v>
      </c>
      <c r="O127">
        <v>1</v>
      </c>
      <c r="P127">
        <v>1.00217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19.684</v>
      </c>
      <c r="W127">
        <v>19.257</v>
      </c>
      <c r="X127">
        <v>82.371</v>
      </c>
      <c r="Y127">
        <v>36.581</v>
      </c>
      <c r="Z127">
        <v>39.541</v>
      </c>
      <c r="AA127">
        <v>197.433</v>
      </c>
      <c r="AB127">
        <v>0.91064</v>
      </c>
      <c r="AC127">
        <v>168</v>
      </c>
      <c r="AD127">
        <v>0</v>
      </c>
      <c r="AG127">
        <v>22</v>
      </c>
      <c r="AH127">
        <v>16</v>
      </c>
      <c r="AI127">
        <v>68</v>
      </c>
      <c r="AJ127">
        <v>34</v>
      </c>
      <c r="AK127">
        <v>28</v>
      </c>
    </row>
    <row r="128" spans="1:37">
      <c r="A128" t="s">
        <v>383</v>
      </c>
      <c r="B128" t="s">
        <v>1751</v>
      </c>
      <c r="C128">
        <v>34.2</v>
      </c>
      <c r="D128" t="s">
        <v>82</v>
      </c>
      <c r="E128">
        <v>10</v>
      </c>
      <c r="F128">
        <v>0</v>
      </c>
      <c r="G128">
        <v>0</v>
      </c>
      <c r="I128">
        <v>1.02349</v>
      </c>
      <c r="J128">
        <v>1.02248</v>
      </c>
      <c r="K128">
        <v>1.02066</v>
      </c>
      <c r="L128">
        <v>0.98255</v>
      </c>
      <c r="M128">
        <v>0.90449</v>
      </c>
      <c r="N128">
        <v>0.97623</v>
      </c>
      <c r="O128">
        <v>1</v>
      </c>
      <c r="P128">
        <v>1.00113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69.426</v>
      </c>
      <c r="W128">
        <v>35.276</v>
      </c>
      <c r="X128">
        <v>57.619</v>
      </c>
      <c r="Y128">
        <v>13.571</v>
      </c>
      <c r="Z128">
        <v>33.208</v>
      </c>
      <c r="AA128">
        <v>209.1</v>
      </c>
      <c r="AB128">
        <v>0.974</v>
      </c>
      <c r="AC128">
        <v>197</v>
      </c>
      <c r="AD128">
        <v>0</v>
      </c>
      <c r="AG128">
        <v>67</v>
      </c>
      <c r="AH128">
        <v>28</v>
      </c>
      <c r="AI128">
        <v>59</v>
      </c>
      <c r="AJ128">
        <v>10</v>
      </c>
      <c r="AK128">
        <v>33</v>
      </c>
    </row>
    <row r="129" spans="1:37">
      <c r="A129" t="s">
        <v>640</v>
      </c>
      <c r="B129" t="s">
        <v>1751</v>
      </c>
      <c r="C129">
        <v>33.9</v>
      </c>
      <c r="D129" t="s">
        <v>82</v>
      </c>
      <c r="E129">
        <v>11</v>
      </c>
      <c r="F129">
        <v>0</v>
      </c>
      <c r="G129">
        <v>0</v>
      </c>
      <c r="I129">
        <v>1.02368</v>
      </c>
      <c r="J129">
        <v>1.02088</v>
      </c>
      <c r="K129">
        <v>1.02066</v>
      </c>
      <c r="L129">
        <v>0.98211</v>
      </c>
      <c r="M129">
        <v>0.87901</v>
      </c>
      <c r="N129">
        <v>0.97767</v>
      </c>
      <c r="O129">
        <v>1</v>
      </c>
      <c r="P129">
        <v>1.00076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65.989</v>
      </c>
      <c r="W129">
        <v>35.202</v>
      </c>
      <c r="X129">
        <v>56.345</v>
      </c>
      <c r="Y129">
        <v>12.45</v>
      </c>
      <c r="Z129">
        <v>33.005</v>
      </c>
      <c r="AA129">
        <v>202.99</v>
      </c>
      <c r="AB129">
        <v>1.17302</v>
      </c>
      <c r="AC129">
        <v>239</v>
      </c>
      <c r="AD129">
        <v>0</v>
      </c>
      <c r="AG129">
        <v>76</v>
      </c>
      <c r="AH129">
        <v>38</v>
      </c>
      <c r="AI129">
        <v>82</v>
      </c>
      <c r="AJ129">
        <v>11</v>
      </c>
      <c r="AK129">
        <v>32</v>
      </c>
    </row>
    <row r="130" spans="1:37">
      <c r="A130" t="s">
        <v>641</v>
      </c>
      <c r="B130" t="s">
        <v>1751</v>
      </c>
      <c r="C130">
        <v>32.7</v>
      </c>
      <c r="D130" t="s">
        <v>82</v>
      </c>
      <c r="E130">
        <v>12</v>
      </c>
      <c r="F130">
        <v>0</v>
      </c>
      <c r="G130">
        <v>0</v>
      </c>
      <c r="I130">
        <v>1.02386</v>
      </c>
      <c r="J130">
        <v>1.01876</v>
      </c>
      <c r="K130">
        <v>1.02066</v>
      </c>
      <c r="L130">
        <v>0.98171</v>
      </c>
      <c r="M130">
        <v>0.90152</v>
      </c>
      <c r="N130">
        <v>0.98086</v>
      </c>
      <c r="O130">
        <v>1</v>
      </c>
      <c r="P130">
        <v>1.00051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65.82899999999999</v>
      </c>
      <c r="W130">
        <v>35.114</v>
      </c>
      <c r="X130">
        <v>61.008</v>
      </c>
      <c r="Y130">
        <v>13.746</v>
      </c>
      <c r="Z130">
        <v>33.139</v>
      </c>
      <c r="AA130">
        <v>208.837</v>
      </c>
      <c r="AB130">
        <v>1.05864</v>
      </c>
      <c r="AC130">
        <v>237</v>
      </c>
      <c r="AD130">
        <v>1</v>
      </c>
      <c r="AG130">
        <v>69</v>
      </c>
      <c r="AH130">
        <v>52</v>
      </c>
      <c r="AI130">
        <v>66</v>
      </c>
      <c r="AJ130">
        <v>17</v>
      </c>
      <c r="AK130">
        <v>33</v>
      </c>
    </row>
    <row r="131" spans="1:37">
      <c r="A131" t="s">
        <v>642</v>
      </c>
      <c r="B131" t="s">
        <v>1751</v>
      </c>
      <c r="C131">
        <v>34.2</v>
      </c>
      <c r="D131" t="s">
        <v>82</v>
      </c>
      <c r="E131">
        <v>13</v>
      </c>
      <c r="F131">
        <v>0</v>
      </c>
      <c r="G131">
        <v>0</v>
      </c>
      <c r="I131">
        <v>1.02405</v>
      </c>
      <c r="J131">
        <v>1.01515</v>
      </c>
      <c r="K131">
        <v>1.02066</v>
      </c>
      <c r="L131">
        <v>0.98134</v>
      </c>
      <c r="M131">
        <v>0.93732</v>
      </c>
      <c r="N131">
        <v>0.97226</v>
      </c>
      <c r="O131">
        <v>1</v>
      </c>
      <c r="P131">
        <v>1.00035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64.267</v>
      </c>
      <c r="W131">
        <v>33.23</v>
      </c>
      <c r="X131">
        <v>66.15300000000001</v>
      </c>
      <c r="Y131">
        <v>15.69</v>
      </c>
      <c r="Z131">
        <v>35.469</v>
      </c>
      <c r="AA131">
        <v>214.809</v>
      </c>
      <c r="AB131">
        <v>1.05962</v>
      </c>
      <c r="AC131">
        <v>204</v>
      </c>
      <c r="AD131">
        <v>0</v>
      </c>
      <c r="AG131">
        <v>52</v>
      </c>
      <c r="AH131">
        <v>28</v>
      </c>
      <c r="AI131">
        <v>64</v>
      </c>
      <c r="AJ131">
        <v>14</v>
      </c>
      <c r="AK131">
        <v>46</v>
      </c>
    </row>
    <row r="132" spans="1:37">
      <c r="A132" t="s">
        <v>643</v>
      </c>
      <c r="B132" t="s">
        <v>1752</v>
      </c>
      <c r="C132">
        <v>33.2</v>
      </c>
      <c r="D132" t="s">
        <v>82</v>
      </c>
      <c r="E132">
        <v>14</v>
      </c>
      <c r="F132">
        <v>0</v>
      </c>
      <c r="G132">
        <v>0</v>
      </c>
      <c r="I132">
        <v>1.02424</v>
      </c>
      <c r="J132">
        <v>1.01876</v>
      </c>
      <c r="K132">
        <v>1.02066</v>
      </c>
      <c r="L132">
        <v>0.98101</v>
      </c>
      <c r="M132">
        <v>1.12849</v>
      </c>
      <c r="N132">
        <v>0.96532</v>
      </c>
      <c r="O132">
        <v>1</v>
      </c>
      <c r="P132">
        <v>1.00026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60.534</v>
      </c>
      <c r="W132">
        <v>28.076</v>
      </c>
      <c r="X132">
        <v>103.007</v>
      </c>
      <c r="Y132">
        <v>27.293</v>
      </c>
      <c r="Z132">
        <v>41.657</v>
      </c>
      <c r="AA132">
        <v>260.566</v>
      </c>
      <c r="AB132">
        <v>0.96268</v>
      </c>
      <c r="AC132">
        <v>261</v>
      </c>
      <c r="AD132">
        <v>0</v>
      </c>
      <c r="AG132">
        <v>57</v>
      </c>
      <c r="AH132">
        <v>27</v>
      </c>
      <c r="AI132">
        <v>93</v>
      </c>
      <c r="AJ132">
        <v>32</v>
      </c>
      <c r="AK132">
        <v>52</v>
      </c>
    </row>
    <row r="133" spans="1:37">
      <c r="A133" t="s">
        <v>644</v>
      </c>
      <c r="B133" t="s">
        <v>1753</v>
      </c>
      <c r="C133">
        <v>31.8</v>
      </c>
      <c r="D133" t="s">
        <v>82</v>
      </c>
      <c r="E133">
        <v>15</v>
      </c>
      <c r="F133">
        <v>0</v>
      </c>
      <c r="G133">
        <v>0</v>
      </c>
      <c r="I133">
        <v>1.02443</v>
      </c>
      <c r="J133">
        <v>1.02048</v>
      </c>
      <c r="K133">
        <v>1.02066</v>
      </c>
      <c r="L133">
        <v>0.98072</v>
      </c>
      <c r="M133">
        <v>0.91861</v>
      </c>
      <c r="N133">
        <v>0.97104</v>
      </c>
      <c r="O133">
        <v>1</v>
      </c>
      <c r="P133">
        <v>0.99674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14.482</v>
      </c>
      <c r="W133">
        <v>12.279</v>
      </c>
      <c r="X133">
        <v>98.453</v>
      </c>
      <c r="Y133">
        <v>43.965</v>
      </c>
      <c r="Z133">
        <v>44.372</v>
      </c>
      <c r="AA133">
        <v>213.551</v>
      </c>
      <c r="AB133">
        <v>1.14413</v>
      </c>
      <c r="AC133">
        <v>249</v>
      </c>
      <c r="AD133">
        <v>0</v>
      </c>
      <c r="AG133">
        <v>20</v>
      </c>
      <c r="AH133">
        <v>9</v>
      </c>
      <c r="AI133">
        <v>115</v>
      </c>
      <c r="AJ133">
        <v>54</v>
      </c>
      <c r="AK133">
        <v>51</v>
      </c>
    </row>
    <row r="134" spans="1:37">
      <c r="A134" t="s">
        <v>645</v>
      </c>
      <c r="B134" t="s">
        <v>1754</v>
      </c>
      <c r="C134">
        <v>32</v>
      </c>
      <c r="D134" t="s">
        <v>82</v>
      </c>
      <c r="E134">
        <v>16</v>
      </c>
      <c r="F134">
        <v>0</v>
      </c>
      <c r="G134">
        <v>0</v>
      </c>
      <c r="I134">
        <v>1.02461</v>
      </c>
      <c r="J134">
        <v>1.01722</v>
      </c>
      <c r="K134">
        <v>1.02066</v>
      </c>
      <c r="L134">
        <v>0.98048</v>
      </c>
      <c r="M134">
        <v>0.85488</v>
      </c>
      <c r="N134">
        <v>0.97213</v>
      </c>
      <c r="O134">
        <v>1</v>
      </c>
      <c r="P134">
        <v>0.99352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19.66</v>
      </c>
      <c r="W134">
        <v>19.195</v>
      </c>
      <c r="X134">
        <v>82.90600000000001</v>
      </c>
      <c r="Y134">
        <v>36.649</v>
      </c>
      <c r="Z134">
        <v>38.871</v>
      </c>
      <c r="AA134">
        <v>197.282</v>
      </c>
      <c r="AB134">
        <v>1.06538</v>
      </c>
      <c r="AC134">
        <v>194</v>
      </c>
      <c r="AD134">
        <v>0</v>
      </c>
      <c r="AG134">
        <v>21</v>
      </c>
      <c r="AH134">
        <v>15</v>
      </c>
      <c r="AI134">
        <v>86</v>
      </c>
      <c r="AJ134">
        <v>39</v>
      </c>
      <c r="AK134">
        <v>33</v>
      </c>
    </row>
    <row r="135" spans="1:37">
      <c r="A135" t="s">
        <v>384</v>
      </c>
      <c r="B135" t="s">
        <v>1751</v>
      </c>
      <c r="C135">
        <v>31.7</v>
      </c>
      <c r="D135" t="s">
        <v>82</v>
      </c>
      <c r="E135">
        <v>17</v>
      </c>
      <c r="F135">
        <v>0</v>
      </c>
      <c r="G135">
        <v>0</v>
      </c>
      <c r="I135">
        <v>1.0248</v>
      </c>
      <c r="J135">
        <v>1.01564</v>
      </c>
      <c r="K135">
        <v>1.02066</v>
      </c>
      <c r="L135">
        <v>0.98028</v>
      </c>
      <c r="M135">
        <v>0.90278</v>
      </c>
      <c r="N135">
        <v>0.98659</v>
      </c>
      <c r="O135">
        <v>1</v>
      </c>
      <c r="P135">
        <v>0.99235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68.625</v>
      </c>
      <c r="W135">
        <v>34.78</v>
      </c>
      <c r="X135">
        <v>59.19</v>
      </c>
      <c r="Y135">
        <v>13.732</v>
      </c>
      <c r="Z135">
        <v>31.51</v>
      </c>
      <c r="AA135">
        <v>207.837</v>
      </c>
      <c r="AB135">
        <v>1.06629</v>
      </c>
      <c r="AC135">
        <v>208</v>
      </c>
      <c r="AD135">
        <v>0</v>
      </c>
      <c r="AG135">
        <v>62</v>
      </c>
      <c r="AH135">
        <v>36</v>
      </c>
      <c r="AI135">
        <v>55</v>
      </c>
      <c r="AJ135">
        <v>15</v>
      </c>
      <c r="AK135">
        <v>40</v>
      </c>
    </row>
    <row r="136" spans="1:37">
      <c r="A136" t="s">
        <v>646</v>
      </c>
      <c r="B136" t="s">
        <v>1751</v>
      </c>
      <c r="C136">
        <v>30.2</v>
      </c>
      <c r="D136" t="s">
        <v>82</v>
      </c>
      <c r="E136">
        <v>18</v>
      </c>
      <c r="F136">
        <v>0</v>
      </c>
      <c r="G136">
        <v>0</v>
      </c>
      <c r="I136">
        <v>1.02499</v>
      </c>
      <c r="J136">
        <v>1.00818</v>
      </c>
      <c r="K136">
        <v>1.02066</v>
      </c>
      <c r="L136">
        <v>0.98014</v>
      </c>
      <c r="M136">
        <v>0.8757</v>
      </c>
      <c r="N136">
        <v>0.99602</v>
      </c>
      <c r="O136">
        <v>1</v>
      </c>
      <c r="P136">
        <v>0.98968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64.80500000000001</v>
      </c>
      <c r="W136">
        <v>34.46</v>
      </c>
      <c r="X136">
        <v>59.225</v>
      </c>
      <c r="Y136">
        <v>12.766</v>
      </c>
      <c r="Z136">
        <v>30.553</v>
      </c>
      <c r="AA136">
        <v>201.808</v>
      </c>
      <c r="AB136">
        <v>1.0173</v>
      </c>
      <c r="AC136">
        <v>217</v>
      </c>
      <c r="AD136">
        <v>0</v>
      </c>
      <c r="AG136">
        <v>56</v>
      </c>
      <c r="AH136">
        <v>34</v>
      </c>
      <c r="AI136">
        <v>73</v>
      </c>
      <c r="AJ136">
        <v>17</v>
      </c>
      <c r="AK136">
        <v>37</v>
      </c>
    </row>
    <row r="137" spans="1:37">
      <c r="A137" t="s">
        <v>647</v>
      </c>
      <c r="B137" t="s">
        <v>1751</v>
      </c>
      <c r="C137">
        <v>31.2</v>
      </c>
      <c r="D137" t="s">
        <v>82</v>
      </c>
      <c r="E137">
        <v>19</v>
      </c>
      <c r="F137">
        <v>0</v>
      </c>
      <c r="G137">
        <v>0</v>
      </c>
      <c r="I137">
        <v>1.02517</v>
      </c>
      <c r="J137">
        <v>1.00091</v>
      </c>
      <c r="K137">
        <v>1.02066</v>
      </c>
      <c r="L137">
        <v>0.98004</v>
      </c>
      <c r="M137">
        <v>0.91375</v>
      </c>
      <c r="N137">
        <v>1.0009</v>
      </c>
      <c r="O137">
        <v>1</v>
      </c>
      <c r="P137">
        <v>0.98683</v>
      </c>
      <c r="Q137">
        <v>1</v>
      </c>
      <c r="R137">
        <v>1</v>
      </c>
      <c r="S137">
        <v>1</v>
      </c>
      <c r="T137">
        <v>1</v>
      </c>
      <c r="U137">
        <v>0.77549</v>
      </c>
      <c r="V137">
        <v>51.416</v>
      </c>
      <c r="W137">
        <v>22.197</v>
      </c>
      <c r="X137">
        <v>36.427</v>
      </c>
      <c r="Y137">
        <v>7.446</v>
      </c>
      <c r="Z137">
        <v>40.69</v>
      </c>
      <c r="AA137">
        <v>158.176</v>
      </c>
      <c r="AB137">
        <v>1.00808</v>
      </c>
      <c r="AC137">
        <v>164</v>
      </c>
      <c r="AD137">
        <v>0</v>
      </c>
      <c r="AE137" t="s">
        <v>313</v>
      </c>
      <c r="AG137">
        <v>49</v>
      </c>
      <c r="AH137">
        <v>21</v>
      </c>
      <c r="AI137">
        <v>40</v>
      </c>
      <c r="AJ137">
        <v>6</v>
      </c>
      <c r="AK137">
        <v>48</v>
      </c>
    </row>
    <row r="138" spans="1:37">
      <c r="A138" t="s">
        <v>648</v>
      </c>
      <c r="B138" t="s">
        <v>1751</v>
      </c>
      <c r="C138">
        <v>31.6</v>
      </c>
      <c r="D138" t="s">
        <v>82</v>
      </c>
      <c r="E138">
        <v>20</v>
      </c>
      <c r="F138">
        <v>0</v>
      </c>
      <c r="G138">
        <v>0</v>
      </c>
      <c r="I138">
        <v>1.02536</v>
      </c>
      <c r="J138">
        <v>0.98598</v>
      </c>
      <c r="K138">
        <v>1.02066</v>
      </c>
      <c r="L138">
        <v>0.98</v>
      </c>
      <c r="M138">
        <v>0.9367799999999999</v>
      </c>
      <c r="N138">
        <v>0.98484</v>
      </c>
      <c r="O138">
        <v>1</v>
      </c>
      <c r="P138">
        <v>0.98389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61.983</v>
      </c>
      <c r="W138">
        <v>31.902</v>
      </c>
      <c r="X138">
        <v>65.97499999999999</v>
      </c>
      <c r="Y138">
        <v>15.403</v>
      </c>
      <c r="Z138">
        <v>32.557</v>
      </c>
      <c r="AA138">
        <v>207.819</v>
      </c>
      <c r="AB138">
        <v>0.92214</v>
      </c>
      <c r="AC138">
        <v>154</v>
      </c>
      <c r="AD138">
        <v>0</v>
      </c>
      <c r="AG138">
        <v>44</v>
      </c>
      <c r="AH138">
        <v>21</v>
      </c>
      <c r="AI138">
        <v>59</v>
      </c>
      <c r="AJ138">
        <v>11</v>
      </c>
      <c r="AK138">
        <v>19</v>
      </c>
    </row>
    <row r="139" spans="1:37">
      <c r="A139" t="s">
        <v>649</v>
      </c>
      <c r="B139" t="s">
        <v>1752</v>
      </c>
      <c r="C139">
        <v>32</v>
      </c>
      <c r="D139" t="s">
        <v>82</v>
      </c>
      <c r="E139">
        <v>21</v>
      </c>
      <c r="F139">
        <v>0</v>
      </c>
      <c r="G139">
        <v>0</v>
      </c>
      <c r="I139">
        <v>1.02555</v>
      </c>
      <c r="J139">
        <v>0.9867899999999999</v>
      </c>
      <c r="K139">
        <v>1.02066</v>
      </c>
      <c r="L139">
        <v>0.97999</v>
      </c>
      <c r="M139">
        <v>1.12914</v>
      </c>
      <c r="N139">
        <v>0.9740799999999999</v>
      </c>
      <c r="O139">
        <v>1</v>
      </c>
      <c r="P139">
        <v>0.9794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58.178</v>
      </c>
      <c r="W139">
        <v>26.84</v>
      </c>
      <c r="X139">
        <v>99.514</v>
      </c>
      <c r="Y139">
        <v>26.167</v>
      </c>
      <c r="Z139">
        <v>38.688</v>
      </c>
      <c r="AA139">
        <v>249.387</v>
      </c>
      <c r="AB139">
        <v>1.0571</v>
      </c>
      <c r="AC139">
        <v>281</v>
      </c>
      <c r="AD139">
        <v>0</v>
      </c>
      <c r="AG139">
        <v>69</v>
      </c>
      <c r="AH139">
        <v>29</v>
      </c>
      <c r="AI139">
        <v>113</v>
      </c>
      <c r="AJ139">
        <v>32</v>
      </c>
      <c r="AK139">
        <v>38</v>
      </c>
    </row>
    <row r="140" spans="1:37">
      <c r="A140" t="s">
        <v>650</v>
      </c>
      <c r="B140" t="s">
        <v>1753</v>
      </c>
      <c r="C140">
        <v>32.3</v>
      </c>
      <c r="D140" t="s">
        <v>82</v>
      </c>
      <c r="E140">
        <v>22</v>
      </c>
      <c r="F140">
        <v>0</v>
      </c>
      <c r="G140">
        <v>0</v>
      </c>
      <c r="I140">
        <v>1.02573</v>
      </c>
      <c r="J140">
        <v>0.98107</v>
      </c>
      <c r="K140">
        <v>1.02066</v>
      </c>
      <c r="L140">
        <v>0.97992</v>
      </c>
      <c r="M140">
        <v>0.91182</v>
      </c>
      <c r="N140">
        <v>0.96606</v>
      </c>
      <c r="O140">
        <v>1</v>
      </c>
      <c r="P140">
        <v>0.97231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13.817</v>
      </c>
      <c r="W140">
        <v>11.654</v>
      </c>
      <c r="X140">
        <v>91.181</v>
      </c>
      <c r="Y140">
        <v>40.855</v>
      </c>
      <c r="Z140">
        <v>41.814</v>
      </c>
      <c r="AA140">
        <v>199.32</v>
      </c>
      <c r="AB140">
        <v>1.02456</v>
      </c>
      <c r="AC140">
        <v>206</v>
      </c>
      <c r="AD140">
        <v>0</v>
      </c>
      <c r="AG140">
        <v>15</v>
      </c>
      <c r="AH140">
        <v>16</v>
      </c>
      <c r="AI140">
        <v>88</v>
      </c>
      <c r="AJ140">
        <v>43</v>
      </c>
      <c r="AK140">
        <v>44</v>
      </c>
    </row>
    <row r="141" spans="1:37">
      <c r="A141" t="s">
        <v>651</v>
      </c>
      <c r="B141" t="s">
        <v>1754</v>
      </c>
      <c r="C141">
        <v>32.8</v>
      </c>
      <c r="D141" t="s">
        <v>82</v>
      </c>
      <c r="E141">
        <v>23</v>
      </c>
      <c r="F141">
        <v>0</v>
      </c>
      <c r="G141">
        <v>0</v>
      </c>
      <c r="I141">
        <v>1.02592</v>
      </c>
      <c r="J141">
        <v>0.98761</v>
      </c>
      <c r="K141">
        <v>1.02066</v>
      </c>
      <c r="L141">
        <v>0.9798</v>
      </c>
      <c r="M141">
        <v>0.84928</v>
      </c>
      <c r="N141">
        <v>0.9654199999999999</v>
      </c>
      <c r="O141">
        <v>1</v>
      </c>
      <c r="P141">
        <v>0.97027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18.947</v>
      </c>
      <c r="W141">
        <v>18.401</v>
      </c>
      <c r="X141">
        <v>77.10599999999999</v>
      </c>
      <c r="Y141">
        <v>34.262</v>
      </c>
      <c r="Z141">
        <v>37.137</v>
      </c>
      <c r="AA141">
        <v>185.853</v>
      </c>
      <c r="AB141">
        <v>1.08679</v>
      </c>
      <c r="AC141">
        <v>180</v>
      </c>
      <c r="AD141">
        <v>0</v>
      </c>
      <c r="AG141">
        <v>17</v>
      </c>
      <c r="AH141">
        <v>23</v>
      </c>
      <c r="AI141">
        <v>77</v>
      </c>
      <c r="AJ141">
        <v>34</v>
      </c>
      <c r="AK141">
        <v>29</v>
      </c>
    </row>
    <row r="142" spans="1:37">
      <c r="A142" t="s">
        <v>385</v>
      </c>
      <c r="B142" t="s">
        <v>1751</v>
      </c>
      <c r="C142">
        <v>32.4</v>
      </c>
      <c r="D142" t="s">
        <v>82</v>
      </c>
      <c r="E142">
        <v>24</v>
      </c>
      <c r="F142">
        <v>0</v>
      </c>
      <c r="G142">
        <v>0</v>
      </c>
      <c r="I142">
        <v>1.02611</v>
      </c>
      <c r="J142">
        <v>0.9783500000000001</v>
      </c>
      <c r="K142">
        <v>1.02066</v>
      </c>
      <c r="L142">
        <v>0.97963</v>
      </c>
      <c r="M142">
        <v>0.90449</v>
      </c>
      <c r="N142">
        <v>0.98312</v>
      </c>
      <c r="O142">
        <v>1</v>
      </c>
      <c r="P142">
        <v>0.97431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65.616</v>
      </c>
      <c r="W142">
        <v>33.079</v>
      </c>
      <c r="X142">
        <v>54.69</v>
      </c>
      <c r="Y142">
        <v>12.748</v>
      </c>
      <c r="Z142">
        <v>29.83</v>
      </c>
      <c r="AA142">
        <v>195.964</v>
      </c>
      <c r="AB142">
        <v>1.00244</v>
      </c>
      <c r="AC142">
        <v>196</v>
      </c>
      <c r="AD142">
        <v>0</v>
      </c>
      <c r="AG142">
        <v>55</v>
      </c>
      <c r="AH142">
        <v>38</v>
      </c>
      <c r="AI142">
        <v>66</v>
      </c>
      <c r="AJ142">
        <v>12</v>
      </c>
      <c r="AK142">
        <v>25</v>
      </c>
    </row>
    <row r="143" spans="1:37">
      <c r="A143" t="s">
        <v>652</v>
      </c>
      <c r="B143" t="s">
        <v>1751</v>
      </c>
      <c r="C143">
        <v>33.1</v>
      </c>
      <c r="D143" t="s">
        <v>82</v>
      </c>
      <c r="E143">
        <v>25</v>
      </c>
      <c r="F143">
        <v>0</v>
      </c>
      <c r="G143">
        <v>0</v>
      </c>
      <c r="I143">
        <v>1.02629</v>
      </c>
      <c r="J143">
        <v>0.98525</v>
      </c>
      <c r="K143">
        <v>1.02066</v>
      </c>
      <c r="L143">
        <v>0.97941</v>
      </c>
      <c r="M143">
        <v>0.8798</v>
      </c>
      <c r="N143">
        <v>0.98061</v>
      </c>
      <c r="O143">
        <v>1</v>
      </c>
      <c r="P143">
        <v>0.97168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62.857</v>
      </c>
      <c r="W143">
        <v>33.248</v>
      </c>
      <c r="X143">
        <v>52.788</v>
      </c>
      <c r="Y143">
        <v>11.612</v>
      </c>
      <c r="Z143">
        <v>30.192</v>
      </c>
      <c r="AA143">
        <v>190.695</v>
      </c>
      <c r="AB143">
        <v>0.93179</v>
      </c>
      <c r="AC143">
        <v>184</v>
      </c>
      <c r="AD143">
        <v>0</v>
      </c>
      <c r="AG143">
        <v>68</v>
      </c>
      <c r="AH143">
        <v>30</v>
      </c>
      <c r="AI143">
        <v>49</v>
      </c>
      <c r="AJ143">
        <v>12</v>
      </c>
      <c r="AK143">
        <v>25</v>
      </c>
    </row>
    <row r="144" spans="1:37">
      <c r="A144" t="s">
        <v>653</v>
      </c>
      <c r="B144" t="s">
        <v>1751</v>
      </c>
      <c r="C144">
        <v>31.8</v>
      </c>
      <c r="D144" t="s">
        <v>82</v>
      </c>
      <c r="E144">
        <v>26</v>
      </c>
      <c r="F144">
        <v>0</v>
      </c>
      <c r="G144">
        <v>0</v>
      </c>
      <c r="I144">
        <v>1.02648</v>
      </c>
      <c r="J144">
        <v>0.97955</v>
      </c>
      <c r="K144">
        <v>1.02066</v>
      </c>
      <c r="L144">
        <v>0.97915</v>
      </c>
      <c r="M144">
        <v>0.90208</v>
      </c>
      <c r="N144">
        <v>0.98551</v>
      </c>
      <c r="O144">
        <v>1</v>
      </c>
      <c r="P144">
        <v>0.96865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62.414</v>
      </c>
      <c r="W144">
        <v>32.989</v>
      </c>
      <c r="X144">
        <v>57.04</v>
      </c>
      <c r="Y144">
        <v>12.774</v>
      </c>
      <c r="Z144">
        <v>30.055</v>
      </c>
      <c r="AA144">
        <v>195.272</v>
      </c>
      <c r="AB144">
        <v>1.04422</v>
      </c>
      <c r="AC144">
        <v>229</v>
      </c>
      <c r="AD144">
        <v>0</v>
      </c>
      <c r="AG144">
        <v>70</v>
      </c>
      <c r="AH144">
        <v>43</v>
      </c>
      <c r="AI144">
        <v>60</v>
      </c>
      <c r="AJ144">
        <v>14</v>
      </c>
      <c r="AK144">
        <v>42</v>
      </c>
    </row>
    <row r="145" spans="1:37">
      <c r="A145" t="s">
        <v>654</v>
      </c>
      <c r="B145" t="s">
        <v>1751</v>
      </c>
      <c r="C145">
        <v>33.1</v>
      </c>
      <c r="D145" t="s">
        <v>82</v>
      </c>
      <c r="E145">
        <v>27</v>
      </c>
      <c r="F145">
        <v>0</v>
      </c>
      <c r="G145">
        <v>0</v>
      </c>
      <c r="I145">
        <v>1.02667</v>
      </c>
      <c r="J145">
        <v>0.9725200000000001</v>
      </c>
      <c r="K145">
        <v>1.02066</v>
      </c>
      <c r="L145">
        <v>0.97884</v>
      </c>
      <c r="M145">
        <v>0.93748</v>
      </c>
      <c r="N145">
        <v>0.97673</v>
      </c>
      <c r="O145">
        <v>1</v>
      </c>
      <c r="P145">
        <v>0.96785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60.716</v>
      </c>
      <c r="W145">
        <v>31.11</v>
      </c>
      <c r="X145">
        <v>61.615</v>
      </c>
      <c r="Y145">
        <v>14.526</v>
      </c>
      <c r="Z145">
        <v>31.986</v>
      </c>
      <c r="AA145">
        <v>199.953</v>
      </c>
      <c r="AB145">
        <v>0.99475</v>
      </c>
      <c r="AC145">
        <v>178</v>
      </c>
      <c r="AD145">
        <v>0</v>
      </c>
      <c r="AG145">
        <v>63</v>
      </c>
      <c r="AH145">
        <v>29</v>
      </c>
      <c r="AI145">
        <v>48</v>
      </c>
      <c r="AJ145">
        <v>13</v>
      </c>
      <c r="AK145">
        <v>25</v>
      </c>
    </row>
    <row r="146" spans="1:37">
      <c r="A146" t="s">
        <v>655</v>
      </c>
      <c r="B146" t="s">
        <v>1752</v>
      </c>
      <c r="C146">
        <v>35.7</v>
      </c>
      <c r="D146" t="s">
        <v>82</v>
      </c>
      <c r="E146">
        <v>0</v>
      </c>
      <c r="F146">
        <v>0</v>
      </c>
      <c r="G146">
        <v>0</v>
      </c>
      <c r="I146">
        <v>1.02685</v>
      </c>
      <c r="J146">
        <v>0.98217</v>
      </c>
      <c r="K146">
        <v>1.02066</v>
      </c>
      <c r="L146">
        <v>0.97849</v>
      </c>
      <c r="M146">
        <v>1.13043</v>
      </c>
      <c r="N146">
        <v>0.95326</v>
      </c>
      <c r="O146">
        <v>1</v>
      </c>
      <c r="P146">
        <v>1.07029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59.915</v>
      </c>
      <c r="W146">
        <v>28.28</v>
      </c>
      <c r="X146">
        <v>104.34</v>
      </c>
      <c r="Y146">
        <v>27.966</v>
      </c>
      <c r="Z146">
        <v>45.151</v>
      </c>
      <c r="AA146">
        <v>265.652</v>
      </c>
      <c r="AB146">
        <v>0.98777</v>
      </c>
      <c r="AC146">
        <v>296</v>
      </c>
      <c r="AD146">
        <v>0</v>
      </c>
      <c r="AG146">
        <v>77</v>
      </c>
      <c r="AH146">
        <v>36</v>
      </c>
      <c r="AI146">
        <v>105</v>
      </c>
      <c r="AJ146">
        <v>25</v>
      </c>
      <c r="AK146">
        <v>53</v>
      </c>
    </row>
    <row r="147" spans="1:37">
      <c r="A147" t="s">
        <v>656</v>
      </c>
      <c r="B147" t="s">
        <v>1753</v>
      </c>
      <c r="C147">
        <v>34.9</v>
      </c>
      <c r="D147" t="s">
        <v>82</v>
      </c>
      <c r="E147">
        <v>1</v>
      </c>
      <c r="F147">
        <v>0</v>
      </c>
      <c r="G147">
        <v>0</v>
      </c>
      <c r="I147">
        <v>1.02704</v>
      </c>
      <c r="J147">
        <v>0.96453</v>
      </c>
      <c r="K147">
        <v>1.02066</v>
      </c>
      <c r="L147">
        <v>0.9781</v>
      </c>
      <c r="M147">
        <v>0.92074</v>
      </c>
      <c r="N147">
        <v>0.94726</v>
      </c>
      <c r="O147">
        <v>1</v>
      </c>
      <c r="P147">
        <v>1.05563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13.944</v>
      </c>
      <c r="W147">
        <v>11.975</v>
      </c>
      <c r="X147">
        <v>93.664</v>
      </c>
      <c r="Y147">
        <v>42.561</v>
      </c>
      <c r="Z147">
        <v>46.412</v>
      </c>
      <c r="AA147">
        <v>208.557</v>
      </c>
      <c r="AB147">
        <v>1.01324</v>
      </c>
      <c r="AC147">
        <v>203</v>
      </c>
      <c r="AD147">
        <v>0</v>
      </c>
      <c r="AG147">
        <v>15</v>
      </c>
      <c r="AH147">
        <v>10</v>
      </c>
      <c r="AI147">
        <v>92</v>
      </c>
      <c r="AJ147">
        <v>49</v>
      </c>
      <c r="AK147">
        <v>37</v>
      </c>
    </row>
    <row r="148" spans="1:37">
      <c r="A148" t="s">
        <v>657</v>
      </c>
      <c r="B148" t="s">
        <v>1754</v>
      </c>
      <c r="C148">
        <v>35.7</v>
      </c>
      <c r="D148" t="s">
        <v>82</v>
      </c>
      <c r="E148">
        <v>2</v>
      </c>
      <c r="F148">
        <v>0</v>
      </c>
      <c r="G148">
        <v>0</v>
      </c>
      <c r="I148">
        <v>1.02723</v>
      </c>
      <c r="J148">
        <v>0.9636</v>
      </c>
      <c r="K148">
        <v>1.02066</v>
      </c>
      <c r="L148">
        <v>0.97768</v>
      </c>
      <c r="M148">
        <v>0.85442</v>
      </c>
      <c r="N148">
        <v>0.9496</v>
      </c>
      <c r="O148">
        <v>1</v>
      </c>
      <c r="P148">
        <v>1.03556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18.88</v>
      </c>
      <c r="W148">
        <v>18.614</v>
      </c>
      <c r="X148">
        <v>77.45</v>
      </c>
      <c r="Y148">
        <v>34.897</v>
      </c>
      <c r="Z148">
        <v>40.427</v>
      </c>
      <c r="AA148">
        <v>190.267</v>
      </c>
      <c r="AB148">
        <v>1.07819</v>
      </c>
      <c r="AC148">
        <v>195</v>
      </c>
      <c r="AD148">
        <v>0</v>
      </c>
      <c r="AG148">
        <v>25</v>
      </c>
      <c r="AH148">
        <v>17</v>
      </c>
      <c r="AI148">
        <v>70</v>
      </c>
      <c r="AJ148">
        <v>40</v>
      </c>
      <c r="AK148">
        <v>43</v>
      </c>
    </row>
    <row r="149" spans="1:37">
      <c r="A149" t="s">
        <v>386</v>
      </c>
      <c r="B149" t="s">
        <v>1751</v>
      </c>
      <c r="C149">
        <v>35.2</v>
      </c>
      <c r="D149" t="s">
        <v>82</v>
      </c>
      <c r="E149">
        <v>3</v>
      </c>
      <c r="F149">
        <v>0</v>
      </c>
      <c r="G149">
        <v>0</v>
      </c>
      <c r="I149">
        <v>1.02741</v>
      </c>
      <c r="J149">
        <v>0.96771</v>
      </c>
      <c r="K149">
        <v>1.02066</v>
      </c>
      <c r="L149">
        <v>0.97723</v>
      </c>
      <c r="M149">
        <v>0.90422</v>
      </c>
      <c r="N149">
        <v>0.97343</v>
      </c>
      <c r="O149">
        <v>1</v>
      </c>
      <c r="P149">
        <v>1.0185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66.074</v>
      </c>
      <c r="W149">
        <v>33.756</v>
      </c>
      <c r="X149">
        <v>55.044</v>
      </c>
      <c r="Y149">
        <v>13.019</v>
      </c>
      <c r="Z149">
        <v>32.58</v>
      </c>
      <c r="AA149">
        <v>200.474</v>
      </c>
      <c r="AB149">
        <v>1.0229</v>
      </c>
      <c r="AC149">
        <v>201</v>
      </c>
      <c r="AD149">
        <v>0</v>
      </c>
      <c r="AG149">
        <v>52</v>
      </c>
      <c r="AH149">
        <v>31</v>
      </c>
      <c r="AI149">
        <v>66</v>
      </c>
      <c r="AJ149">
        <v>12</v>
      </c>
      <c r="AK149">
        <v>40</v>
      </c>
    </row>
    <row r="150" spans="1:37">
      <c r="A150" t="s">
        <v>658</v>
      </c>
      <c r="B150" t="s">
        <v>1751</v>
      </c>
      <c r="C150">
        <v>35.3</v>
      </c>
      <c r="D150" t="s">
        <v>82</v>
      </c>
      <c r="E150">
        <v>4</v>
      </c>
      <c r="F150">
        <v>0</v>
      </c>
      <c r="G150">
        <v>0</v>
      </c>
      <c r="I150">
        <v>1.0276</v>
      </c>
      <c r="J150">
        <v>0.97246</v>
      </c>
      <c r="K150">
        <v>1.02066</v>
      </c>
      <c r="L150">
        <v>0.97676</v>
      </c>
      <c r="M150">
        <v>0.87943</v>
      </c>
      <c r="N150">
        <v>0.97393</v>
      </c>
      <c r="O150">
        <v>1</v>
      </c>
      <c r="P150">
        <v>1.01244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63.044</v>
      </c>
      <c r="W150">
        <v>33.763</v>
      </c>
      <c r="X150">
        <v>53.41</v>
      </c>
      <c r="Y150">
        <v>11.873</v>
      </c>
      <c r="Z150">
        <v>32.486</v>
      </c>
      <c r="AA150">
        <v>194.575</v>
      </c>
      <c r="AB150">
        <v>0.95725</v>
      </c>
      <c r="AC150">
        <v>186</v>
      </c>
      <c r="AD150">
        <v>1</v>
      </c>
      <c r="AG150">
        <v>62</v>
      </c>
      <c r="AH150">
        <v>36</v>
      </c>
      <c r="AI150">
        <v>54</v>
      </c>
      <c r="AJ150">
        <v>7</v>
      </c>
      <c r="AK150">
        <v>27</v>
      </c>
    </row>
    <row r="151" spans="1:37">
      <c r="A151" t="s">
        <v>659</v>
      </c>
      <c r="B151" t="s">
        <v>1751</v>
      </c>
      <c r="C151">
        <v>35.7</v>
      </c>
      <c r="D151" t="s">
        <v>82</v>
      </c>
      <c r="E151">
        <v>5</v>
      </c>
      <c r="F151">
        <v>0</v>
      </c>
      <c r="G151">
        <v>0</v>
      </c>
      <c r="I151">
        <v>1.02779</v>
      </c>
      <c r="J151">
        <v>0.9691</v>
      </c>
      <c r="K151">
        <v>1.02066</v>
      </c>
      <c r="L151">
        <v>0.97627</v>
      </c>
      <c r="M151">
        <v>0.903</v>
      </c>
      <c r="N151">
        <v>0.97153</v>
      </c>
      <c r="O151">
        <v>1</v>
      </c>
      <c r="P151">
        <v>1.00843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62.687</v>
      </c>
      <c r="W151">
        <v>33.535</v>
      </c>
      <c r="X151">
        <v>55.94</v>
      </c>
      <c r="Y151">
        <v>12.786</v>
      </c>
      <c r="Z151">
        <v>33.051</v>
      </c>
      <c r="AA151">
        <v>198</v>
      </c>
      <c r="AB151">
        <v>1.09576</v>
      </c>
      <c r="AC151">
        <v>209</v>
      </c>
      <c r="AD151">
        <v>0</v>
      </c>
      <c r="AG151">
        <v>67</v>
      </c>
      <c r="AH151">
        <v>34</v>
      </c>
      <c r="AI151">
        <v>55</v>
      </c>
      <c r="AJ151">
        <v>13</v>
      </c>
      <c r="AK151">
        <v>40</v>
      </c>
    </row>
    <row r="152" spans="1:37">
      <c r="A152" t="s">
        <v>660</v>
      </c>
      <c r="B152" t="s">
        <v>1751</v>
      </c>
      <c r="C152">
        <v>35.9</v>
      </c>
      <c r="D152" t="s">
        <v>82</v>
      </c>
      <c r="E152">
        <v>6</v>
      </c>
      <c r="F152">
        <v>0</v>
      </c>
      <c r="G152">
        <v>0</v>
      </c>
      <c r="I152">
        <v>1.02797</v>
      </c>
      <c r="J152">
        <v>0.96052</v>
      </c>
      <c r="K152">
        <v>1.02066</v>
      </c>
      <c r="L152">
        <v>0.97576</v>
      </c>
      <c r="M152">
        <v>0.93763</v>
      </c>
      <c r="N152">
        <v>0.96767</v>
      </c>
      <c r="O152">
        <v>1</v>
      </c>
      <c r="P152">
        <v>1.00581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60.788</v>
      </c>
      <c r="W152">
        <v>31.503</v>
      </c>
      <c r="X152">
        <v>61.562</v>
      </c>
      <c r="Y152">
        <v>14.698</v>
      </c>
      <c r="Z152">
        <v>34.475</v>
      </c>
      <c r="AA152">
        <v>203.025</v>
      </c>
      <c r="AB152">
        <v>0.93002</v>
      </c>
      <c r="AC152">
        <v>193</v>
      </c>
      <c r="AD152">
        <v>0</v>
      </c>
      <c r="AG152">
        <v>58</v>
      </c>
      <c r="AH152">
        <v>23</v>
      </c>
      <c r="AI152">
        <v>73</v>
      </c>
      <c r="AJ152">
        <v>14</v>
      </c>
      <c r="AK152">
        <v>25</v>
      </c>
    </row>
    <row r="153" spans="1:37">
      <c r="A153" t="s">
        <v>661</v>
      </c>
      <c r="B153" t="s">
        <v>1752</v>
      </c>
      <c r="C153">
        <v>36.2</v>
      </c>
      <c r="D153" t="s">
        <v>82</v>
      </c>
      <c r="E153">
        <v>7</v>
      </c>
      <c r="F153">
        <v>0</v>
      </c>
      <c r="G153">
        <v>0</v>
      </c>
      <c r="I153">
        <v>1.02816</v>
      </c>
      <c r="J153">
        <v>0.95536</v>
      </c>
      <c r="K153">
        <v>0.95396</v>
      </c>
      <c r="L153">
        <v>0.97525</v>
      </c>
      <c r="M153">
        <v>1.12467</v>
      </c>
      <c r="N153">
        <v>0.95225</v>
      </c>
      <c r="O153">
        <v>1</v>
      </c>
      <c r="P153">
        <v>1.00427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52.981</v>
      </c>
      <c r="W153">
        <v>24.62</v>
      </c>
      <c r="X153">
        <v>86.816</v>
      </c>
      <c r="Y153">
        <v>23.3</v>
      </c>
      <c r="Z153">
        <v>38.021</v>
      </c>
      <c r="AA153">
        <v>225.738</v>
      </c>
      <c r="AB153">
        <v>1.07345</v>
      </c>
      <c r="AC153">
        <v>246</v>
      </c>
      <c r="AD153">
        <v>0</v>
      </c>
      <c r="AG153">
        <v>43</v>
      </c>
      <c r="AH153">
        <v>23</v>
      </c>
      <c r="AI153">
        <v>99</v>
      </c>
      <c r="AJ153">
        <v>28</v>
      </c>
      <c r="AK153">
        <v>53</v>
      </c>
    </row>
    <row r="154" spans="1:37">
      <c r="A154" t="s">
        <v>662</v>
      </c>
      <c r="B154" t="s">
        <v>1753</v>
      </c>
      <c r="C154">
        <v>34.6</v>
      </c>
      <c r="D154" t="s">
        <v>82</v>
      </c>
      <c r="E154">
        <v>8</v>
      </c>
      <c r="F154">
        <v>0</v>
      </c>
      <c r="G154">
        <v>0</v>
      </c>
      <c r="I154">
        <v>1.02835</v>
      </c>
      <c r="J154">
        <v>0.94936</v>
      </c>
      <c r="K154">
        <v>0.95396</v>
      </c>
      <c r="L154">
        <v>0.97473</v>
      </c>
      <c r="M154">
        <v>0.91142</v>
      </c>
      <c r="N154">
        <v>0.94822</v>
      </c>
      <c r="O154">
        <v>1</v>
      </c>
      <c r="P154">
        <v>1.00338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12.576</v>
      </c>
      <c r="W154">
        <v>10.69</v>
      </c>
      <c r="X154">
        <v>81.637</v>
      </c>
      <c r="Y154">
        <v>37.032</v>
      </c>
      <c r="Z154">
        <v>40.177</v>
      </c>
      <c r="AA154">
        <v>182.112</v>
      </c>
      <c r="AB154">
        <v>0.8984799999999999</v>
      </c>
      <c r="AC154">
        <v>171</v>
      </c>
      <c r="AD154">
        <v>0</v>
      </c>
      <c r="AG154">
        <v>9</v>
      </c>
      <c r="AH154">
        <v>9</v>
      </c>
      <c r="AI154">
        <v>77</v>
      </c>
      <c r="AJ154">
        <v>33</v>
      </c>
      <c r="AK154">
        <v>43</v>
      </c>
    </row>
    <row r="155" spans="1:37">
      <c r="A155" t="s">
        <v>663</v>
      </c>
      <c r="B155" t="s">
        <v>1754</v>
      </c>
      <c r="C155">
        <v>35.6</v>
      </c>
      <c r="D155" t="s">
        <v>82</v>
      </c>
      <c r="E155">
        <v>9</v>
      </c>
      <c r="F155">
        <v>0</v>
      </c>
      <c r="G155">
        <v>0</v>
      </c>
      <c r="I155">
        <v>1.02853</v>
      </c>
      <c r="J155">
        <v>0.95412</v>
      </c>
      <c r="K155">
        <v>0.95396</v>
      </c>
      <c r="L155">
        <v>0.97422</v>
      </c>
      <c r="M155">
        <v>0.84954</v>
      </c>
      <c r="N155">
        <v>0.94931</v>
      </c>
      <c r="O155">
        <v>1</v>
      </c>
      <c r="P155">
        <v>1.00216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17.22</v>
      </c>
      <c r="W155">
        <v>16.867</v>
      </c>
      <c r="X155">
        <v>68.90000000000001</v>
      </c>
      <c r="Y155">
        <v>31.019</v>
      </c>
      <c r="Z155">
        <v>35.921</v>
      </c>
      <c r="AA155">
        <v>169.927</v>
      </c>
      <c r="AB155">
        <v>1.02675</v>
      </c>
      <c r="AC155">
        <v>173</v>
      </c>
      <c r="AD155">
        <v>0</v>
      </c>
      <c r="AG155">
        <v>8</v>
      </c>
      <c r="AH155">
        <v>23</v>
      </c>
      <c r="AI155">
        <v>77</v>
      </c>
      <c r="AJ155">
        <v>28</v>
      </c>
      <c r="AK155">
        <v>37</v>
      </c>
    </row>
    <row r="156" spans="1:37">
      <c r="A156" t="s">
        <v>387</v>
      </c>
      <c r="B156" t="s">
        <v>1751</v>
      </c>
      <c r="C156">
        <v>35.8</v>
      </c>
      <c r="D156" t="s">
        <v>82</v>
      </c>
      <c r="E156">
        <v>10</v>
      </c>
      <c r="F156">
        <v>0</v>
      </c>
      <c r="G156">
        <v>0</v>
      </c>
      <c r="I156">
        <v>1.02872</v>
      </c>
      <c r="J156">
        <v>0.96044</v>
      </c>
      <c r="K156">
        <v>0.95396</v>
      </c>
      <c r="L156">
        <v>0.97371</v>
      </c>
      <c r="M156">
        <v>0.90547</v>
      </c>
      <c r="N156">
        <v>0.97188</v>
      </c>
      <c r="O156">
        <v>1</v>
      </c>
      <c r="P156">
        <v>1.00112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60.617</v>
      </c>
      <c r="W156">
        <v>30.848</v>
      </c>
      <c r="X156">
        <v>49.277</v>
      </c>
      <c r="Y156">
        <v>11.674</v>
      </c>
      <c r="Z156">
        <v>29.624</v>
      </c>
      <c r="AA156">
        <v>182.041</v>
      </c>
      <c r="AB156">
        <v>1.09791</v>
      </c>
      <c r="AC156">
        <v>185</v>
      </c>
      <c r="AD156">
        <v>1</v>
      </c>
      <c r="AG156">
        <v>60</v>
      </c>
      <c r="AH156">
        <v>35</v>
      </c>
      <c r="AI156">
        <v>43</v>
      </c>
      <c r="AJ156">
        <v>14</v>
      </c>
      <c r="AK156">
        <v>33</v>
      </c>
    </row>
    <row r="157" spans="1:37">
      <c r="A157" t="s">
        <v>664</v>
      </c>
      <c r="B157" t="s">
        <v>1751</v>
      </c>
      <c r="C157">
        <v>35.9</v>
      </c>
      <c r="D157" t="s">
        <v>82</v>
      </c>
      <c r="E157">
        <v>11</v>
      </c>
      <c r="F157">
        <v>0</v>
      </c>
      <c r="G157">
        <v>0</v>
      </c>
      <c r="I157">
        <v>1.02891</v>
      </c>
      <c r="J157">
        <v>0.96993</v>
      </c>
      <c r="K157">
        <v>0.95396</v>
      </c>
      <c r="L157">
        <v>0.97322</v>
      </c>
      <c r="M157">
        <v>0.8954</v>
      </c>
      <c r="N157">
        <v>0.99662</v>
      </c>
      <c r="O157">
        <v>1</v>
      </c>
      <c r="P157">
        <v>1.00077</v>
      </c>
      <c r="Q157">
        <v>1</v>
      </c>
      <c r="R157">
        <v>1</v>
      </c>
      <c r="S157">
        <v>1</v>
      </c>
      <c r="T157">
        <v>1</v>
      </c>
      <c r="U157">
        <v>0.78829</v>
      </c>
      <c r="V157">
        <v>46.604</v>
      </c>
      <c r="W157">
        <v>20.237</v>
      </c>
      <c r="X157">
        <v>29.065</v>
      </c>
      <c r="Y157">
        <v>5.932</v>
      </c>
      <c r="Z157">
        <v>38.905</v>
      </c>
      <c r="AA157">
        <v>140.743</v>
      </c>
      <c r="AB157">
        <v>1.00328</v>
      </c>
      <c r="AC157">
        <v>137</v>
      </c>
      <c r="AD157">
        <v>0</v>
      </c>
      <c r="AE157" t="s">
        <v>313</v>
      </c>
      <c r="AG157">
        <v>52</v>
      </c>
      <c r="AH157">
        <v>17</v>
      </c>
      <c r="AI157">
        <v>39</v>
      </c>
      <c r="AJ157">
        <v>4</v>
      </c>
      <c r="AK157">
        <v>25</v>
      </c>
    </row>
    <row r="158" spans="1:37">
      <c r="A158" t="s">
        <v>665</v>
      </c>
      <c r="B158" t="s">
        <v>1751</v>
      </c>
      <c r="C158">
        <v>34.6</v>
      </c>
      <c r="D158" t="s">
        <v>82</v>
      </c>
      <c r="E158">
        <v>12</v>
      </c>
      <c r="F158">
        <v>0</v>
      </c>
      <c r="G158">
        <v>0</v>
      </c>
      <c r="I158">
        <v>1.02909</v>
      </c>
      <c r="J158">
        <v>0.97274</v>
      </c>
      <c r="K158">
        <v>0.95396</v>
      </c>
      <c r="L158">
        <v>0.97275</v>
      </c>
      <c r="M158">
        <v>0.90284</v>
      </c>
      <c r="N158">
        <v>0.97258</v>
      </c>
      <c r="O158">
        <v>1</v>
      </c>
      <c r="P158">
        <v>1.00051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58.381</v>
      </c>
      <c r="W158">
        <v>31.21</v>
      </c>
      <c r="X158">
        <v>52.377</v>
      </c>
      <c r="Y158">
        <v>11.91</v>
      </c>
      <c r="Z158">
        <v>30.17</v>
      </c>
      <c r="AA158">
        <v>184.047</v>
      </c>
      <c r="AB158">
        <v>0.95929</v>
      </c>
      <c r="AC158">
        <v>183</v>
      </c>
      <c r="AD158">
        <v>0</v>
      </c>
      <c r="AG158">
        <v>65</v>
      </c>
      <c r="AH158">
        <v>22</v>
      </c>
      <c r="AI158">
        <v>46</v>
      </c>
      <c r="AJ158">
        <v>8</v>
      </c>
      <c r="AK158">
        <v>42</v>
      </c>
    </row>
    <row r="159" spans="1:37">
      <c r="A159" t="s">
        <v>666</v>
      </c>
      <c r="B159" t="s">
        <v>1751</v>
      </c>
      <c r="C159">
        <v>35</v>
      </c>
      <c r="D159" t="s">
        <v>82</v>
      </c>
      <c r="E159">
        <v>13</v>
      </c>
      <c r="F159">
        <v>0</v>
      </c>
      <c r="G159">
        <v>0</v>
      </c>
      <c r="I159">
        <v>1.02928</v>
      </c>
      <c r="J159">
        <v>0.9775</v>
      </c>
      <c r="K159">
        <v>0.95396</v>
      </c>
      <c r="L159">
        <v>0.9723000000000001</v>
      </c>
      <c r="M159">
        <v>0.93757</v>
      </c>
      <c r="N159">
        <v>0.96807</v>
      </c>
      <c r="O159">
        <v>1</v>
      </c>
      <c r="P159">
        <v>1.00035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57.45</v>
      </c>
      <c r="W159">
        <v>29.782</v>
      </c>
      <c r="X159">
        <v>58.454</v>
      </c>
      <c r="Y159">
        <v>13.896</v>
      </c>
      <c r="Z159">
        <v>32.109</v>
      </c>
      <c r="AA159">
        <v>191.691</v>
      </c>
      <c r="AB159">
        <v>0.98297</v>
      </c>
      <c r="AC159">
        <v>184</v>
      </c>
      <c r="AD159">
        <v>0</v>
      </c>
      <c r="AG159">
        <v>49</v>
      </c>
      <c r="AH159">
        <v>32</v>
      </c>
      <c r="AI159">
        <v>61</v>
      </c>
      <c r="AJ159">
        <v>17</v>
      </c>
      <c r="AK159">
        <v>25</v>
      </c>
    </row>
    <row r="160" spans="1:37">
      <c r="A160" t="s">
        <v>667</v>
      </c>
      <c r="B160" t="s">
        <v>1752</v>
      </c>
      <c r="C160">
        <v>35.9</v>
      </c>
      <c r="D160" t="s">
        <v>82</v>
      </c>
      <c r="E160">
        <v>14</v>
      </c>
      <c r="F160">
        <v>0</v>
      </c>
      <c r="G160">
        <v>0</v>
      </c>
      <c r="I160">
        <v>1.02947</v>
      </c>
      <c r="J160">
        <v>0.98204</v>
      </c>
      <c r="K160">
        <v>0.95396</v>
      </c>
      <c r="L160">
        <v>0.97188</v>
      </c>
      <c r="M160">
        <v>1.12448</v>
      </c>
      <c r="N160">
        <v>0.95125</v>
      </c>
      <c r="O160">
        <v>1</v>
      </c>
      <c r="P160">
        <v>1.00026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54.142</v>
      </c>
      <c r="W160">
        <v>25.188</v>
      </c>
      <c r="X160">
        <v>88.63</v>
      </c>
      <c r="Y160">
        <v>23.738</v>
      </c>
      <c r="Z160">
        <v>38.656</v>
      </c>
      <c r="AA160">
        <v>230.354</v>
      </c>
      <c r="AB160">
        <v>1.01211</v>
      </c>
      <c r="AC160">
        <v>240</v>
      </c>
      <c r="AD160">
        <v>0</v>
      </c>
      <c r="AG160">
        <v>63</v>
      </c>
      <c r="AH160">
        <v>25</v>
      </c>
      <c r="AI160">
        <v>89</v>
      </c>
      <c r="AJ160">
        <v>16</v>
      </c>
      <c r="AK160">
        <v>47</v>
      </c>
    </row>
    <row r="161" spans="1:37">
      <c r="A161" t="s">
        <v>668</v>
      </c>
      <c r="B161" t="s">
        <v>1753</v>
      </c>
      <c r="C161">
        <v>38</v>
      </c>
      <c r="D161" t="s">
        <v>82</v>
      </c>
      <c r="E161">
        <v>15</v>
      </c>
      <c r="F161">
        <v>0</v>
      </c>
      <c r="G161">
        <v>0</v>
      </c>
      <c r="I161">
        <v>1.02965</v>
      </c>
      <c r="J161">
        <v>0.99624</v>
      </c>
      <c r="K161">
        <v>0.95396</v>
      </c>
      <c r="L161">
        <v>0.9715</v>
      </c>
      <c r="M161">
        <v>0.9059199999999999</v>
      </c>
      <c r="N161">
        <v>0.93759</v>
      </c>
      <c r="O161">
        <v>1</v>
      </c>
      <c r="P161">
        <v>0.99675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13.109</v>
      </c>
      <c r="W161">
        <v>11.155</v>
      </c>
      <c r="X161">
        <v>81.98099999999999</v>
      </c>
      <c r="Y161">
        <v>37.531</v>
      </c>
      <c r="Z161">
        <v>43.547</v>
      </c>
      <c r="AA161">
        <v>187.323</v>
      </c>
      <c r="AB161">
        <v>0.97986</v>
      </c>
      <c r="AC161">
        <v>184</v>
      </c>
      <c r="AD161">
        <v>0</v>
      </c>
      <c r="AG161">
        <v>10</v>
      </c>
      <c r="AH161">
        <v>11</v>
      </c>
      <c r="AI161">
        <v>72</v>
      </c>
      <c r="AJ161">
        <v>45</v>
      </c>
      <c r="AK161">
        <v>46</v>
      </c>
    </row>
    <row r="162" spans="1:37">
      <c r="A162" t="s">
        <v>669</v>
      </c>
      <c r="B162" t="s">
        <v>1754</v>
      </c>
      <c r="C162">
        <v>39.7</v>
      </c>
      <c r="D162" t="s">
        <v>82</v>
      </c>
      <c r="E162">
        <v>16</v>
      </c>
      <c r="F162">
        <v>0</v>
      </c>
      <c r="G162">
        <v>0</v>
      </c>
      <c r="I162">
        <v>1.02984</v>
      </c>
      <c r="J162">
        <v>1.00071</v>
      </c>
      <c r="K162">
        <v>0.95396</v>
      </c>
      <c r="L162">
        <v>0.97115</v>
      </c>
      <c r="M162">
        <v>0.84648</v>
      </c>
      <c r="N162">
        <v>0.94408</v>
      </c>
      <c r="O162">
        <v>1</v>
      </c>
      <c r="P162">
        <v>0.99354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17.922</v>
      </c>
      <c r="W162">
        <v>17.571</v>
      </c>
      <c r="X162">
        <v>69.32599999999999</v>
      </c>
      <c r="Y162">
        <v>31.438</v>
      </c>
      <c r="Z162">
        <v>39.12</v>
      </c>
      <c r="AA162">
        <v>175.377</v>
      </c>
      <c r="AB162">
        <v>1.04585</v>
      </c>
      <c r="AC162">
        <v>180</v>
      </c>
      <c r="AD162">
        <v>0</v>
      </c>
      <c r="AG162">
        <v>26</v>
      </c>
      <c r="AH162">
        <v>17</v>
      </c>
      <c r="AI162">
        <v>59</v>
      </c>
      <c r="AJ162">
        <v>39</v>
      </c>
      <c r="AK162">
        <v>39</v>
      </c>
    </row>
    <row r="163" spans="1:37">
      <c r="A163" t="s">
        <v>388</v>
      </c>
      <c r="B163" t="s">
        <v>1751</v>
      </c>
      <c r="C163">
        <v>37.6</v>
      </c>
      <c r="D163" t="s">
        <v>1474</v>
      </c>
      <c r="E163">
        <v>17</v>
      </c>
      <c r="F163">
        <v>0</v>
      </c>
      <c r="G163">
        <v>0</v>
      </c>
      <c r="I163">
        <v>1.03003</v>
      </c>
      <c r="J163">
        <v>1.02273</v>
      </c>
      <c r="K163">
        <v>0.95396</v>
      </c>
      <c r="L163">
        <v>0.97084</v>
      </c>
      <c r="M163">
        <v>0.90959</v>
      </c>
      <c r="N163">
        <v>0.96933</v>
      </c>
      <c r="O163">
        <v>1.01389</v>
      </c>
      <c r="P163">
        <v>0.99244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63.982</v>
      </c>
      <c r="W163">
        <v>35.842</v>
      </c>
      <c r="X163">
        <v>50.757</v>
      </c>
      <c r="Y163">
        <v>11.46</v>
      </c>
      <c r="Z163">
        <v>31.778</v>
      </c>
      <c r="AA163">
        <v>193.82</v>
      </c>
      <c r="AB163">
        <v>1.06108</v>
      </c>
      <c r="AC163">
        <v>207</v>
      </c>
      <c r="AD163">
        <v>0</v>
      </c>
      <c r="AG163">
        <v>57</v>
      </c>
      <c r="AH163">
        <v>41</v>
      </c>
      <c r="AI163">
        <v>56</v>
      </c>
      <c r="AJ163">
        <v>10</v>
      </c>
      <c r="AK163">
        <v>43</v>
      </c>
    </row>
    <row r="164" spans="1:37">
      <c r="A164" t="s">
        <v>670</v>
      </c>
      <c r="B164" t="s">
        <v>1751</v>
      </c>
      <c r="C164">
        <v>36.6</v>
      </c>
      <c r="D164" t="s">
        <v>1474</v>
      </c>
      <c r="E164">
        <v>18</v>
      </c>
      <c r="F164">
        <v>0</v>
      </c>
      <c r="G164">
        <v>0</v>
      </c>
      <c r="I164">
        <v>1.03021</v>
      </c>
      <c r="J164">
        <v>1.02315</v>
      </c>
      <c r="K164">
        <v>0.95396</v>
      </c>
      <c r="L164">
        <v>0.97058</v>
      </c>
      <c r="M164">
        <v>0.8848</v>
      </c>
      <c r="N164">
        <v>0.96985</v>
      </c>
      <c r="O164">
        <v>1.01457</v>
      </c>
      <c r="P164">
        <v>0.98985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60.838</v>
      </c>
      <c r="W164">
        <v>35.786</v>
      </c>
      <c r="X164">
        <v>49.663</v>
      </c>
      <c r="Y164">
        <v>10.506</v>
      </c>
      <c r="Z164">
        <v>31.286</v>
      </c>
      <c r="AA164">
        <v>188.078</v>
      </c>
      <c r="AB164">
        <v>0.94036</v>
      </c>
      <c r="AC164">
        <v>180</v>
      </c>
      <c r="AD164">
        <v>0</v>
      </c>
      <c r="AG164">
        <v>54</v>
      </c>
      <c r="AH164">
        <v>30</v>
      </c>
      <c r="AI164">
        <v>54</v>
      </c>
      <c r="AJ164">
        <v>13</v>
      </c>
      <c r="AK164">
        <v>29</v>
      </c>
    </row>
    <row r="165" spans="1:37">
      <c r="A165" t="s">
        <v>671</v>
      </c>
      <c r="B165" t="s">
        <v>1751</v>
      </c>
      <c r="C165">
        <v>37.5</v>
      </c>
      <c r="D165" t="s">
        <v>1474</v>
      </c>
      <c r="E165">
        <v>19</v>
      </c>
      <c r="F165">
        <v>0</v>
      </c>
      <c r="G165">
        <v>0</v>
      </c>
      <c r="I165">
        <v>1.0304</v>
      </c>
      <c r="J165">
        <v>1.02108</v>
      </c>
      <c r="K165">
        <v>0.95396</v>
      </c>
      <c r="L165">
        <v>0.97036</v>
      </c>
      <c r="M165">
        <v>0.90756</v>
      </c>
      <c r="N165">
        <v>0.9671</v>
      </c>
      <c r="O165">
        <v>1.01398</v>
      </c>
      <c r="P165">
        <v>0.98713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60.59</v>
      </c>
      <c r="W165">
        <v>35.644</v>
      </c>
      <c r="X165">
        <v>52.053</v>
      </c>
      <c r="Y165">
        <v>11.326</v>
      </c>
      <c r="Z165">
        <v>32.141</v>
      </c>
      <c r="AA165">
        <v>191.755</v>
      </c>
      <c r="AB165">
        <v>0.98247</v>
      </c>
      <c r="AC165">
        <v>178</v>
      </c>
      <c r="AD165">
        <v>0</v>
      </c>
      <c r="AG165">
        <v>53</v>
      </c>
      <c r="AH165">
        <v>27</v>
      </c>
      <c r="AI165">
        <v>58</v>
      </c>
      <c r="AJ165">
        <v>11</v>
      </c>
      <c r="AK165">
        <v>29</v>
      </c>
    </row>
    <row r="166" spans="1:37">
      <c r="A166" t="s">
        <v>672</v>
      </c>
      <c r="B166" t="s">
        <v>1751</v>
      </c>
      <c r="C166">
        <v>37.1</v>
      </c>
      <c r="D166" t="s">
        <v>1474</v>
      </c>
      <c r="E166">
        <v>20</v>
      </c>
      <c r="F166">
        <v>0</v>
      </c>
      <c r="G166">
        <v>0</v>
      </c>
      <c r="I166">
        <v>1.03059</v>
      </c>
      <c r="J166">
        <v>1.00656</v>
      </c>
      <c r="K166">
        <v>0.95396</v>
      </c>
      <c r="L166">
        <v>0.97019</v>
      </c>
      <c r="M166">
        <v>0.93957</v>
      </c>
      <c r="N166">
        <v>0.9626400000000001</v>
      </c>
      <c r="O166">
        <v>1.01217</v>
      </c>
      <c r="P166">
        <v>0.98411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58.411</v>
      </c>
      <c r="W166">
        <v>33.317</v>
      </c>
      <c r="X166">
        <v>57.222</v>
      </c>
      <c r="Y166">
        <v>12.979</v>
      </c>
      <c r="Z166">
        <v>33.118</v>
      </c>
      <c r="AA166">
        <v>195.046</v>
      </c>
      <c r="AB166">
        <v>0.90183</v>
      </c>
      <c r="AC166">
        <v>151</v>
      </c>
      <c r="AD166">
        <v>0</v>
      </c>
      <c r="AG166">
        <v>36</v>
      </c>
      <c r="AH166">
        <v>32</v>
      </c>
      <c r="AI166">
        <v>44</v>
      </c>
      <c r="AJ166">
        <v>8</v>
      </c>
      <c r="AK166">
        <v>31</v>
      </c>
    </row>
    <row r="167" spans="1:37">
      <c r="A167" t="s">
        <v>673</v>
      </c>
      <c r="B167" t="s">
        <v>1752</v>
      </c>
      <c r="C167">
        <v>39.1</v>
      </c>
      <c r="D167" t="s">
        <v>1474</v>
      </c>
      <c r="E167">
        <v>21</v>
      </c>
      <c r="F167">
        <v>0</v>
      </c>
      <c r="G167">
        <v>0</v>
      </c>
      <c r="I167">
        <v>1.03077</v>
      </c>
      <c r="J167">
        <v>0.99656</v>
      </c>
      <c r="K167">
        <v>0.95396</v>
      </c>
      <c r="L167">
        <v>0.9700800000000001</v>
      </c>
      <c r="M167">
        <v>1.11505</v>
      </c>
      <c r="N167">
        <v>0.94514</v>
      </c>
      <c r="O167">
        <v>1.00606</v>
      </c>
      <c r="P167">
        <v>0.97965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54.171</v>
      </c>
      <c r="W167">
        <v>27.726</v>
      </c>
      <c r="X167">
        <v>85.108</v>
      </c>
      <c r="Y167">
        <v>21.746</v>
      </c>
      <c r="Z167">
        <v>39.664</v>
      </c>
      <c r="AA167">
        <v>228.417</v>
      </c>
      <c r="AB167">
        <v>0.95519</v>
      </c>
      <c r="AC167">
        <v>217</v>
      </c>
      <c r="AD167">
        <v>0</v>
      </c>
      <c r="AG167">
        <v>53</v>
      </c>
      <c r="AH167">
        <v>21</v>
      </c>
      <c r="AI167">
        <v>74</v>
      </c>
      <c r="AJ167">
        <v>21</v>
      </c>
      <c r="AK167">
        <v>48</v>
      </c>
    </row>
    <row r="168" spans="1:37">
      <c r="A168" t="s">
        <v>674</v>
      </c>
      <c r="B168" t="s">
        <v>1753</v>
      </c>
      <c r="C168">
        <v>36.3</v>
      </c>
      <c r="D168" t="s">
        <v>1474</v>
      </c>
      <c r="E168">
        <v>22</v>
      </c>
      <c r="F168">
        <v>0</v>
      </c>
      <c r="G168">
        <v>0</v>
      </c>
      <c r="I168">
        <v>1.03096</v>
      </c>
      <c r="J168">
        <v>1.00392</v>
      </c>
      <c r="K168">
        <v>0.95396</v>
      </c>
      <c r="L168">
        <v>0.97001</v>
      </c>
      <c r="M168">
        <v>0.88832</v>
      </c>
      <c r="N168">
        <v>0.93523</v>
      </c>
      <c r="O168">
        <v>0.99604</v>
      </c>
      <c r="P168">
        <v>0.9724699999999999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13.02</v>
      </c>
      <c r="W168">
        <v>12.198</v>
      </c>
      <c r="X168">
        <v>80.80200000000001</v>
      </c>
      <c r="Y168">
        <v>34.889</v>
      </c>
      <c r="Z168">
        <v>41.836</v>
      </c>
      <c r="AA168">
        <v>182.746</v>
      </c>
      <c r="AB168">
        <v>1.23774</v>
      </c>
      <c r="AC168">
        <v>230</v>
      </c>
      <c r="AD168">
        <v>0</v>
      </c>
      <c r="AG168">
        <v>11</v>
      </c>
      <c r="AH168">
        <v>16</v>
      </c>
      <c r="AI168">
        <v>105</v>
      </c>
      <c r="AJ168">
        <v>38</v>
      </c>
      <c r="AK168">
        <v>60</v>
      </c>
    </row>
    <row r="169" spans="1:37">
      <c r="A169" t="s">
        <v>675</v>
      </c>
      <c r="B169" t="s">
        <v>1754</v>
      </c>
      <c r="C169">
        <v>37.9</v>
      </c>
      <c r="D169" t="s">
        <v>1474</v>
      </c>
      <c r="E169">
        <v>23</v>
      </c>
      <c r="F169">
        <v>0</v>
      </c>
      <c r="G169">
        <v>0</v>
      </c>
      <c r="I169">
        <v>1.03115</v>
      </c>
      <c r="J169">
        <v>1.00537</v>
      </c>
      <c r="K169">
        <v>0.95396</v>
      </c>
      <c r="L169">
        <v>0.97</v>
      </c>
      <c r="M169">
        <v>0.83448</v>
      </c>
      <c r="N169">
        <v>0.93882</v>
      </c>
      <c r="O169">
        <v>1.00126</v>
      </c>
      <c r="P169">
        <v>0.97052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17.739</v>
      </c>
      <c r="W169">
        <v>19.163</v>
      </c>
      <c r="X169">
        <v>67.764</v>
      </c>
      <c r="Y169">
        <v>29.016</v>
      </c>
      <c r="Z169">
        <v>37.452</v>
      </c>
      <c r="AA169">
        <v>171.134</v>
      </c>
      <c r="AB169">
        <v>1.0172</v>
      </c>
      <c r="AC169">
        <v>170</v>
      </c>
      <c r="AD169">
        <v>0</v>
      </c>
      <c r="AG169">
        <v>16</v>
      </c>
      <c r="AH169">
        <v>21</v>
      </c>
      <c r="AI169">
        <v>63</v>
      </c>
      <c r="AJ169">
        <v>42</v>
      </c>
      <c r="AK169">
        <v>28</v>
      </c>
    </row>
    <row r="170" spans="1:37">
      <c r="A170" t="s">
        <v>389</v>
      </c>
      <c r="B170" t="s">
        <v>1751</v>
      </c>
      <c r="C170">
        <v>37.7</v>
      </c>
      <c r="D170" t="s">
        <v>1474</v>
      </c>
      <c r="E170">
        <v>24</v>
      </c>
      <c r="F170">
        <v>0</v>
      </c>
      <c r="G170">
        <v>0</v>
      </c>
      <c r="I170">
        <v>1.03134</v>
      </c>
      <c r="J170">
        <v>1.01384</v>
      </c>
      <c r="K170">
        <v>0.95396</v>
      </c>
      <c r="L170">
        <v>0.96996</v>
      </c>
      <c r="M170">
        <v>0.91087</v>
      </c>
      <c r="N170">
        <v>0.96399</v>
      </c>
      <c r="O170">
        <v>1.01413</v>
      </c>
      <c r="P170">
        <v>0.9746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62.452</v>
      </c>
      <c r="W170">
        <v>35.073</v>
      </c>
      <c r="X170">
        <v>48.514</v>
      </c>
      <c r="Y170">
        <v>10.912</v>
      </c>
      <c r="Z170">
        <v>30.711</v>
      </c>
      <c r="AA170">
        <v>187.661</v>
      </c>
      <c r="AB170">
        <v>0.9776</v>
      </c>
      <c r="AC170">
        <v>210</v>
      </c>
      <c r="AD170">
        <v>0</v>
      </c>
      <c r="AG170">
        <v>73</v>
      </c>
      <c r="AH170">
        <v>44</v>
      </c>
      <c r="AI170">
        <v>45</v>
      </c>
      <c r="AJ170">
        <v>9</v>
      </c>
      <c r="AK170">
        <v>39</v>
      </c>
    </row>
    <row r="171" spans="1:37">
      <c r="A171" t="s">
        <v>676</v>
      </c>
      <c r="B171" t="s">
        <v>1751</v>
      </c>
      <c r="C171">
        <v>34</v>
      </c>
      <c r="D171" t="s">
        <v>1474</v>
      </c>
      <c r="E171">
        <v>25</v>
      </c>
      <c r="F171">
        <v>0</v>
      </c>
      <c r="G171">
        <v>0</v>
      </c>
      <c r="I171">
        <v>1.03152</v>
      </c>
      <c r="J171">
        <v>1.02428</v>
      </c>
      <c r="K171">
        <v>0.95396</v>
      </c>
      <c r="L171">
        <v>0.9698600000000001</v>
      </c>
      <c r="M171">
        <v>0.88462</v>
      </c>
      <c r="N171">
        <v>0.96791</v>
      </c>
      <c r="O171">
        <v>1.01469</v>
      </c>
      <c r="P171">
        <v>0.9719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59.926</v>
      </c>
      <c r="W171">
        <v>35.369</v>
      </c>
      <c r="X171">
        <v>49.435</v>
      </c>
      <c r="Y171">
        <v>10.307</v>
      </c>
      <c r="Z171">
        <v>29.533</v>
      </c>
      <c r="AA171">
        <v>184.569</v>
      </c>
      <c r="AB171">
        <v>1.0571</v>
      </c>
      <c r="AC171">
        <v>188</v>
      </c>
      <c r="AD171">
        <v>0</v>
      </c>
      <c r="AG171">
        <v>64</v>
      </c>
      <c r="AH171">
        <v>35</v>
      </c>
      <c r="AI171">
        <v>53</v>
      </c>
      <c r="AJ171">
        <v>6</v>
      </c>
      <c r="AK171">
        <v>30</v>
      </c>
    </row>
    <row r="172" spans="1:37">
      <c r="A172" t="s">
        <v>677</v>
      </c>
      <c r="B172" t="s">
        <v>1751</v>
      </c>
      <c r="C172">
        <v>34.1</v>
      </c>
      <c r="D172" t="s">
        <v>1474</v>
      </c>
      <c r="E172">
        <v>26</v>
      </c>
      <c r="F172">
        <v>0</v>
      </c>
      <c r="G172">
        <v>0</v>
      </c>
      <c r="I172">
        <v>1.03171</v>
      </c>
      <c r="J172">
        <v>1.03853</v>
      </c>
      <c r="K172">
        <v>0.95396</v>
      </c>
      <c r="L172">
        <v>0.96971</v>
      </c>
      <c r="M172">
        <v>0.9073</v>
      </c>
      <c r="N172">
        <v>0.96475</v>
      </c>
      <c r="O172">
        <v>1.01411</v>
      </c>
      <c r="P172">
        <v>0.96899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60.58</v>
      </c>
      <c r="W172">
        <v>35.793</v>
      </c>
      <c r="X172">
        <v>52.851</v>
      </c>
      <c r="Y172">
        <v>11.308</v>
      </c>
      <c r="Z172">
        <v>30.529</v>
      </c>
      <c r="AA172">
        <v>191.061</v>
      </c>
      <c r="AB172">
        <v>0.99691</v>
      </c>
      <c r="AC172">
        <v>185</v>
      </c>
      <c r="AD172">
        <v>0</v>
      </c>
      <c r="AG172">
        <v>59</v>
      </c>
      <c r="AH172">
        <v>39</v>
      </c>
      <c r="AI172">
        <v>53</v>
      </c>
      <c r="AJ172">
        <v>4</v>
      </c>
      <c r="AK172">
        <v>30</v>
      </c>
    </row>
    <row r="173" spans="1:37">
      <c r="A173" t="s">
        <v>678</v>
      </c>
      <c r="B173" t="s">
        <v>1751</v>
      </c>
      <c r="C173">
        <v>35.5</v>
      </c>
      <c r="D173" t="s">
        <v>1474</v>
      </c>
      <c r="E173">
        <v>27</v>
      </c>
      <c r="F173">
        <v>0</v>
      </c>
      <c r="G173">
        <v>0</v>
      </c>
      <c r="I173">
        <v>1.0319</v>
      </c>
      <c r="J173">
        <v>1.03602</v>
      </c>
      <c r="K173">
        <v>0.95396</v>
      </c>
      <c r="L173">
        <v>0.96952</v>
      </c>
      <c r="M173">
        <v>0.93975</v>
      </c>
      <c r="N173">
        <v>0.95667</v>
      </c>
      <c r="O173">
        <v>1.01239</v>
      </c>
      <c r="P173">
        <v>0.96816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59.104</v>
      </c>
      <c r="W173">
        <v>33.921</v>
      </c>
      <c r="X173">
        <v>57.695</v>
      </c>
      <c r="Y173">
        <v>12.951</v>
      </c>
      <c r="Z173">
        <v>32.674</v>
      </c>
      <c r="AA173">
        <v>196.345</v>
      </c>
      <c r="AB173">
        <v>1.01121</v>
      </c>
      <c r="AC173">
        <v>210</v>
      </c>
      <c r="AD173">
        <v>0</v>
      </c>
      <c r="AG173">
        <v>63</v>
      </c>
      <c r="AH173">
        <v>38</v>
      </c>
      <c r="AI173">
        <v>55</v>
      </c>
      <c r="AJ173">
        <v>14</v>
      </c>
      <c r="AK173">
        <v>40</v>
      </c>
    </row>
    <row r="174" spans="1:37">
      <c r="A174" t="s">
        <v>679</v>
      </c>
      <c r="B174" t="s">
        <v>1752</v>
      </c>
      <c r="C174">
        <v>35.9</v>
      </c>
      <c r="D174" t="s">
        <v>1474</v>
      </c>
      <c r="E174">
        <v>28</v>
      </c>
      <c r="F174">
        <v>0</v>
      </c>
      <c r="G174">
        <v>0</v>
      </c>
      <c r="I174">
        <v>1.03208</v>
      </c>
      <c r="J174">
        <v>1.04839</v>
      </c>
      <c r="K174">
        <v>0.95396</v>
      </c>
      <c r="L174">
        <v>0.96927</v>
      </c>
      <c r="M174">
        <v>1.11486</v>
      </c>
      <c r="N174">
        <v>0.93855</v>
      </c>
      <c r="O174">
        <v>1.00622</v>
      </c>
      <c r="P174">
        <v>0.96507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56.02</v>
      </c>
      <c r="W174">
        <v>28.904</v>
      </c>
      <c r="X174">
        <v>88.495</v>
      </c>
      <c r="Y174">
        <v>22.317</v>
      </c>
      <c r="Z174">
        <v>39.391</v>
      </c>
      <c r="AA174">
        <v>235.127</v>
      </c>
      <c r="AB174">
        <v>0.92977</v>
      </c>
      <c r="AC174">
        <v>210</v>
      </c>
      <c r="AD174">
        <v>0</v>
      </c>
      <c r="AG174">
        <v>56</v>
      </c>
      <c r="AH174">
        <v>22</v>
      </c>
      <c r="AI174">
        <v>73</v>
      </c>
      <c r="AJ174">
        <v>23</v>
      </c>
      <c r="AK174">
        <v>36</v>
      </c>
    </row>
    <row r="175" spans="1:37">
      <c r="A175" t="s">
        <v>680</v>
      </c>
      <c r="B175" t="s">
        <v>1753</v>
      </c>
      <c r="C175">
        <v>36.4</v>
      </c>
      <c r="D175" t="s">
        <v>1476</v>
      </c>
      <c r="E175">
        <v>29</v>
      </c>
      <c r="F175">
        <v>0</v>
      </c>
      <c r="G175">
        <v>0</v>
      </c>
      <c r="I175">
        <v>1.03227</v>
      </c>
      <c r="J175">
        <v>1.04537</v>
      </c>
      <c r="K175">
        <v>0.95396</v>
      </c>
      <c r="L175">
        <v>0.96898</v>
      </c>
      <c r="M175">
        <v>0.99763</v>
      </c>
      <c r="N175">
        <v>0.91989</v>
      </c>
      <c r="O175">
        <v>0.92235</v>
      </c>
      <c r="P175">
        <v>0.95738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11.725</v>
      </c>
      <c r="W175">
        <v>2.292</v>
      </c>
      <c r="X175">
        <v>81.523</v>
      </c>
      <c r="Y175">
        <v>33.134</v>
      </c>
      <c r="Z175">
        <v>42.95</v>
      </c>
      <c r="AA175">
        <v>171.624</v>
      </c>
      <c r="AB175">
        <v>1.00769</v>
      </c>
      <c r="AC175">
        <v>181</v>
      </c>
      <c r="AD175">
        <v>0</v>
      </c>
      <c r="AG175">
        <v>15</v>
      </c>
      <c r="AH175">
        <v>7</v>
      </c>
      <c r="AI175">
        <v>87</v>
      </c>
      <c r="AJ175">
        <v>31</v>
      </c>
      <c r="AK175">
        <v>41</v>
      </c>
    </row>
    <row r="176" spans="1:37">
      <c r="A176" t="s">
        <v>681</v>
      </c>
      <c r="B176" t="s">
        <v>1754</v>
      </c>
      <c r="C176">
        <v>33.8</v>
      </c>
      <c r="D176" t="s">
        <v>1476</v>
      </c>
      <c r="E176">
        <v>30</v>
      </c>
      <c r="F176">
        <v>0</v>
      </c>
      <c r="G176">
        <v>0</v>
      </c>
      <c r="I176">
        <v>1.03246</v>
      </c>
      <c r="J176">
        <v>1.05727</v>
      </c>
      <c r="K176">
        <v>0.95396</v>
      </c>
      <c r="L176">
        <v>0.96865</v>
      </c>
      <c r="M176">
        <v>0.90255</v>
      </c>
      <c r="N176">
        <v>0.93228</v>
      </c>
      <c r="O176">
        <v>0.88773</v>
      </c>
      <c r="P176">
        <v>0.95864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16.126</v>
      </c>
      <c r="W176">
        <v>3.643</v>
      </c>
      <c r="X176">
        <v>72.331</v>
      </c>
      <c r="Y176">
        <v>28.717</v>
      </c>
      <c r="Z176">
        <v>37.006</v>
      </c>
      <c r="AA176">
        <v>157.823</v>
      </c>
      <c r="AB176">
        <v>0.96363</v>
      </c>
      <c r="AC176">
        <v>149</v>
      </c>
      <c r="AD176">
        <v>0</v>
      </c>
      <c r="AG176">
        <v>14</v>
      </c>
      <c r="AH176">
        <v>2</v>
      </c>
      <c r="AI176">
        <v>67</v>
      </c>
      <c r="AJ176">
        <v>32</v>
      </c>
      <c r="AK176">
        <v>34</v>
      </c>
    </row>
    <row r="177" spans="1:37">
      <c r="A177" t="s">
        <v>390</v>
      </c>
      <c r="B177" t="s">
        <v>1751</v>
      </c>
      <c r="C177">
        <v>33.8</v>
      </c>
      <c r="D177" t="s">
        <v>1476</v>
      </c>
      <c r="E177">
        <v>31</v>
      </c>
      <c r="F177">
        <v>0</v>
      </c>
      <c r="G177">
        <v>0</v>
      </c>
      <c r="I177">
        <v>1.03264</v>
      </c>
      <c r="J177">
        <v>1.05061</v>
      </c>
      <c r="K177">
        <v>0.95396</v>
      </c>
      <c r="L177">
        <v>0.96828</v>
      </c>
      <c r="M177">
        <v>0.89042</v>
      </c>
      <c r="N177">
        <v>0.94981</v>
      </c>
      <c r="O177">
        <v>0.81456</v>
      </c>
      <c r="P177">
        <v>0.96714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55.919</v>
      </c>
      <c r="W177">
        <v>6.58</v>
      </c>
      <c r="X177">
        <v>51.073</v>
      </c>
      <c r="Y177">
        <v>10.648</v>
      </c>
      <c r="Z177">
        <v>30.081</v>
      </c>
      <c r="AA177">
        <v>154.301</v>
      </c>
      <c r="AB177">
        <v>1.06999</v>
      </c>
      <c r="AC177">
        <v>169</v>
      </c>
      <c r="AD177">
        <v>0</v>
      </c>
      <c r="AG177">
        <v>66</v>
      </c>
      <c r="AH177">
        <v>6</v>
      </c>
      <c r="AI177">
        <v>58</v>
      </c>
      <c r="AJ177">
        <v>15</v>
      </c>
      <c r="AK177">
        <v>24</v>
      </c>
    </row>
    <row r="178" spans="1:37">
      <c r="A178" t="s">
        <v>682</v>
      </c>
      <c r="B178" t="s">
        <v>1751</v>
      </c>
      <c r="C178">
        <v>31.6</v>
      </c>
      <c r="D178" t="s">
        <v>1476</v>
      </c>
      <c r="E178">
        <v>32</v>
      </c>
      <c r="F178">
        <v>0</v>
      </c>
      <c r="G178">
        <v>0</v>
      </c>
      <c r="I178">
        <v>1.03283</v>
      </c>
      <c r="J178">
        <v>1.042</v>
      </c>
      <c r="K178">
        <v>0.95396</v>
      </c>
      <c r="L178">
        <v>0.96787</v>
      </c>
      <c r="M178">
        <v>0.86072</v>
      </c>
      <c r="N178">
        <v>0.95875</v>
      </c>
      <c r="O178">
        <v>0.8130500000000001</v>
      </c>
      <c r="P178">
        <v>0.96684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52.65</v>
      </c>
      <c r="W178">
        <v>6.524</v>
      </c>
      <c r="X178">
        <v>51.423</v>
      </c>
      <c r="Y178">
        <v>9.920999999999999</v>
      </c>
      <c r="Z178">
        <v>28.999</v>
      </c>
      <c r="AA178">
        <v>149.516</v>
      </c>
      <c r="AB178">
        <v>0.9444</v>
      </c>
      <c r="AC178">
        <v>129</v>
      </c>
      <c r="AD178">
        <v>0</v>
      </c>
      <c r="AG178">
        <v>52</v>
      </c>
      <c r="AH178">
        <v>5</v>
      </c>
      <c r="AI178">
        <v>47</v>
      </c>
      <c r="AJ178">
        <v>0</v>
      </c>
      <c r="AK178">
        <v>25</v>
      </c>
    </row>
    <row r="179" spans="1:37">
      <c r="A179" t="s">
        <v>683</v>
      </c>
      <c r="B179" t="s">
        <v>1755</v>
      </c>
      <c r="C179">
        <v>34</v>
      </c>
      <c r="D179" t="s">
        <v>1476</v>
      </c>
      <c r="E179">
        <v>0</v>
      </c>
      <c r="F179">
        <v>0</v>
      </c>
      <c r="G179">
        <v>0</v>
      </c>
      <c r="H179">
        <v>0</v>
      </c>
      <c r="I179">
        <v>1.03302</v>
      </c>
      <c r="J179">
        <v>1.04503</v>
      </c>
      <c r="K179">
        <v>0.95396</v>
      </c>
      <c r="L179">
        <v>0.96743</v>
      </c>
      <c r="M179">
        <v>0.87895</v>
      </c>
      <c r="N179">
        <v>0.9325599999999999</v>
      </c>
      <c r="O179">
        <v>0.89135</v>
      </c>
      <c r="P179">
        <v>1.08166</v>
      </c>
      <c r="Q179">
        <v>1</v>
      </c>
      <c r="R179">
        <v>0.77385</v>
      </c>
      <c r="S179">
        <v>1</v>
      </c>
      <c r="T179">
        <v>1</v>
      </c>
      <c r="U179">
        <v>1</v>
      </c>
      <c r="V179">
        <v>14.791</v>
      </c>
      <c r="W179">
        <v>3.077</v>
      </c>
      <c r="X179">
        <v>60.323</v>
      </c>
      <c r="Y179">
        <v>19.089</v>
      </c>
      <c r="Z179">
        <v>37.642</v>
      </c>
      <c r="AA179">
        <v>134.921</v>
      </c>
      <c r="AB179">
        <v>1.11131</v>
      </c>
      <c r="AC179">
        <v>155</v>
      </c>
      <c r="AD179">
        <v>0</v>
      </c>
      <c r="AG179">
        <v>13</v>
      </c>
      <c r="AH179">
        <v>4</v>
      </c>
      <c r="AI179">
        <v>66</v>
      </c>
      <c r="AJ179">
        <v>25</v>
      </c>
      <c r="AK179">
        <v>47</v>
      </c>
    </row>
    <row r="180" spans="1:37">
      <c r="A180" t="s">
        <v>684</v>
      </c>
      <c r="B180" t="s">
        <v>1757</v>
      </c>
      <c r="C180">
        <v>35.6</v>
      </c>
      <c r="D180" t="s">
        <v>1476</v>
      </c>
      <c r="E180">
        <v>1</v>
      </c>
      <c r="F180">
        <v>0</v>
      </c>
      <c r="G180">
        <v>0</v>
      </c>
      <c r="H180">
        <v>1</v>
      </c>
      <c r="I180">
        <v>1.0332</v>
      </c>
      <c r="J180">
        <v>1.05222</v>
      </c>
      <c r="K180">
        <v>0.95396</v>
      </c>
      <c r="L180">
        <v>0.96697</v>
      </c>
      <c r="M180">
        <v>1.11569</v>
      </c>
      <c r="N180">
        <v>0.90666</v>
      </c>
      <c r="O180">
        <v>0.9507</v>
      </c>
      <c r="P180">
        <v>1.05901</v>
      </c>
      <c r="Q180">
        <v>1</v>
      </c>
      <c r="R180">
        <v>0.74657</v>
      </c>
      <c r="S180">
        <v>1</v>
      </c>
      <c r="T180">
        <v>1</v>
      </c>
      <c r="U180">
        <v>1</v>
      </c>
      <c r="V180">
        <v>3.269</v>
      </c>
      <c r="W180">
        <v>0.763</v>
      </c>
      <c r="X180">
        <v>61.427</v>
      </c>
      <c r="Y180">
        <v>27.475</v>
      </c>
      <c r="Z180">
        <v>33.423</v>
      </c>
      <c r="AA180">
        <v>126.356</v>
      </c>
      <c r="AB180">
        <v>1.02414</v>
      </c>
      <c r="AC180">
        <v>124</v>
      </c>
      <c r="AD180">
        <v>0</v>
      </c>
      <c r="AG180">
        <v>1</v>
      </c>
      <c r="AH180">
        <v>0</v>
      </c>
      <c r="AI180">
        <v>59</v>
      </c>
      <c r="AJ180">
        <v>37</v>
      </c>
      <c r="AK180">
        <v>27</v>
      </c>
    </row>
    <row r="181" spans="1:37">
      <c r="A181" t="s">
        <v>685</v>
      </c>
      <c r="B181" t="s">
        <v>1755</v>
      </c>
      <c r="C181">
        <v>36.3</v>
      </c>
      <c r="D181" t="s">
        <v>1476</v>
      </c>
      <c r="E181">
        <v>2</v>
      </c>
      <c r="F181">
        <v>0</v>
      </c>
      <c r="G181">
        <v>0</v>
      </c>
      <c r="H181">
        <v>2</v>
      </c>
      <c r="I181">
        <v>1.03339</v>
      </c>
      <c r="J181">
        <v>1.03611</v>
      </c>
      <c r="K181">
        <v>0.95396</v>
      </c>
      <c r="L181">
        <v>0.96648</v>
      </c>
      <c r="M181">
        <v>1.05894</v>
      </c>
      <c r="N181">
        <v>0.89647</v>
      </c>
      <c r="O181">
        <v>0.93309</v>
      </c>
      <c r="P181">
        <v>1.03894</v>
      </c>
      <c r="Q181">
        <v>1</v>
      </c>
      <c r="R181">
        <v>1.10489</v>
      </c>
      <c r="S181">
        <v>1</v>
      </c>
      <c r="T181">
        <v>1</v>
      </c>
      <c r="U181">
        <v>1</v>
      </c>
      <c r="V181">
        <v>7.968</v>
      </c>
      <c r="W181">
        <v>1.86</v>
      </c>
      <c r="X181">
        <v>88.002</v>
      </c>
      <c r="Y181">
        <v>39.377</v>
      </c>
      <c r="Z181">
        <v>42.737</v>
      </c>
      <c r="AA181">
        <v>179.944</v>
      </c>
      <c r="AB181">
        <v>0.94358</v>
      </c>
      <c r="AC181">
        <v>177</v>
      </c>
      <c r="AD181">
        <v>0</v>
      </c>
      <c r="AG181">
        <v>3</v>
      </c>
      <c r="AH181">
        <v>0</v>
      </c>
      <c r="AI181">
        <v>82</v>
      </c>
      <c r="AJ181">
        <v>45</v>
      </c>
      <c r="AK181">
        <v>47</v>
      </c>
    </row>
    <row r="182" spans="1:37">
      <c r="A182" t="s">
        <v>686</v>
      </c>
      <c r="B182" t="s">
        <v>1755</v>
      </c>
      <c r="C182">
        <v>37.7</v>
      </c>
      <c r="D182" t="s">
        <v>1476</v>
      </c>
      <c r="E182">
        <v>3</v>
      </c>
      <c r="F182">
        <v>0</v>
      </c>
      <c r="G182">
        <v>0</v>
      </c>
      <c r="H182">
        <v>3</v>
      </c>
      <c r="I182">
        <v>1.03358</v>
      </c>
      <c r="J182">
        <v>1.02397</v>
      </c>
      <c r="K182">
        <v>0.95396</v>
      </c>
      <c r="L182">
        <v>0.9659799999999999</v>
      </c>
      <c r="M182">
        <v>1.16616</v>
      </c>
      <c r="N182">
        <v>0.89056</v>
      </c>
      <c r="O182">
        <v>0.94974</v>
      </c>
      <c r="P182">
        <v>1.02634</v>
      </c>
      <c r="Q182">
        <v>1</v>
      </c>
      <c r="R182">
        <v>1.09839</v>
      </c>
      <c r="S182">
        <v>1</v>
      </c>
      <c r="T182">
        <v>1</v>
      </c>
      <c r="U182">
        <v>1</v>
      </c>
      <c r="V182">
        <v>6.874</v>
      </c>
      <c r="W182">
        <v>1.162</v>
      </c>
      <c r="X182">
        <v>95.119</v>
      </c>
      <c r="Y182">
        <v>41.658</v>
      </c>
      <c r="Z182">
        <v>48.177</v>
      </c>
      <c r="AA182">
        <v>192.989</v>
      </c>
      <c r="AB182">
        <v>0.92281</v>
      </c>
      <c r="AC182">
        <v>200</v>
      </c>
      <c r="AD182">
        <v>0</v>
      </c>
      <c r="AG182">
        <v>9</v>
      </c>
      <c r="AH182">
        <v>0</v>
      </c>
      <c r="AI182">
        <v>109</v>
      </c>
      <c r="AJ182">
        <v>40</v>
      </c>
      <c r="AK182">
        <v>42</v>
      </c>
    </row>
    <row r="183" spans="1:37">
      <c r="A183" t="s">
        <v>687</v>
      </c>
      <c r="B183" t="s">
        <v>1755</v>
      </c>
      <c r="C183">
        <v>37.4</v>
      </c>
      <c r="D183" t="s">
        <v>1476</v>
      </c>
      <c r="E183">
        <v>4</v>
      </c>
      <c r="F183">
        <v>0</v>
      </c>
      <c r="G183">
        <v>0</v>
      </c>
      <c r="H183">
        <v>4</v>
      </c>
      <c r="I183">
        <v>1.03376</v>
      </c>
      <c r="J183">
        <v>1.02606</v>
      </c>
      <c r="K183">
        <v>0.9987</v>
      </c>
      <c r="L183">
        <v>0.9654700000000001</v>
      </c>
      <c r="M183">
        <v>0.97816</v>
      </c>
      <c r="N183">
        <v>0.8974299999999999</v>
      </c>
      <c r="O183">
        <v>0.92259</v>
      </c>
      <c r="P183">
        <v>1.01713</v>
      </c>
      <c r="Q183">
        <v>1</v>
      </c>
      <c r="R183">
        <v>0.9686</v>
      </c>
      <c r="S183">
        <v>1</v>
      </c>
      <c r="T183">
        <v>1</v>
      </c>
      <c r="U183">
        <v>1</v>
      </c>
      <c r="V183">
        <v>11.394</v>
      </c>
      <c r="W183">
        <v>2.097</v>
      </c>
      <c r="X183">
        <v>73.04600000000001</v>
      </c>
      <c r="Y183">
        <v>30.465</v>
      </c>
      <c r="Z183">
        <v>41.822</v>
      </c>
      <c r="AA183">
        <v>158.824</v>
      </c>
      <c r="AB183">
        <v>1.12416</v>
      </c>
      <c r="AC183">
        <v>165</v>
      </c>
      <c r="AD183">
        <v>0</v>
      </c>
      <c r="AG183">
        <v>10</v>
      </c>
      <c r="AH183">
        <v>3</v>
      </c>
      <c r="AI183">
        <v>81</v>
      </c>
      <c r="AJ183">
        <v>34</v>
      </c>
      <c r="AK183">
        <v>37</v>
      </c>
    </row>
    <row r="184" spans="1:37">
      <c r="A184" t="s">
        <v>391</v>
      </c>
      <c r="B184" t="s">
        <v>1751</v>
      </c>
      <c r="C184">
        <v>37.8</v>
      </c>
      <c r="D184" t="s">
        <v>1476</v>
      </c>
      <c r="E184">
        <v>5</v>
      </c>
      <c r="F184">
        <v>0</v>
      </c>
      <c r="G184">
        <v>0</v>
      </c>
      <c r="H184">
        <v>5</v>
      </c>
      <c r="I184">
        <v>1.03395</v>
      </c>
      <c r="J184">
        <v>1.02766</v>
      </c>
      <c r="K184">
        <v>0.9987</v>
      </c>
      <c r="L184">
        <v>0.96496</v>
      </c>
      <c r="M184">
        <v>0.88562</v>
      </c>
      <c r="N184">
        <v>0.92287</v>
      </c>
      <c r="O184">
        <v>0.81136</v>
      </c>
      <c r="P184">
        <v>1.00909</v>
      </c>
      <c r="Q184">
        <v>1</v>
      </c>
      <c r="R184">
        <v>0.8645699999999999</v>
      </c>
      <c r="S184">
        <v>1</v>
      </c>
      <c r="T184">
        <v>1</v>
      </c>
      <c r="U184">
        <v>1</v>
      </c>
      <c r="V184">
        <v>45.362</v>
      </c>
      <c r="W184">
        <v>6.228</v>
      </c>
      <c r="X184">
        <v>46.317</v>
      </c>
      <c r="Y184">
        <v>9.662000000000001</v>
      </c>
      <c r="Z184">
        <v>30.8</v>
      </c>
      <c r="AA184">
        <v>138.368</v>
      </c>
      <c r="AB184">
        <v>0.92259</v>
      </c>
      <c r="AC184">
        <v>104</v>
      </c>
      <c r="AD184">
        <v>0</v>
      </c>
      <c r="AG184">
        <v>38</v>
      </c>
      <c r="AH184">
        <v>2</v>
      </c>
      <c r="AI184">
        <v>36</v>
      </c>
      <c r="AJ184">
        <v>7</v>
      </c>
      <c r="AK184">
        <v>21</v>
      </c>
    </row>
    <row r="185" spans="1:37">
      <c r="A185" t="s">
        <v>688</v>
      </c>
      <c r="B185" t="s">
        <v>1751</v>
      </c>
      <c r="C185">
        <v>36.6</v>
      </c>
      <c r="D185" t="s">
        <v>1476</v>
      </c>
      <c r="E185">
        <v>6</v>
      </c>
      <c r="F185">
        <v>0</v>
      </c>
      <c r="G185">
        <v>0</v>
      </c>
      <c r="H185">
        <v>6</v>
      </c>
      <c r="I185">
        <v>1.03414</v>
      </c>
      <c r="J185">
        <v>1.02248</v>
      </c>
      <c r="K185">
        <v>0.9987</v>
      </c>
      <c r="L185">
        <v>0.96444</v>
      </c>
      <c r="M185">
        <v>0.85921</v>
      </c>
      <c r="N185">
        <v>0.92098</v>
      </c>
      <c r="O185">
        <v>0.80799</v>
      </c>
      <c r="P185">
        <v>1.00613</v>
      </c>
      <c r="Q185">
        <v>1</v>
      </c>
      <c r="R185">
        <v>0.86517</v>
      </c>
      <c r="S185">
        <v>1</v>
      </c>
      <c r="T185">
        <v>1</v>
      </c>
      <c r="U185">
        <v>1</v>
      </c>
      <c r="V185">
        <v>42.736</v>
      </c>
      <c r="W185">
        <v>6.182</v>
      </c>
      <c r="X185">
        <v>44.924</v>
      </c>
      <c r="Y185">
        <v>8.76</v>
      </c>
      <c r="Z185">
        <v>30.073</v>
      </c>
      <c r="AA185">
        <v>132.674</v>
      </c>
      <c r="AB185">
        <v>0.96887</v>
      </c>
      <c r="AC185">
        <v>122</v>
      </c>
      <c r="AD185">
        <v>0</v>
      </c>
      <c r="AG185">
        <v>43</v>
      </c>
      <c r="AH185">
        <v>7</v>
      </c>
      <c r="AI185">
        <v>35</v>
      </c>
      <c r="AJ185">
        <v>5</v>
      </c>
      <c r="AK185">
        <v>32</v>
      </c>
    </row>
    <row r="186" spans="1:37">
      <c r="A186" t="s">
        <v>689</v>
      </c>
      <c r="B186" t="s">
        <v>1751</v>
      </c>
      <c r="C186">
        <v>36.9</v>
      </c>
      <c r="D186" t="s">
        <v>1476</v>
      </c>
      <c r="E186">
        <v>7</v>
      </c>
      <c r="F186">
        <v>0</v>
      </c>
      <c r="G186">
        <v>0</v>
      </c>
      <c r="H186">
        <v>7</v>
      </c>
      <c r="I186">
        <v>1.03432</v>
      </c>
      <c r="J186">
        <v>1.01664</v>
      </c>
      <c r="K186">
        <v>0.9987</v>
      </c>
      <c r="L186">
        <v>0.96393</v>
      </c>
      <c r="M186">
        <v>0.8872100000000001</v>
      </c>
      <c r="N186">
        <v>0.91506</v>
      </c>
      <c r="O186">
        <v>0.8119</v>
      </c>
      <c r="P186">
        <v>1.00415</v>
      </c>
      <c r="Q186">
        <v>1</v>
      </c>
      <c r="R186">
        <v>0.86619</v>
      </c>
      <c r="S186">
        <v>1</v>
      </c>
      <c r="T186">
        <v>1</v>
      </c>
      <c r="U186">
        <v>1</v>
      </c>
      <c r="V186">
        <v>42.257</v>
      </c>
      <c r="W186">
        <v>6.136</v>
      </c>
      <c r="X186">
        <v>46.958</v>
      </c>
      <c r="Y186">
        <v>9.385999999999999</v>
      </c>
      <c r="Z186">
        <v>30.585</v>
      </c>
      <c r="AA186">
        <v>135.322</v>
      </c>
      <c r="AB186">
        <v>0.9876200000000001</v>
      </c>
      <c r="AC186">
        <v>153</v>
      </c>
      <c r="AD186">
        <v>0</v>
      </c>
      <c r="AG186">
        <v>47</v>
      </c>
      <c r="AH186">
        <v>11</v>
      </c>
      <c r="AI186">
        <v>50</v>
      </c>
      <c r="AJ186">
        <v>13</v>
      </c>
      <c r="AK186">
        <v>32</v>
      </c>
    </row>
    <row r="187" spans="1:37">
      <c r="A187" t="s">
        <v>690</v>
      </c>
      <c r="B187" t="s">
        <v>1751</v>
      </c>
      <c r="C187">
        <v>36.5</v>
      </c>
      <c r="D187" t="s">
        <v>1476</v>
      </c>
      <c r="E187">
        <v>8</v>
      </c>
      <c r="F187">
        <v>0</v>
      </c>
      <c r="G187">
        <v>0</v>
      </c>
      <c r="I187">
        <v>1.03451</v>
      </c>
      <c r="J187">
        <v>1.03787</v>
      </c>
      <c r="K187">
        <v>0.9987</v>
      </c>
      <c r="L187">
        <v>0.96344</v>
      </c>
      <c r="M187">
        <v>0.93852</v>
      </c>
      <c r="N187">
        <v>0.90839</v>
      </c>
      <c r="O187">
        <v>0.82701</v>
      </c>
      <c r="P187">
        <v>1.00279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52.564</v>
      </c>
      <c r="W187">
        <v>6.604</v>
      </c>
      <c r="X187">
        <v>59.287</v>
      </c>
      <c r="Y187">
        <v>12.325</v>
      </c>
      <c r="Z187">
        <v>36.323</v>
      </c>
      <c r="AA187">
        <v>167.103</v>
      </c>
      <c r="AB187">
        <v>0.95319</v>
      </c>
      <c r="AC187">
        <v>163</v>
      </c>
      <c r="AD187">
        <v>0</v>
      </c>
      <c r="AG187">
        <v>54</v>
      </c>
      <c r="AH187">
        <v>7</v>
      </c>
      <c r="AI187">
        <v>51</v>
      </c>
      <c r="AJ187">
        <v>10</v>
      </c>
      <c r="AK187">
        <v>41</v>
      </c>
    </row>
    <row r="188" spans="1:37">
      <c r="A188" t="s">
        <v>691</v>
      </c>
      <c r="B188" t="s">
        <v>1752</v>
      </c>
      <c r="C188">
        <v>36.4</v>
      </c>
      <c r="D188" t="s">
        <v>1476</v>
      </c>
      <c r="E188">
        <v>9</v>
      </c>
      <c r="F188">
        <v>0</v>
      </c>
      <c r="G188">
        <v>0</v>
      </c>
      <c r="I188">
        <v>1.0347</v>
      </c>
      <c r="J188">
        <v>1.03012</v>
      </c>
      <c r="K188">
        <v>0.9987</v>
      </c>
      <c r="L188">
        <v>0.96296</v>
      </c>
      <c r="M188">
        <v>1.17698</v>
      </c>
      <c r="N188">
        <v>0.88718</v>
      </c>
      <c r="O188">
        <v>0.86966</v>
      </c>
      <c r="P188">
        <v>1.00202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48.721</v>
      </c>
      <c r="W188">
        <v>5.515</v>
      </c>
      <c r="X188">
        <v>89.27500000000001</v>
      </c>
      <c r="Y188">
        <v>20.785</v>
      </c>
      <c r="Z188">
        <v>42.624</v>
      </c>
      <c r="AA188">
        <v>206.92</v>
      </c>
      <c r="AB188">
        <v>1.08891</v>
      </c>
      <c r="AC188">
        <v>212</v>
      </c>
      <c r="AD188">
        <v>0</v>
      </c>
      <c r="AG188">
        <v>47</v>
      </c>
      <c r="AH188">
        <v>6</v>
      </c>
      <c r="AI188">
        <v>101</v>
      </c>
      <c r="AJ188">
        <v>21</v>
      </c>
      <c r="AK188">
        <v>37</v>
      </c>
    </row>
    <row r="189" spans="1:37">
      <c r="A189" t="s">
        <v>692</v>
      </c>
      <c r="B189" t="s">
        <v>1753</v>
      </c>
      <c r="C189">
        <v>35.5</v>
      </c>
      <c r="D189" t="s">
        <v>1476</v>
      </c>
      <c r="E189">
        <v>10</v>
      </c>
      <c r="F189">
        <v>0</v>
      </c>
      <c r="G189">
        <v>0</v>
      </c>
      <c r="I189">
        <v>1.03488</v>
      </c>
      <c r="J189">
        <v>1.03126</v>
      </c>
      <c r="K189">
        <v>0.9987</v>
      </c>
      <c r="L189">
        <v>0.9625</v>
      </c>
      <c r="M189">
        <v>1.00414</v>
      </c>
      <c r="N189">
        <v>0.8771600000000001</v>
      </c>
      <c r="O189">
        <v>0.92206</v>
      </c>
      <c r="P189">
        <v>1.00156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11.604</v>
      </c>
      <c r="W189">
        <v>2.414</v>
      </c>
      <c r="X189">
        <v>83.422</v>
      </c>
      <c r="Y189">
        <v>32.844</v>
      </c>
      <c r="Z189">
        <v>45.821</v>
      </c>
      <c r="AA189">
        <v>176.105</v>
      </c>
      <c r="AB189">
        <v>0.97668</v>
      </c>
      <c r="AC189">
        <v>170</v>
      </c>
      <c r="AD189">
        <v>0</v>
      </c>
      <c r="AG189">
        <v>9</v>
      </c>
      <c r="AH189">
        <v>3</v>
      </c>
      <c r="AI189">
        <v>76</v>
      </c>
      <c r="AJ189">
        <v>32</v>
      </c>
      <c r="AK189">
        <v>50</v>
      </c>
    </row>
    <row r="190" spans="1:37">
      <c r="A190" t="s">
        <v>693</v>
      </c>
      <c r="B190" t="s">
        <v>1754</v>
      </c>
      <c r="C190">
        <v>37.3</v>
      </c>
      <c r="D190" t="s">
        <v>1476</v>
      </c>
      <c r="E190">
        <v>11</v>
      </c>
      <c r="F190">
        <v>0</v>
      </c>
      <c r="G190">
        <v>0</v>
      </c>
      <c r="I190">
        <v>1.03507</v>
      </c>
      <c r="J190">
        <v>1.03489</v>
      </c>
      <c r="K190">
        <v>0.9987</v>
      </c>
      <c r="L190">
        <v>0.96206</v>
      </c>
      <c r="M190">
        <v>0.9032</v>
      </c>
      <c r="N190">
        <v>0.87512</v>
      </c>
      <c r="O190">
        <v>0.88559</v>
      </c>
      <c r="P190">
        <v>1.00101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15.799</v>
      </c>
      <c r="W190">
        <v>3.804</v>
      </c>
      <c r="X190">
        <v>69.729</v>
      </c>
      <c r="Y190">
        <v>27.21</v>
      </c>
      <c r="Z190">
        <v>41.331</v>
      </c>
      <c r="AA190">
        <v>157.873</v>
      </c>
      <c r="AB190">
        <v>1.08824</v>
      </c>
      <c r="AC190">
        <v>175</v>
      </c>
      <c r="AD190">
        <v>0</v>
      </c>
      <c r="AG190">
        <v>20</v>
      </c>
      <c r="AH190">
        <v>1</v>
      </c>
      <c r="AI190">
        <v>81</v>
      </c>
      <c r="AJ190">
        <v>29</v>
      </c>
      <c r="AK190">
        <v>44</v>
      </c>
    </row>
    <row r="191" spans="1:37">
      <c r="A191" t="s">
        <v>392</v>
      </c>
      <c r="B191" t="s">
        <v>1751</v>
      </c>
      <c r="C191">
        <v>37.5</v>
      </c>
      <c r="D191" t="s">
        <v>1476</v>
      </c>
      <c r="E191">
        <v>12</v>
      </c>
      <c r="F191">
        <v>0</v>
      </c>
      <c r="G191">
        <v>0</v>
      </c>
      <c r="I191">
        <v>1.03526</v>
      </c>
      <c r="J191">
        <v>1.03748</v>
      </c>
      <c r="K191">
        <v>0.9987</v>
      </c>
      <c r="L191">
        <v>0.96166</v>
      </c>
      <c r="M191">
        <v>0.89244</v>
      </c>
      <c r="N191">
        <v>0.89949</v>
      </c>
      <c r="O191">
        <v>0.81059</v>
      </c>
      <c r="P191">
        <v>1.00054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55.16</v>
      </c>
      <c r="W191">
        <v>6.931</v>
      </c>
      <c r="X191">
        <v>49.477</v>
      </c>
      <c r="Y191">
        <v>10.131</v>
      </c>
      <c r="Z191">
        <v>33.962</v>
      </c>
      <c r="AA191">
        <v>155.661</v>
      </c>
      <c r="AB191">
        <v>1.00423</v>
      </c>
      <c r="AC191">
        <v>156</v>
      </c>
      <c r="AD191">
        <v>0</v>
      </c>
      <c r="AG191">
        <v>50</v>
      </c>
      <c r="AH191">
        <v>8</v>
      </c>
      <c r="AI191">
        <v>48</v>
      </c>
      <c r="AJ191">
        <v>7</v>
      </c>
      <c r="AK191">
        <v>43</v>
      </c>
    </row>
    <row r="192" spans="1:37">
      <c r="A192" t="s">
        <v>694</v>
      </c>
      <c r="B192" t="s">
        <v>1751</v>
      </c>
      <c r="C192">
        <v>35.8</v>
      </c>
      <c r="D192" t="s">
        <v>1476</v>
      </c>
      <c r="E192">
        <v>13</v>
      </c>
      <c r="F192">
        <v>0</v>
      </c>
      <c r="G192">
        <v>0</v>
      </c>
      <c r="I192">
        <v>1.03545</v>
      </c>
      <c r="J192">
        <v>1.04662</v>
      </c>
      <c r="K192">
        <v>0.9987</v>
      </c>
      <c r="L192">
        <v>0.9613</v>
      </c>
      <c r="M192">
        <v>0.86504</v>
      </c>
      <c r="N192">
        <v>0.8981</v>
      </c>
      <c r="O192">
        <v>0.80743</v>
      </c>
      <c r="P192">
        <v>1.00036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52.74</v>
      </c>
      <c r="W192">
        <v>6.99</v>
      </c>
      <c r="X192">
        <v>49.105</v>
      </c>
      <c r="Y192">
        <v>9.378</v>
      </c>
      <c r="Z192">
        <v>33.545</v>
      </c>
      <c r="AA192">
        <v>151.758</v>
      </c>
      <c r="AB192">
        <v>1.07599</v>
      </c>
      <c r="AC192">
        <v>153</v>
      </c>
      <c r="AD192">
        <v>0</v>
      </c>
      <c r="AG192">
        <v>44</v>
      </c>
      <c r="AH192">
        <v>7</v>
      </c>
      <c r="AI192">
        <v>66</v>
      </c>
      <c r="AJ192">
        <v>9</v>
      </c>
      <c r="AK192">
        <v>27</v>
      </c>
    </row>
    <row r="193" spans="1:37">
      <c r="A193" t="s">
        <v>695</v>
      </c>
      <c r="B193" t="s">
        <v>1751</v>
      </c>
      <c r="C193">
        <v>36.5</v>
      </c>
      <c r="D193" t="s">
        <v>1476</v>
      </c>
      <c r="E193">
        <v>14</v>
      </c>
      <c r="F193">
        <v>0</v>
      </c>
      <c r="G193">
        <v>0</v>
      </c>
      <c r="I193">
        <v>1.03563</v>
      </c>
      <c r="J193">
        <v>1.05152</v>
      </c>
      <c r="K193">
        <v>0.9987</v>
      </c>
      <c r="L193">
        <v>0.96097</v>
      </c>
      <c r="M193">
        <v>0.8849399999999999</v>
      </c>
      <c r="N193">
        <v>0.88337</v>
      </c>
      <c r="O193">
        <v>0.82302</v>
      </c>
      <c r="P193">
        <v>1.00025</v>
      </c>
      <c r="Q193">
        <v>1</v>
      </c>
      <c r="R193">
        <v>1</v>
      </c>
      <c r="S193">
        <v>1</v>
      </c>
      <c r="T193">
        <v>1</v>
      </c>
      <c r="U193">
        <v>0.87462</v>
      </c>
      <c r="V193">
        <v>44.088</v>
      </c>
      <c r="W193">
        <v>5.572</v>
      </c>
      <c r="X193">
        <v>48.779</v>
      </c>
      <c r="Y193">
        <v>10.078</v>
      </c>
      <c r="Z193">
        <v>28.29</v>
      </c>
      <c r="AA193">
        <v>136.807</v>
      </c>
      <c r="AB193">
        <v>1.08014</v>
      </c>
      <c r="AC193">
        <v>148</v>
      </c>
      <c r="AD193">
        <v>0</v>
      </c>
      <c r="AE193" t="s">
        <v>1758</v>
      </c>
      <c r="AG193">
        <v>52</v>
      </c>
      <c r="AH193">
        <v>10</v>
      </c>
      <c r="AI193">
        <v>34</v>
      </c>
      <c r="AJ193">
        <v>18</v>
      </c>
      <c r="AK193">
        <v>34</v>
      </c>
    </row>
    <row r="194" spans="1:37">
      <c r="A194" t="s">
        <v>696</v>
      </c>
      <c r="B194" t="s">
        <v>1751</v>
      </c>
      <c r="C194">
        <v>36.8</v>
      </c>
      <c r="D194" t="s">
        <v>1476</v>
      </c>
      <c r="E194">
        <v>15</v>
      </c>
      <c r="F194">
        <v>0</v>
      </c>
      <c r="G194">
        <v>0</v>
      </c>
      <c r="I194">
        <v>1.03582</v>
      </c>
      <c r="J194">
        <v>1.0451</v>
      </c>
      <c r="K194">
        <v>0.9987</v>
      </c>
      <c r="L194">
        <v>0.96069</v>
      </c>
      <c r="M194">
        <v>0.93941</v>
      </c>
      <c r="N194">
        <v>0.88373</v>
      </c>
      <c r="O194">
        <v>0.82399</v>
      </c>
      <c r="P194">
        <v>0.99732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51.079</v>
      </c>
      <c r="W194">
        <v>6.616</v>
      </c>
      <c r="X194">
        <v>56.846</v>
      </c>
      <c r="Y194">
        <v>11.609</v>
      </c>
      <c r="Z194">
        <v>36.389</v>
      </c>
      <c r="AA194">
        <v>162.539</v>
      </c>
      <c r="AB194">
        <v>1.01967</v>
      </c>
      <c r="AC194">
        <v>159</v>
      </c>
      <c r="AD194">
        <v>0</v>
      </c>
      <c r="AG194">
        <v>46</v>
      </c>
      <c r="AH194">
        <v>6</v>
      </c>
      <c r="AI194">
        <v>56</v>
      </c>
      <c r="AJ194">
        <v>11</v>
      </c>
      <c r="AK194">
        <v>40</v>
      </c>
    </row>
    <row r="195" spans="1:37">
      <c r="A195" t="s">
        <v>697</v>
      </c>
      <c r="B195" t="s">
        <v>1752</v>
      </c>
      <c r="C195">
        <v>37</v>
      </c>
      <c r="D195" t="s">
        <v>1476</v>
      </c>
      <c r="E195">
        <v>16</v>
      </c>
      <c r="F195">
        <v>0</v>
      </c>
      <c r="G195">
        <v>0</v>
      </c>
      <c r="I195">
        <v>1.03601</v>
      </c>
      <c r="J195">
        <v>1.03715</v>
      </c>
      <c r="K195">
        <v>0.9987</v>
      </c>
      <c r="L195">
        <v>0.96045</v>
      </c>
      <c r="M195">
        <v>1.1746</v>
      </c>
      <c r="N195">
        <v>0.86117</v>
      </c>
      <c r="O195">
        <v>0.86713</v>
      </c>
      <c r="P195">
        <v>0.99396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47.33</v>
      </c>
      <c r="W195">
        <v>5.518</v>
      </c>
      <c r="X195">
        <v>85.209</v>
      </c>
      <c r="Y195">
        <v>19.505</v>
      </c>
      <c r="Z195">
        <v>42.749</v>
      </c>
      <c r="AA195">
        <v>200.311</v>
      </c>
      <c r="AB195">
        <v>1.02913</v>
      </c>
      <c r="AC195">
        <v>234</v>
      </c>
      <c r="AD195">
        <v>0</v>
      </c>
      <c r="AG195">
        <v>55</v>
      </c>
      <c r="AH195">
        <v>7</v>
      </c>
      <c r="AI195">
        <v>87</v>
      </c>
      <c r="AJ195">
        <v>19</v>
      </c>
      <c r="AK195">
        <v>66</v>
      </c>
    </row>
    <row r="196" spans="1:37">
      <c r="A196" t="s">
        <v>698</v>
      </c>
      <c r="B196" t="s">
        <v>1753</v>
      </c>
      <c r="C196">
        <v>37.5</v>
      </c>
      <c r="D196" t="s">
        <v>1476</v>
      </c>
      <c r="E196">
        <v>17</v>
      </c>
      <c r="F196">
        <v>0</v>
      </c>
      <c r="G196">
        <v>0</v>
      </c>
      <c r="I196">
        <v>1.03619</v>
      </c>
      <c r="J196">
        <v>1.03587</v>
      </c>
      <c r="K196">
        <v>0.9987</v>
      </c>
      <c r="L196">
        <v>0.96026</v>
      </c>
      <c r="M196">
        <v>0.99807</v>
      </c>
      <c r="N196">
        <v>0.84862</v>
      </c>
      <c r="O196">
        <v>0.92072</v>
      </c>
      <c r="P196">
        <v>0.9894500000000001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11.246</v>
      </c>
      <c r="W196">
        <v>2.407</v>
      </c>
      <c r="X196">
        <v>78.28100000000001</v>
      </c>
      <c r="Y196">
        <v>30.434</v>
      </c>
      <c r="Z196">
        <v>46.511</v>
      </c>
      <c r="AA196">
        <v>168.879</v>
      </c>
      <c r="AB196">
        <v>0.9888400000000001</v>
      </c>
      <c r="AC196">
        <v>153</v>
      </c>
      <c r="AD196">
        <v>0</v>
      </c>
      <c r="AG196">
        <v>14</v>
      </c>
      <c r="AH196">
        <v>0</v>
      </c>
      <c r="AI196">
        <v>75</v>
      </c>
      <c r="AJ196">
        <v>21</v>
      </c>
      <c r="AK196">
        <v>43</v>
      </c>
    </row>
    <row r="197" spans="1:37">
      <c r="A197" t="s">
        <v>699</v>
      </c>
      <c r="B197" t="s">
        <v>1754</v>
      </c>
      <c r="C197">
        <v>35.9</v>
      </c>
      <c r="D197" t="s">
        <v>1476</v>
      </c>
      <c r="E197">
        <v>18</v>
      </c>
      <c r="F197">
        <v>0</v>
      </c>
      <c r="G197">
        <v>0</v>
      </c>
      <c r="I197">
        <v>1.03638</v>
      </c>
      <c r="J197">
        <v>1.03284</v>
      </c>
      <c r="K197">
        <v>0.9987</v>
      </c>
      <c r="L197">
        <v>0.96012</v>
      </c>
      <c r="M197">
        <v>0.90065</v>
      </c>
      <c r="N197">
        <v>0.8529099999999999</v>
      </c>
      <c r="O197">
        <v>0.88335</v>
      </c>
      <c r="P197">
        <v>0.98629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15.216</v>
      </c>
      <c r="W197">
        <v>3.764</v>
      </c>
      <c r="X197">
        <v>66.81699999999999</v>
      </c>
      <c r="Y197">
        <v>25.509</v>
      </c>
      <c r="Z197">
        <v>39.871</v>
      </c>
      <c r="AA197">
        <v>151.176</v>
      </c>
      <c r="AB197">
        <v>0.94304</v>
      </c>
      <c r="AC197">
        <v>139</v>
      </c>
      <c r="AD197">
        <v>0</v>
      </c>
      <c r="AG197">
        <v>12</v>
      </c>
      <c r="AH197">
        <v>5</v>
      </c>
      <c r="AI197">
        <v>66</v>
      </c>
      <c r="AJ197">
        <v>21</v>
      </c>
      <c r="AK197">
        <v>35</v>
      </c>
    </row>
    <row r="198" spans="1:37">
      <c r="A198" t="s">
        <v>393</v>
      </c>
      <c r="B198" t="s">
        <v>1751</v>
      </c>
      <c r="C198">
        <v>33.3</v>
      </c>
      <c r="D198" t="s">
        <v>1476</v>
      </c>
      <c r="E198">
        <v>19</v>
      </c>
      <c r="F198">
        <v>0</v>
      </c>
      <c r="G198">
        <v>0</v>
      </c>
      <c r="I198">
        <v>1.03657</v>
      </c>
      <c r="J198">
        <v>1.01033</v>
      </c>
      <c r="K198">
        <v>0.9987</v>
      </c>
      <c r="L198">
        <v>0.96003</v>
      </c>
      <c r="M198">
        <v>0.8918</v>
      </c>
      <c r="N198">
        <v>0.8839</v>
      </c>
      <c r="O198">
        <v>0.8081</v>
      </c>
      <c r="P198">
        <v>0.98631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51.859</v>
      </c>
      <c r="W198">
        <v>6.682</v>
      </c>
      <c r="X198">
        <v>47.953</v>
      </c>
      <c r="Y198">
        <v>9.494999999999999</v>
      </c>
      <c r="Z198">
        <v>30.775</v>
      </c>
      <c r="AA198">
        <v>146.764</v>
      </c>
      <c r="AB198">
        <v>1.02155</v>
      </c>
      <c r="AC198">
        <v>151</v>
      </c>
      <c r="AD198">
        <v>0</v>
      </c>
      <c r="AG198">
        <v>60</v>
      </c>
      <c r="AH198">
        <v>5</v>
      </c>
      <c r="AI198">
        <v>54</v>
      </c>
      <c r="AJ198">
        <v>4</v>
      </c>
      <c r="AK198">
        <v>28</v>
      </c>
    </row>
    <row r="199" spans="1:37">
      <c r="A199" t="s">
        <v>700</v>
      </c>
      <c r="B199" t="s">
        <v>1751</v>
      </c>
      <c r="C199">
        <v>33.8</v>
      </c>
      <c r="D199" t="s">
        <v>1476</v>
      </c>
      <c r="E199">
        <v>20</v>
      </c>
      <c r="F199">
        <v>0</v>
      </c>
      <c r="G199">
        <v>0</v>
      </c>
      <c r="I199">
        <v>1.03675</v>
      </c>
      <c r="J199">
        <v>1.01639</v>
      </c>
      <c r="K199">
        <v>0.9987</v>
      </c>
      <c r="L199">
        <v>0.96</v>
      </c>
      <c r="M199">
        <v>0.86555</v>
      </c>
      <c r="N199">
        <v>0.88141</v>
      </c>
      <c r="O199">
        <v>0.8045099999999999</v>
      </c>
      <c r="P199">
        <v>0.98348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49.479</v>
      </c>
      <c r="W199">
        <v>6.71</v>
      </c>
      <c r="X199">
        <v>46.313</v>
      </c>
      <c r="Y199">
        <v>8.622999999999999</v>
      </c>
      <c r="Z199">
        <v>31.042</v>
      </c>
      <c r="AA199">
        <v>142.166</v>
      </c>
      <c r="AB199">
        <v>1.02693</v>
      </c>
      <c r="AC199">
        <v>162</v>
      </c>
      <c r="AD199">
        <v>0</v>
      </c>
      <c r="AG199">
        <v>50</v>
      </c>
      <c r="AH199">
        <v>9</v>
      </c>
      <c r="AI199">
        <v>65</v>
      </c>
      <c r="AJ199">
        <v>8</v>
      </c>
      <c r="AK199">
        <v>30</v>
      </c>
    </row>
    <row r="200" spans="1:37">
      <c r="A200" t="s">
        <v>701</v>
      </c>
      <c r="B200" t="s">
        <v>1751</v>
      </c>
      <c r="C200">
        <v>36.4</v>
      </c>
      <c r="D200" t="s">
        <v>1476</v>
      </c>
      <c r="E200">
        <v>21</v>
      </c>
      <c r="F200">
        <v>0</v>
      </c>
      <c r="G200">
        <v>0</v>
      </c>
      <c r="I200">
        <v>1.03694</v>
      </c>
      <c r="J200">
        <v>1.03206</v>
      </c>
      <c r="K200">
        <v>0.9987</v>
      </c>
      <c r="L200">
        <v>0.96002</v>
      </c>
      <c r="M200">
        <v>0.89363</v>
      </c>
      <c r="N200">
        <v>0.8726699999999999</v>
      </c>
      <c r="O200">
        <v>0.80774</v>
      </c>
      <c r="P200">
        <v>0.98054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50.053</v>
      </c>
      <c r="W200">
        <v>6.802</v>
      </c>
      <c r="X200">
        <v>48.025</v>
      </c>
      <c r="Y200">
        <v>9.262</v>
      </c>
      <c r="Z200">
        <v>33.156</v>
      </c>
      <c r="AA200">
        <v>147.298</v>
      </c>
      <c r="AB200">
        <v>1.10002</v>
      </c>
      <c r="AC200">
        <v>153</v>
      </c>
      <c r="AD200">
        <v>0</v>
      </c>
      <c r="AG200">
        <v>54</v>
      </c>
      <c r="AH200">
        <v>10</v>
      </c>
      <c r="AI200">
        <v>53</v>
      </c>
      <c r="AJ200">
        <v>7</v>
      </c>
      <c r="AK200">
        <v>29</v>
      </c>
    </row>
    <row r="201" spans="1:37">
      <c r="A201" t="s">
        <v>702</v>
      </c>
      <c r="B201" t="s">
        <v>1751</v>
      </c>
      <c r="C201">
        <v>35.9</v>
      </c>
      <c r="D201" t="s">
        <v>1476</v>
      </c>
      <c r="E201">
        <v>22</v>
      </c>
      <c r="F201">
        <v>0</v>
      </c>
      <c r="G201">
        <v>0</v>
      </c>
      <c r="I201">
        <v>1.03713</v>
      </c>
      <c r="J201">
        <v>1.01262</v>
      </c>
      <c r="K201">
        <v>0.9987</v>
      </c>
      <c r="L201">
        <v>0.96009</v>
      </c>
      <c r="M201">
        <v>0.94007</v>
      </c>
      <c r="N201">
        <v>0.86661</v>
      </c>
      <c r="O201">
        <v>0.82089</v>
      </c>
      <c r="P201">
        <v>0.97719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47.967</v>
      </c>
      <c r="W201">
        <v>6.329</v>
      </c>
      <c r="X201">
        <v>52.572</v>
      </c>
      <c r="Y201">
        <v>10.551</v>
      </c>
      <c r="Z201">
        <v>33.967</v>
      </c>
      <c r="AA201">
        <v>151.386</v>
      </c>
      <c r="AB201">
        <v>1.01705</v>
      </c>
      <c r="AC201">
        <v>142</v>
      </c>
      <c r="AD201">
        <v>0</v>
      </c>
      <c r="AG201">
        <v>46</v>
      </c>
      <c r="AH201">
        <v>7</v>
      </c>
      <c r="AI201">
        <v>53</v>
      </c>
      <c r="AJ201">
        <v>10</v>
      </c>
      <c r="AK201">
        <v>26</v>
      </c>
    </row>
    <row r="202" spans="1:37">
      <c r="A202" t="s">
        <v>703</v>
      </c>
      <c r="B202" t="s">
        <v>1752</v>
      </c>
      <c r="C202">
        <v>37.2</v>
      </c>
      <c r="D202" t="s">
        <v>1476</v>
      </c>
      <c r="E202">
        <v>23</v>
      </c>
      <c r="F202">
        <v>0</v>
      </c>
      <c r="G202">
        <v>0</v>
      </c>
      <c r="I202">
        <v>1.03731</v>
      </c>
      <c r="J202">
        <v>1.02376</v>
      </c>
      <c r="K202">
        <v>0.9987</v>
      </c>
      <c r="L202">
        <v>0.96022</v>
      </c>
      <c r="M202">
        <v>1.1719</v>
      </c>
      <c r="N202">
        <v>0.84423</v>
      </c>
      <c r="O202">
        <v>0.86461</v>
      </c>
      <c r="P202">
        <v>0.97228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45.395</v>
      </c>
      <c r="W202">
        <v>5.38</v>
      </c>
      <c r="X202">
        <v>79.742</v>
      </c>
      <c r="Y202">
        <v>18.017</v>
      </c>
      <c r="Z202">
        <v>41.217</v>
      </c>
      <c r="AA202">
        <v>189.751</v>
      </c>
      <c r="AB202">
        <v>0.9987</v>
      </c>
      <c r="AC202">
        <v>181</v>
      </c>
      <c r="AD202">
        <v>0</v>
      </c>
      <c r="AG202">
        <v>50</v>
      </c>
      <c r="AH202">
        <v>6</v>
      </c>
      <c r="AI202">
        <v>67</v>
      </c>
      <c r="AJ202">
        <v>20</v>
      </c>
      <c r="AK202">
        <v>38</v>
      </c>
    </row>
    <row r="203" spans="1:37">
      <c r="A203" t="s">
        <v>704</v>
      </c>
      <c r="B203" t="s">
        <v>1753</v>
      </c>
      <c r="C203">
        <v>37.1</v>
      </c>
      <c r="D203" t="s">
        <v>1476</v>
      </c>
      <c r="E203">
        <v>24</v>
      </c>
      <c r="F203">
        <v>0</v>
      </c>
      <c r="G203">
        <v>0</v>
      </c>
      <c r="I203">
        <v>1.0375</v>
      </c>
      <c r="J203">
        <v>1.03373</v>
      </c>
      <c r="K203">
        <v>0.9987</v>
      </c>
      <c r="L203">
        <v>0.96039</v>
      </c>
      <c r="M203">
        <v>0.9922299999999999</v>
      </c>
      <c r="N203">
        <v>0.83355</v>
      </c>
      <c r="O203">
        <v>0.9194</v>
      </c>
      <c r="P203">
        <v>0.96451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10.935</v>
      </c>
      <c r="W203">
        <v>2.373</v>
      </c>
      <c r="X203">
        <v>74.611</v>
      </c>
      <c r="Y203">
        <v>28.632</v>
      </c>
      <c r="Z203">
        <v>45.024</v>
      </c>
      <c r="AA203">
        <v>161.576</v>
      </c>
      <c r="AB203">
        <v>1.04591</v>
      </c>
      <c r="AC203">
        <v>157</v>
      </c>
      <c r="AD203">
        <v>0</v>
      </c>
      <c r="AG203">
        <v>15</v>
      </c>
      <c r="AH203">
        <v>5</v>
      </c>
      <c r="AI203">
        <v>75</v>
      </c>
      <c r="AJ203">
        <v>22</v>
      </c>
      <c r="AK203">
        <v>40</v>
      </c>
    </row>
    <row r="204" spans="1:37">
      <c r="A204" t="s">
        <v>705</v>
      </c>
      <c r="B204" t="s">
        <v>1754</v>
      </c>
      <c r="C204">
        <v>35.5</v>
      </c>
      <c r="D204" t="s">
        <v>1476</v>
      </c>
      <c r="E204">
        <v>25</v>
      </c>
      <c r="F204">
        <v>0</v>
      </c>
      <c r="G204">
        <v>0</v>
      </c>
      <c r="I204">
        <v>1.03769</v>
      </c>
      <c r="J204">
        <v>1.02537</v>
      </c>
      <c r="K204">
        <v>0.9987</v>
      </c>
      <c r="L204">
        <v>0.96062</v>
      </c>
      <c r="M204">
        <v>0.89663</v>
      </c>
      <c r="N204">
        <v>0.8407</v>
      </c>
      <c r="O204">
        <v>0.88137</v>
      </c>
      <c r="P204">
        <v>0.96214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14.763</v>
      </c>
      <c r="W204">
        <v>3.693</v>
      </c>
      <c r="X204">
        <v>63.669</v>
      </c>
      <c r="Y204">
        <v>24.019</v>
      </c>
      <c r="Z204">
        <v>38.404</v>
      </c>
      <c r="AA204">
        <v>144.548</v>
      </c>
      <c r="AB204">
        <v>0.98835</v>
      </c>
      <c r="AC204">
        <v>127</v>
      </c>
      <c r="AD204">
        <v>0</v>
      </c>
      <c r="AG204">
        <v>16</v>
      </c>
      <c r="AH204">
        <v>6</v>
      </c>
      <c r="AI204">
        <v>54</v>
      </c>
      <c r="AJ204">
        <v>23</v>
      </c>
      <c r="AK204">
        <v>28</v>
      </c>
    </row>
    <row r="205" spans="1:37">
      <c r="A205" t="s">
        <v>394</v>
      </c>
      <c r="B205" t="s">
        <v>1751</v>
      </c>
      <c r="C205">
        <v>35.3</v>
      </c>
      <c r="D205" t="s">
        <v>1476</v>
      </c>
      <c r="E205">
        <v>26</v>
      </c>
      <c r="F205">
        <v>0</v>
      </c>
      <c r="G205">
        <v>0</v>
      </c>
      <c r="I205">
        <v>1.03788</v>
      </c>
      <c r="J205">
        <v>1.03006</v>
      </c>
      <c r="K205">
        <v>0.9987</v>
      </c>
      <c r="L205">
        <v>0.96089</v>
      </c>
      <c r="M205">
        <v>0.8946</v>
      </c>
      <c r="N205">
        <v>0.86874</v>
      </c>
      <c r="O205">
        <v>0.80493</v>
      </c>
      <c r="P205">
        <v>0.96712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51.834</v>
      </c>
      <c r="W205">
        <v>6.736</v>
      </c>
      <c r="X205">
        <v>45.516</v>
      </c>
      <c r="Y205">
        <v>9.02</v>
      </c>
      <c r="Z205">
        <v>31.378</v>
      </c>
      <c r="AA205">
        <v>144.484</v>
      </c>
      <c r="AB205">
        <v>1.00535</v>
      </c>
      <c r="AC205">
        <v>137</v>
      </c>
      <c r="AD205">
        <v>0</v>
      </c>
      <c r="AG205">
        <v>51</v>
      </c>
      <c r="AH205">
        <v>5</v>
      </c>
      <c r="AI205">
        <v>44</v>
      </c>
      <c r="AJ205">
        <v>12</v>
      </c>
      <c r="AK205">
        <v>25</v>
      </c>
    </row>
    <row r="206" spans="1:37">
      <c r="A206" t="s">
        <v>706</v>
      </c>
      <c r="B206" t="s">
        <v>1751</v>
      </c>
      <c r="C206">
        <v>35.2</v>
      </c>
      <c r="D206" t="s">
        <v>1476</v>
      </c>
      <c r="E206">
        <v>27</v>
      </c>
      <c r="F206">
        <v>0</v>
      </c>
      <c r="G206">
        <v>0</v>
      </c>
      <c r="I206">
        <v>1.03806</v>
      </c>
      <c r="J206">
        <v>1.02136</v>
      </c>
      <c r="K206">
        <v>0.9987</v>
      </c>
      <c r="L206">
        <v>0.9612000000000001</v>
      </c>
      <c r="M206">
        <v>0.86774</v>
      </c>
      <c r="N206">
        <v>0.87042</v>
      </c>
      <c r="O206">
        <v>0.80203</v>
      </c>
      <c r="P206">
        <v>0.96694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48.962</v>
      </c>
      <c r="W206">
        <v>6.683</v>
      </c>
      <c r="X206">
        <v>44.094</v>
      </c>
      <c r="Y206">
        <v>8.205</v>
      </c>
      <c r="Z206">
        <v>31.091</v>
      </c>
      <c r="AA206">
        <v>139.034</v>
      </c>
      <c r="AB206">
        <v>0.9339</v>
      </c>
      <c r="AC206">
        <v>109</v>
      </c>
      <c r="AD206">
        <v>0</v>
      </c>
      <c r="AG206">
        <v>36</v>
      </c>
      <c r="AH206">
        <v>4</v>
      </c>
      <c r="AI206">
        <v>36</v>
      </c>
      <c r="AJ206">
        <v>7</v>
      </c>
      <c r="AK206">
        <v>26</v>
      </c>
    </row>
    <row r="207" spans="1:37">
      <c r="A207" t="s">
        <v>707</v>
      </c>
      <c r="B207" t="s">
        <v>1751</v>
      </c>
      <c r="C207">
        <v>36</v>
      </c>
      <c r="D207" t="s">
        <v>1476</v>
      </c>
      <c r="E207">
        <v>28</v>
      </c>
      <c r="F207">
        <v>0</v>
      </c>
      <c r="G207">
        <v>0</v>
      </c>
      <c r="I207">
        <v>1.03825</v>
      </c>
      <c r="J207">
        <v>1.01791</v>
      </c>
      <c r="K207">
        <v>0.9987</v>
      </c>
      <c r="L207">
        <v>0.96156</v>
      </c>
      <c r="M207">
        <v>0.89425</v>
      </c>
      <c r="N207">
        <v>0.86717</v>
      </c>
      <c r="O207">
        <v>0.80621</v>
      </c>
      <c r="P207">
        <v>0.9666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48.835</v>
      </c>
      <c r="W207">
        <v>6.664</v>
      </c>
      <c r="X207">
        <v>46.319</v>
      </c>
      <c r="Y207">
        <v>8.877000000000001</v>
      </c>
      <c r="Z207">
        <v>32.006</v>
      </c>
      <c r="AA207">
        <v>142.7</v>
      </c>
      <c r="AB207">
        <v>1.09543</v>
      </c>
      <c r="AC207">
        <v>150</v>
      </c>
      <c r="AD207">
        <v>0</v>
      </c>
      <c r="AG207">
        <v>63</v>
      </c>
      <c r="AH207">
        <v>5</v>
      </c>
      <c r="AI207">
        <v>52</v>
      </c>
      <c r="AJ207">
        <v>8</v>
      </c>
      <c r="AK207">
        <v>22</v>
      </c>
    </row>
    <row r="208" spans="1:37">
      <c r="A208" t="s">
        <v>708</v>
      </c>
      <c r="B208" t="s">
        <v>1751</v>
      </c>
      <c r="C208">
        <v>34.3</v>
      </c>
      <c r="D208" t="s">
        <v>1476</v>
      </c>
      <c r="E208">
        <v>29</v>
      </c>
      <c r="F208">
        <v>0</v>
      </c>
      <c r="G208">
        <v>0</v>
      </c>
      <c r="I208">
        <v>1.03844</v>
      </c>
      <c r="J208">
        <v>1.02894</v>
      </c>
      <c r="K208">
        <v>0.9987</v>
      </c>
      <c r="L208">
        <v>0.96195</v>
      </c>
      <c r="M208">
        <v>0.93996</v>
      </c>
      <c r="N208">
        <v>0.86614</v>
      </c>
      <c r="O208">
        <v>0.82026</v>
      </c>
      <c r="P208">
        <v>0.96573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48.44</v>
      </c>
      <c r="W208">
        <v>6.403</v>
      </c>
      <c r="X208">
        <v>53.516</v>
      </c>
      <c r="Y208">
        <v>10.638</v>
      </c>
      <c r="Z208">
        <v>33.419</v>
      </c>
      <c r="AA208">
        <v>152.415</v>
      </c>
      <c r="AB208">
        <v>1.02968</v>
      </c>
      <c r="AC208">
        <v>171</v>
      </c>
      <c r="AD208">
        <v>0</v>
      </c>
      <c r="AG208">
        <v>61</v>
      </c>
      <c r="AH208">
        <v>8</v>
      </c>
      <c r="AI208">
        <v>61</v>
      </c>
      <c r="AJ208">
        <v>8</v>
      </c>
      <c r="AK208">
        <v>33</v>
      </c>
    </row>
    <row r="209" spans="1:37">
      <c r="A209" t="s">
        <v>709</v>
      </c>
      <c r="B209" t="s">
        <v>1752</v>
      </c>
      <c r="C209">
        <v>33.2</v>
      </c>
      <c r="D209" t="s">
        <v>1476</v>
      </c>
      <c r="E209">
        <v>0</v>
      </c>
      <c r="F209">
        <v>0</v>
      </c>
      <c r="G209">
        <v>0</v>
      </c>
      <c r="I209">
        <v>1.03862</v>
      </c>
      <c r="J209">
        <v>1.03477</v>
      </c>
      <c r="K209">
        <v>0.9987</v>
      </c>
      <c r="L209">
        <v>0.9623699999999999</v>
      </c>
      <c r="M209">
        <v>1.18421</v>
      </c>
      <c r="N209">
        <v>0.85404</v>
      </c>
      <c r="O209">
        <v>0.87037</v>
      </c>
      <c r="P209">
        <v>1.07416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47.694</v>
      </c>
      <c r="W209">
        <v>5.8</v>
      </c>
      <c r="X209">
        <v>95.676</v>
      </c>
      <c r="Y209">
        <v>21.252</v>
      </c>
      <c r="Z209">
        <v>44.878</v>
      </c>
      <c r="AA209">
        <v>215.3</v>
      </c>
      <c r="AB209">
        <v>0.9835</v>
      </c>
      <c r="AC209">
        <v>208</v>
      </c>
      <c r="AD209">
        <v>0</v>
      </c>
      <c r="AG209">
        <v>44</v>
      </c>
      <c r="AH209">
        <v>5</v>
      </c>
      <c r="AI209">
        <v>103</v>
      </c>
      <c r="AJ209">
        <v>18</v>
      </c>
      <c r="AK209">
        <v>38</v>
      </c>
    </row>
    <row r="210" spans="1:37">
      <c r="A210" t="s">
        <v>710</v>
      </c>
      <c r="B210" t="s">
        <v>1753</v>
      </c>
      <c r="C210">
        <v>34.2</v>
      </c>
      <c r="D210" t="s">
        <v>1476</v>
      </c>
      <c r="E210">
        <v>1</v>
      </c>
      <c r="F210">
        <v>0</v>
      </c>
      <c r="G210">
        <v>0</v>
      </c>
      <c r="I210">
        <v>1.03881</v>
      </c>
      <c r="J210">
        <v>1.04502</v>
      </c>
      <c r="K210">
        <v>0.9987</v>
      </c>
      <c r="L210">
        <v>0.96283</v>
      </c>
      <c r="M210">
        <v>1.0131</v>
      </c>
      <c r="N210">
        <v>0.84214</v>
      </c>
      <c r="O210">
        <v>0.92222</v>
      </c>
      <c r="P210">
        <v>1.05713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11.444</v>
      </c>
      <c r="W210">
        <v>2.528</v>
      </c>
      <c r="X210">
        <v>86.28</v>
      </c>
      <c r="Y210">
        <v>32.801</v>
      </c>
      <c r="Z210">
        <v>48.563</v>
      </c>
      <c r="AA210">
        <v>181.617</v>
      </c>
      <c r="AB210">
        <v>0.97692</v>
      </c>
      <c r="AC210">
        <v>165</v>
      </c>
      <c r="AD210">
        <v>0</v>
      </c>
      <c r="AG210">
        <v>12</v>
      </c>
      <c r="AH210">
        <v>1</v>
      </c>
      <c r="AI210">
        <v>83</v>
      </c>
      <c r="AJ210">
        <v>28</v>
      </c>
      <c r="AK210">
        <v>41</v>
      </c>
    </row>
    <row r="211" spans="1:37">
      <c r="A211" t="s">
        <v>711</v>
      </c>
      <c r="B211" t="s">
        <v>1754</v>
      </c>
      <c r="C211">
        <v>35</v>
      </c>
      <c r="D211" t="s">
        <v>1476</v>
      </c>
      <c r="E211">
        <v>2</v>
      </c>
      <c r="F211">
        <v>0</v>
      </c>
      <c r="G211">
        <v>0</v>
      </c>
      <c r="I211">
        <v>1.039</v>
      </c>
      <c r="J211">
        <v>1.04784</v>
      </c>
      <c r="K211">
        <v>0.9987</v>
      </c>
      <c r="L211">
        <v>0.9633</v>
      </c>
      <c r="M211">
        <v>0.90827</v>
      </c>
      <c r="N211">
        <v>0.84559</v>
      </c>
      <c r="O211">
        <v>0.88488</v>
      </c>
      <c r="P211">
        <v>1.03712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15.599</v>
      </c>
      <c r="W211">
        <v>3.948</v>
      </c>
      <c r="X211">
        <v>71.73399999999999</v>
      </c>
      <c r="Y211">
        <v>27.092</v>
      </c>
      <c r="Z211">
        <v>42.498</v>
      </c>
      <c r="AA211">
        <v>160.871</v>
      </c>
      <c r="AB211">
        <v>1.1797</v>
      </c>
      <c r="AC211">
        <v>212</v>
      </c>
      <c r="AD211">
        <v>0</v>
      </c>
      <c r="AG211">
        <v>12</v>
      </c>
      <c r="AH211">
        <v>6</v>
      </c>
      <c r="AI211">
        <v>90</v>
      </c>
      <c r="AJ211">
        <v>50</v>
      </c>
      <c r="AK211">
        <v>54</v>
      </c>
    </row>
    <row r="212" spans="1:37">
      <c r="A212" t="s">
        <v>395</v>
      </c>
      <c r="B212" t="s">
        <v>1751</v>
      </c>
      <c r="C212">
        <v>34.8</v>
      </c>
      <c r="D212" t="s">
        <v>1476</v>
      </c>
      <c r="E212">
        <v>3</v>
      </c>
      <c r="F212">
        <v>0</v>
      </c>
      <c r="G212">
        <v>0</v>
      </c>
      <c r="I212">
        <v>1.03918</v>
      </c>
      <c r="J212">
        <v>1.04661</v>
      </c>
      <c r="K212">
        <v>0.9987</v>
      </c>
      <c r="L212">
        <v>0.96379</v>
      </c>
      <c r="M212">
        <v>0.89147</v>
      </c>
      <c r="N212">
        <v>0.87508</v>
      </c>
      <c r="O212">
        <v>0.80871</v>
      </c>
      <c r="P212">
        <v>1.01981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54.487</v>
      </c>
      <c r="W212">
        <v>7.127</v>
      </c>
      <c r="X212">
        <v>50.75</v>
      </c>
      <c r="Y212">
        <v>10.087</v>
      </c>
      <c r="Z212">
        <v>34.224</v>
      </c>
      <c r="AA212">
        <v>156.675</v>
      </c>
      <c r="AB212">
        <v>0.9413899999999999</v>
      </c>
      <c r="AC212">
        <v>151</v>
      </c>
      <c r="AD212">
        <v>0</v>
      </c>
      <c r="AG212">
        <v>48</v>
      </c>
      <c r="AH212">
        <v>6</v>
      </c>
      <c r="AI212">
        <v>61</v>
      </c>
      <c r="AJ212">
        <v>6</v>
      </c>
      <c r="AK212">
        <v>30</v>
      </c>
    </row>
    <row r="213" spans="1:37">
      <c r="A213" t="s">
        <v>712</v>
      </c>
      <c r="B213" t="s">
        <v>1751</v>
      </c>
      <c r="C213">
        <v>36.1</v>
      </c>
      <c r="D213" t="s">
        <v>1476</v>
      </c>
      <c r="E213">
        <v>4</v>
      </c>
      <c r="F213">
        <v>0</v>
      </c>
      <c r="G213">
        <v>0</v>
      </c>
      <c r="I213">
        <v>1.03937</v>
      </c>
      <c r="J213">
        <v>1.03788</v>
      </c>
      <c r="K213">
        <v>0.9987</v>
      </c>
      <c r="L213">
        <v>0.9643</v>
      </c>
      <c r="M213">
        <v>0.8658</v>
      </c>
      <c r="N213">
        <v>0.8772799999999999</v>
      </c>
      <c r="O213">
        <v>0.8055600000000001</v>
      </c>
      <c r="P213">
        <v>1.01334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51.504</v>
      </c>
      <c r="W213">
        <v>7.042</v>
      </c>
      <c r="X213">
        <v>48.147</v>
      </c>
      <c r="Y213">
        <v>9.051</v>
      </c>
      <c r="Z213">
        <v>34.212</v>
      </c>
      <c r="AA213">
        <v>149.957</v>
      </c>
      <c r="AB213">
        <v>0.9061900000000001</v>
      </c>
      <c r="AC213">
        <v>138</v>
      </c>
      <c r="AD213">
        <v>0</v>
      </c>
      <c r="AG213">
        <v>50</v>
      </c>
      <c r="AH213">
        <v>8</v>
      </c>
      <c r="AI213">
        <v>42</v>
      </c>
      <c r="AJ213">
        <v>10</v>
      </c>
      <c r="AK213">
        <v>28</v>
      </c>
    </row>
    <row r="214" spans="1:37">
      <c r="A214" t="s">
        <v>713</v>
      </c>
      <c r="B214" t="s">
        <v>1751</v>
      </c>
      <c r="C214">
        <v>36.5</v>
      </c>
      <c r="D214" t="s">
        <v>1476</v>
      </c>
      <c r="E214">
        <v>5</v>
      </c>
      <c r="F214">
        <v>0</v>
      </c>
      <c r="G214">
        <v>0</v>
      </c>
      <c r="I214">
        <v>1.03956</v>
      </c>
      <c r="J214">
        <v>1.0208</v>
      </c>
      <c r="K214">
        <v>1.00939</v>
      </c>
      <c r="L214">
        <v>0.9648099999999999</v>
      </c>
      <c r="M214">
        <v>0.8925</v>
      </c>
      <c r="N214">
        <v>0.87682</v>
      </c>
      <c r="O214">
        <v>0.80988</v>
      </c>
      <c r="P214">
        <v>1.00904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51.306</v>
      </c>
      <c r="W214">
        <v>6.984</v>
      </c>
      <c r="X214">
        <v>50.596</v>
      </c>
      <c r="Y214">
        <v>9.797000000000001</v>
      </c>
      <c r="Z214">
        <v>34.755</v>
      </c>
      <c r="AA214">
        <v>153.438</v>
      </c>
      <c r="AB214">
        <v>0.97129</v>
      </c>
      <c r="AC214">
        <v>162</v>
      </c>
      <c r="AD214">
        <v>0</v>
      </c>
      <c r="AG214">
        <v>58</v>
      </c>
      <c r="AH214">
        <v>10</v>
      </c>
      <c r="AI214">
        <v>48</v>
      </c>
      <c r="AJ214">
        <v>7</v>
      </c>
      <c r="AK214">
        <v>39</v>
      </c>
    </row>
    <row r="215" spans="1:37">
      <c r="A215" t="s">
        <v>714</v>
      </c>
      <c r="B215" t="s">
        <v>1751</v>
      </c>
      <c r="C215">
        <v>36.4</v>
      </c>
      <c r="D215" t="s">
        <v>1476</v>
      </c>
      <c r="E215">
        <v>6</v>
      </c>
      <c r="F215">
        <v>0</v>
      </c>
      <c r="G215">
        <v>0</v>
      </c>
      <c r="I215">
        <v>1.03974</v>
      </c>
      <c r="J215">
        <v>1.01434</v>
      </c>
      <c r="K215">
        <v>1.00939</v>
      </c>
      <c r="L215">
        <v>0.96533</v>
      </c>
      <c r="M215">
        <v>0.93953</v>
      </c>
      <c r="N215">
        <v>0.87484</v>
      </c>
      <c r="O215">
        <v>0.82346</v>
      </c>
      <c r="P215">
        <v>1.00621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50.112</v>
      </c>
      <c r="W215">
        <v>6.584</v>
      </c>
      <c r="X215">
        <v>56.29</v>
      </c>
      <c r="Y215">
        <v>11.399</v>
      </c>
      <c r="Z215">
        <v>36.249</v>
      </c>
      <c r="AA215">
        <v>160.635</v>
      </c>
      <c r="AB215">
        <v>1.04682</v>
      </c>
      <c r="AC215">
        <v>160</v>
      </c>
      <c r="AD215">
        <v>0</v>
      </c>
      <c r="AG215">
        <v>55</v>
      </c>
      <c r="AH215">
        <v>10</v>
      </c>
      <c r="AI215">
        <v>42</v>
      </c>
      <c r="AJ215">
        <v>12</v>
      </c>
      <c r="AK215">
        <v>41</v>
      </c>
    </row>
    <row r="216" spans="1:37">
      <c r="A216" t="s">
        <v>715</v>
      </c>
      <c r="B216" t="s">
        <v>1752</v>
      </c>
      <c r="C216">
        <v>37.2</v>
      </c>
      <c r="D216" t="s">
        <v>1476</v>
      </c>
      <c r="E216">
        <v>7</v>
      </c>
      <c r="F216">
        <v>0</v>
      </c>
      <c r="G216">
        <v>0</v>
      </c>
      <c r="I216">
        <v>1.03993</v>
      </c>
      <c r="J216">
        <v>1.01871</v>
      </c>
      <c r="K216">
        <v>1.00939</v>
      </c>
      <c r="L216">
        <v>0.96584</v>
      </c>
      <c r="M216">
        <v>1.17507</v>
      </c>
      <c r="N216">
        <v>0.8577399999999999</v>
      </c>
      <c r="O216">
        <v>0.86733</v>
      </c>
      <c r="P216">
        <v>1.0045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47.421</v>
      </c>
      <c r="W216">
        <v>5.565</v>
      </c>
      <c r="X216">
        <v>85.953</v>
      </c>
      <c r="Y216">
        <v>19.637</v>
      </c>
      <c r="Z216">
        <v>43.497</v>
      </c>
      <c r="AA216">
        <v>202.072</v>
      </c>
      <c r="AB216">
        <v>1.01515</v>
      </c>
      <c r="AC216">
        <v>214</v>
      </c>
      <c r="AD216">
        <v>0</v>
      </c>
      <c r="AG216">
        <v>39</v>
      </c>
      <c r="AH216">
        <v>4</v>
      </c>
      <c r="AI216">
        <v>85</v>
      </c>
      <c r="AJ216">
        <v>26</v>
      </c>
      <c r="AK216">
        <v>60</v>
      </c>
    </row>
    <row r="217" spans="1:37">
      <c r="A217" t="s">
        <v>716</v>
      </c>
      <c r="B217" t="s">
        <v>1753</v>
      </c>
      <c r="C217">
        <v>38.6</v>
      </c>
      <c r="D217" t="s">
        <v>1476</v>
      </c>
      <c r="E217">
        <v>8</v>
      </c>
      <c r="F217">
        <v>0</v>
      </c>
      <c r="G217">
        <v>0</v>
      </c>
      <c r="I217">
        <v>1.04012</v>
      </c>
      <c r="J217">
        <v>1.01144</v>
      </c>
      <c r="K217">
        <v>1.00939</v>
      </c>
      <c r="L217">
        <v>0.96635</v>
      </c>
      <c r="M217">
        <v>1.00063</v>
      </c>
      <c r="N217">
        <v>0.8519099999999999</v>
      </c>
      <c r="O217">
        <v>0.9213</v>
      </c>
      <c r="P217">
        <v>1.00347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11.306</v>
      </c>
      <c r="W217">
        <v>2.417</v>
      </c>
      <c r="X217">
        <v>79.11</v>
      </c>
      <c r="Y217">
        <v>30.892</v>
      </c>
      <c r="Z217">
        <v>47.685</v>
      </c>
      <c r="AA217">
        <v>171.41</v>
      </c>
      <c r="AB217">
        <v>1.0639</v>
      </c>
      <c r="AC217">
        <v>163</v>
      </c>
      <c r="AD217">
        <v>0</v>
      </c>
      <c r="AG217">
        <v>9</v>
      </c>
      <c r="AH217">
        <v>2</v>
      </c>
      <c r="AI217">
        <v>79</v>
      </c>
      <c r="AJ217">
        <v>34</v>
      </c>
      <c r="AK217">
        <v>39</v>
      </c>
    </row>
    <row r="218" spans="1:37">
      <c r="A218" t="s">
        <v>717</v>
      </c>
      <c r="B218" t="s">
        <v>1754</v>
      </c>
      <c r="C218">
        <v>37.7</v>
      </c>
      <c r="D218" t="s">
        <v>1476</v>
      </c>
      <c r="E218">
        <v>9</v>
      </c>
      <c r="F218">
        <v>0</v>
      </c>
      <c r="G218">
        <v>0</v>
      </c>
      <c r="I218">
        <v>1.04031</v>
      </c>
      <c r="J218">
        <v>1.01214</v>
      </c>
      <c r="K218">
        <v>1.00939</v>
      </c>
      <c r="L218">
        <v>0.96683</v>
      </c>
      <c r="M218">
        <v>0.90254</v>
      </c>
      <c r="N218">
        <v>0.86048</v>
      </c>
      <c r="O218">
        <v>0.88462</v>
      </c>
      <c r="P218">
        <v>1.00226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15.498</v>
      </c>
      <c r="W218">
        <v>3.801</v>
      </c>
      <c r="X218">
        <v>68.06</v>
      </c>
      <c r="Y218">
        <v>26.299</v>
      </c>
      <c r="Z218">
        <v>41.521</v>
      </c>
      <c r="AA218">
        <v>155.179</v>
      </c>
      <c r="AB218">
        <v>0.96684</v>
      </c>
      <c r="AC218">
        <v>162</v>
      </c>
      <c r="AD218">
        <v>0</v>
      </c>
      <c r="AG218">
        <v>17</v>
      </c>
      <c r="AH218">
        <v>4</v>
      </c>
      <c r="AI218">
        <v>71</v>
      </c>
      <c r="AJ218">
        <v>30</v>
      </c>
      <c r="AK218">
        <v>40</v>
      </c>
    </row>
    <row r="219" spans="1:37">
      <c r="A219" t="s">
        <v>396</v>
      </c>
      <c r="B219" t="s">
        <v>1751</v>
      </c>
      <c r="C219">
        <v>38.6</v>
      </c>
      <c r="D219" t="s">
        <v>1476</v>
      </c>
      <c r="E219">
        <v>10</v>
      </c>
      <c r="F219">
        <v>0</v>
      </c>
      <c r="G219">
        <v>0</v>
      </c>
      <c r="I219">
        <v>1.04049</v>
      </c>
      <c r="J219">
        <v>1.00444</v>
      </c>
      <c r="K219">
        <v>1.00939</v>
      </c>
      <c r="L219">
        <v>0.9673</v>
      </c>
      <c r="M219">
        <v>0.89298</v>
      </c>
      <c r="N219">
        <v>0.8933</v>
      </c>
      <c r="O219">
        <v>0.8099499999999999</v>
      </c>
      <c r="P219">
        <v>1.0012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54.088</v>
      </c>
      <c r="W219">
        <v>6.86</v>
      </c>
      <c r="X219">
        <v>48.176</v>
      </c>
      <c r="Y219">
        <v>9.831</v>
      </c>
      <c r="Z219">
        <v>34.073</v>
      </c>
      <c r="AA219">
        <v>153.028</v>
      </c>
      <c r="AB219">
        <v>0.98785</v>
      </c>
      <c r="AC219">
        <v>128</v>
      </c>
      <c r="AD219">
        <v>0</v>
      </c>
      <c r="AG219">
        <v>37</v>
      </c>
      <c r="AH219">
        <v>6</v>
      </c>
      <c r="AI219">
        <v>41</v>
      </c>
      <c r="AJ219">
        <v>11</v>
      </c>
      <c r="AK219">
        <v>33</v>
      </c>
    </row>
    <row r="220" spans="1:37">
      <c r="A220" t="s">
        <v>718</v>
      </c>
      <c r="B220" t="s">
        <v>1751</v>
      </c>
      <c r="C220">
        <v>37.6</v>
      </c>
      <c r="D220" t="s">
        <v>1476</v>
      </c>
      <c r="E220">
        <v>11</v>
      </c>
      <c r="F220">
        <v>0</v>
      </c>
      <c r="G220">
        <v>0</v>
      </c>
      <c r="I220">
        <v>1.04068</v>
      </c>
      <c r="J220">
        <v>1.00814</v>
      </c>
      <c r="K220">
        <v>1.00939</v>
      </c>
      <c r="L220">
        <v>0.96775</v>
      </c>
      <c r="M220">
        <v>0.86583</v>
      </c>
      <c r="N220">
        <v>0.8976499999999999</v>
      </c>
      <c r="O220">
        <v>0.80742</v>
      </c>
      <c r="P220">
        <v>1.00081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51.96</v>
      </c>
      <c r="W220">
        <v>6.888</v>
      </c>
      <c r="X220">
        <v>47.684</v>
      </c>
      <c r="Y220">
        <v>9.151</v>
      </c>
      <c r="Z220">
        <v>33.795</v>
      </c>
      <c r="AA220">
        <v>149.478</v>
      </c>
      <c r="AB220">
        <v>1.00136</v>
      </c>
      <c r="AC220">
        <v>139</v>
      </c>
      <c r="AD220">
        <v>0</v>
      </c>
      <c r="AG220">
        <v>40</v>
      </c>
      <c r="AH220">
        <v>5</v>
      </c>
      <c r="AI220">
        <v>53</v>
      </c>
      <c r="AJ220">
        <v>14</v>
      </c>
      <c r="AK220">
        <v>27</v>
      </c>
    </row>
    <row r="221" spans="1:37">
      <c r="A221" t="s">
        <v>719</v>
      </c>
      <c r="B221" t="s">
        <v>1751</v>
      </c>
      <c r="C221">
        <v>36</v>
      </c>
      <c r="D221" t="s">
        <v>1476</v>
      </c>
      <c r="E221">
        <v>12</v>
      </c>
      <c r="F221">
        <v>0</v>
      </c>
      <c r="G221">
        <v>0</v>
      </c>
      <c r="I221">
        <v>1.04087</v>
      </c>
      <c r="J221">
        <v>1.00259</v>
      </c>
      <c r="K221">
        <v>1.00939</v>
      </c>
      <c r="L221">
        <v>0.96816</v>
      </c>
      <c r="M221">
        <v>0.89156</v>
      </c>
      <c r="N221">
        <v>0.89894</v>
      </c>
      <c r="O221">
        <v>0.81209</v>
      </c>
      <c r="P221">
        <v>1.00055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51.937</v>
      </c>
      <c r="W221">
        <v>6.853</v>
      </c>
      <c r="X221">
        <v>51.326</v>
      </c>
      <c r="Y221">
        <v>10.098</v>
      </c>
      <c r="Z221">
        <v>33.702</v>
      </c>
      <c r="AA221">
        <v>153.916</v>
      </c>
      <c r="AB221">
        <v>0.9289500000000001</v>
      </c>
      <c r="AC221">
        <v>130</v>
      </c>
      <c r="AD221">
        <v>0</v>
      </c>
      <c r="AG221">
        <v>43</v>
      </c>
      <c r="AH221">
        <v>4</v>
      </c>
      <c r="AI221">
        <v>43</v>
      </c>
      <c r="AJ221">
        <v>13</v>
      </c>
      <c r="AK221">
        <v>27</v>
      </c>
    </row>
    <row r="222" spans="1:37">
      <c r="A222" t="s">
        <v>720</v>
      </c>
      <c r="B222" t="s">
        <v>1751</v>
      </c>
      <c r="C222">
        <v>35.1</v>
      </c>
      <c r="D222" t="s">
        <v>1476</v>
      </c>
      <c r="E222">
        <v>13</v>
      </c>
      <c r="F222">
        <v>0</v>
      </c>
      <c r="G222">
        <v>0</v>
      </c>
      <c r="I222">
        <v>1.04105</v>
      </c>
      <c r="J222">
        <v>0.99578</v>
      </c>
      <c r="K222">
        <v>1.00939</v>
      </c>
      <c r="L222">
        <v>0.96855</v>
      </c>
      <c r="M222">
        <v>0.93859</v>
      </c>
      <c r="N222">
        <v>0.89966</v>
      </c>
      <c r="O222">
        <v>0.82597</v>
      </c>
      <c r="P222">
        <v>1.00038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50.811</v>
      </c>
      <c r="W222">
        <v>6.469</v>
      </c>
      <c r="X222">
        <v>57.886</v>
      </c>
      <c r="Y222">
        <v>11.882</v>
      </c>
      <c r="Z222">
        <v>34.914</v>
      </c>
      <c r="AA222">
        <v>161.961</v>
      </c>
      <c r="AB222">
        <v>0.96601</v>
      </c>
      <c r="AC222">
        <v>151</v>
      </c>
      <c r="AD222">
        <v>0</v>
      </c>
      <c r="AG222">
        <v>48</v>
      </c>
      <c r="AH222">
        <v>4</v>
      </c>
      <c r="AI222">
        <v>52</v>
      </c>
      <c r="AJ222">
        <v>10</v>
      </c>
      <c r="AK222">
        <v>37</v>
      </c>
    </row>
    <row r="223" spans="1:37">
      <c r="A223" t="s">
        <v>721</v>
      </c>
      <c r="B223" t="s">
        <v>1752</v>
      </c>
      <c r="C223">
        <v>35.1</v>
      </c>
      <c r="D223" t="s">
        <v>1476</v>
      </c>
      <c r="E223">
        <v>14</v>
      </c>
      <c r="F223">
        <v>0</v>
      </c>
      <c r="G223">
        <v>0</v>
      </c>
      <c r="I223">
        <v>1.04124</v>
      </c>
      <c r="J223">
        <v>1.00015</v>
      </c>
      <c r="K223">
        <v>1.00939</v>
      </c>
      <c r="L223">
        <v>0.96889</v>
      </c>
      <c r="M223">
        <v>1.17811</v>
      </c>
      <c r="N223">
        <v>0.88667</v>
      </c>
      <c r="O223">
        <v>0.86961</v>
      </c>
      <c r="P223">
        <v>1.00027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48.156</v>
      </c>
      <c r="W223">
        <v>5.474</v>
      </c>
      <c r="X223">
        <v>89.26000000000001</v>
      </c>
      <c r="Y223">
        <v>20.633</v>
      </c>
      <c r="Z223">
        <v>41.59</v>
      </c>
      <c r="AA223">
        <v>205.113</v>
      </c>
      <c r="AB223">
        <v>1.07972</v>
      </c>
      <c r="AC223">
        <v>231</v>
      </c>
      <c r="AD223">
        <v>0</v>
      </c>
      <c r="AG223">
        <v>43</v>
      </c>
      <c r="AH223">
        <v>5</v>
      </c>
      <c r="AI223">
        <v>111</v>
      </c>
      <c r="AJ223">
        <v>22</v>
      </c>
      <c r="AK223">
        <v>50</v>
      </c>
    </row>
    <row r="224" spans="1:37">
      <c r="A224" t="s">
        <v>722</v>
      </c>
      <c r="B224" t="s">
        <v>1753</v>
      </c>
      <c r="C224">
        <v>36.1</v>
      </c>
      <c r="D224" t="s">
        <v>1476</v>
      </c>
      <c r="E224">
        <v>15</v>
      </c>
      <c r="F224">
        <v>0</v>
      </c>
      <c r="G224">
        <v>0</v>
      </c>
      <c r="I224">
        <v>1.04143</v>
      </c>
      <c r="J224">
        <v>0.99128</v>
      </c>
      <c r="K224">
        <v>1.00939</v>
      </c>
      <c r="L224">
        <v>0.96919</v>
      </c>
      <c r="M224">
        <v>1.00275</v>
      </c>
      <c r="N224">
        <v>0.87941</v>
      </c>
      <c r="O224">
        <v>0.92201</v>
      </c>
      <c r="P224">
        <v>0.99666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11.459</v>
      </c>
      <c r="W224">
        <v>2.37</v>
      </c>
      <c r="X224">
        <v>81.63200000000001</v>
      </c>
      <c r="Y224">
        <v>32.291</v>
      </c>
      <c r="Z224">
        <v>45.209</v>
      </c>
      <c r="AA224">
        <v>172.961</v>
      </c>
      <c r="AB224">
        <v>0.89142</v>
      </c>
      <c r="AC224">
        <v>159</v>
      </c>
      <c r="AD224">
        <v>0</v>
      </c>
      <c r="AG224">
        <v>11</v>
      </c>
      <c r="AH224">
        <v>2</v>
      </c>
      <c r="AI224">
        <v>71</v>
      </c>
      <c r="AJ224">
        <v>34</v>
      </c>
      <c r="AK224">
        <v>41</v>
      </c>
    </row>
    <row r="225" spans="1:37">
      <c r="A225" t="s">
        <v>723</v>
      </c>
      <c r="B225" t="s">
        <v>1754</v>
      </c>
      <c r="C225">
        <v>38.3</v>
      </c>
      <c r="D225" t="s">
        <v>1476</v>
      </c>
      <c r="E225">
        <v>16</v>
      </c>
      <c r="F225">
        <v>0</v>
      </c>
      <c r="G225">
        <v>0</v>
      </c>
      <c r="I225">
        <v>1.04161</v>
      </c>
      <c r="J225">
        <v>0.98911</v>
      </c>
      <c r="K225">
        <v>1.00939</v>
      </c>
      <c r="L225">
        <v>0.96945</v>
      </c>
      <c r="M225">
        <v>0.90232</v>
      </c>
      <c r="N225">
        <v>0.88628</v>
      </c>
      <c r="O225">
        <v>0.8861</v>
      </c>
      <c r="P225">
        <v>0.99325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15.651</v>
      </c>
      <c r="W225">
        <v>3.711</v>
      </c>
      <c r="X225">
        <v>68.43600000000001</v>
      </c>
      <c r="Y225">
        <v>26.97</v>
      </c>
      <c r="Z225">
        <v>40.63</v>
      </c>
      <c r="AA225">
        <v>155.398</v>
      </c>
      <c r="AB225">
        <v>1.03198</v>
      </c>
      <c r="AC225">
        <v>174</v>
      </c>
      <c r="AD225">
        <v>0</v>
      </c>
      <c r="AG225">
        <v>23</v>
      </c>
      <c r="AH225">
        <v>4</v>
      </c>
      <c r="AI225">
        <v>84</v>
      </c>
      <c r="AJ225">
        <v>23</v>
      </c>
      <c r="AK225">
        <v>40</v>
      </c>
    </row>
    <row r="226" spans="1:37">
      <c r="A226" t="s">
        <v>397</v>
      </c>
      <c r="B226" t="s">
        <v>1751</v>
      </c>
      <c r="C226">
        <v>38.8</v>
      </c>
      <c r="D226" t="s">
        <v>1476</v>
      </c>
      <c r="E226">
        <v>17</v>
      </c>
      <c r="F226">
        <v>0</v>
      </c>
      <c r="G226">
        <v>0</v>
      </c>
      <c r="I226">
        <v>1.0418</v>
      </c>
      <c r="J226">
        <v>0.99485</v>
      </c>
      <c r="K226">
        <v>1.00939</v>
      </c>
      <c r="L226">
        <v>0.96966</v>
      </c>
      <c r="M226">
        <v>0.89246</v>
      </c>
      <c r="N226">
        <v>0.91798</v>
      </c>
      <c r="O226">
        <v>0.81232</v>
      </c>
      <c r="P226">
        <v>0.99187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55.303</v>
      </c>
      <c r="W226">
        <v>6.776</v>
      </c>
      <c r="X226">
        <v>49.059</v>
      </c>
      <c r="Y226">
        <v>10.201</v>
      </c>
      <c r="Z226">
        <v>33.52</v>
      </c>
      <c r="AA226">
        <v>154.858</v>
      </c>
      <c r="AB226">
        <v>0.97458</v>
      </c>
      <c r="AC226">
        <v>132</v>
      </c>
      <c r="AD226">
        <v>0</v>
      </c>
      <c r="AG226">
        <v>53</v>
      </c>
      <c r="AH226">
        <v>6</v>
      </c>
      <c r="AI226">
        <v>35</v>
      </c>
      <c r="AJ226">
        <v>9</v>
      </c>
      <c r="AK226">
        <v>29</v>
      </c>
    </row>
    <row r="227" spans="1:37">
      <c r="A227" t="s">
        <v>724</v>
      </c>
      <c r="B227" t="s">
        <v>1751</v>
      </c>
      <c r="C227">
        <v>37.6</v>
      </c>
      <c r="D227" t="s">
        <v>1476</v>
      </c>
      <c r="E227">
        <v>18</v>
      </c>
      <c r="F227">
        <v>0</v>
      </c>
      <c r="G227">
        <v>0</v>
      </c>
      <c r="I227">
        <v>1.04199</v>
      </c>
      <c r="J227">
        <v>0.98594</v>
      </c>
      <c r="K227">
        <v>1.00939</v>
      </c>
      <c r="L227">
        <v>0.96982</v>
      </c>
      <c r="M227">
        <v>0.8650600000000001</v>
      </c>
      <c r="N227">
        <v>0.92199</v>
      </c>
      <c r="O227">
        <v>0.80965</v>
      </c>
      <c r="P227">
        <v>0.9890600000000001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52.385</v>
      </c>
      <c r="W227">
        <v>6.705</v>
      </c>
      <c r="X227">
        <v>47.809</v>
      </c>
      <c r="Y227">
        <v>9.345000000000001</v>
      </c>
      <c r="Z227">
        <v>32.632</v>
      </c>
      <c r="AA227">
        <v>148.875</v>
      </c>
      <c r="AB227">
        <v>1.02722</v>
      </c>
      <c r="AC227">
        <v>160</v>
      </c>
      <c r="AD227">
        <v>0</v>
      </c>
      <c r="AG227">
        <v>50</v>
      </c>
      <c r="AH227">
        <v>9</v>
      </c>
      <c r="AI227">
        <v>60</v>
      </c>
      <c r="AJ227">
        <v>10</v>
      </c>
      <c r="AK227">
        <v>31</v>
      </c>
    </row>
    <row r="228" spans="1:37">
      <c r="A228" t="s">
        <v>725</v>
      </c>
      <c r="B228" t="s">
        <v>1751</v>
      </c>
      <c r="C228">
        <v>36.5</v>
      </c>
      <c r="D228" t="s">
        <v>1476</v>
      </c>
      <c r="E228">
        <v>19</v>
      </c>
      <c r="F228">
        <v>0</v>
      </c>
      <c r="G228">
        <v>0</v>
      </c>
      <c r="I228">
        <v>1.04217</v>
      </c>
      <c r="J228">
        <v>0.99082</v>
      </c>
      <c r="K228">
        <v>1.00939</v>
      </c>
      <c r="L228">
        <v>0.96993</v>
      </c>
      <c r="M228">
        <v>0.89117</v>
      </c>
      <c r="N228">
        <v>0.92306</v>
      </c>
      <c r="O228">
        <v>0.81408</v>
      </c>
      <c r="P228">
        <v>0.98614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52.823</v>
      </c>
      <c r="W228">
        <v>6.727</v>
      </c>
      <c r="X228">
        <v>51.542</v>
      </c>
      <c r="Y228">
        <v>10.34</v>
      </c>
      <c r="Z228">
        <v>32.961</v>
      </c>
      <c r="AA228">
        <v>154.393</v>
      </c>
      <c r="AB228">
        <v>1.01279</v>
      </c>
      <c r="AC228">
        <v>158</v>
      </c>
      <c r="AD228">
        <v>0</v>
      </c>
      <c r="AG228">
        <v>51</v>
      </c>
      <c r="AH228">
        <v>3</v>
      </c>
      <c r="AI228">
        <v>52</v>
      </c>
      <c r="AJ228">
        <v>11</v>
      </c>
      <c r="AK228">
        <v>41</v>
      </c>
    </row>
    <row r="229" spans="1:37">
      <c r="A229" t="s">
        <v>726</v>
      </c>
      <c r="B229" t="s">
        <v>1751</v>
      </c>
      <c r="C229">
        <v>36.4</v>
      </c>
      <c r="D229" t="s">
        <v>1476</v>
      </c>
      <c r="E229">
        <v>20</v>
      </c>
      <c r="F229">
        <v>0</v>
      </c>
      <c r="G229">
        <v>0</v>
      </c>
      <c r="I229">
        <v>1.04236</v>
      </c>
      <c r="J229">
        <v>0.9912</v>
      </c>
      <c r="K229">
        <v>1.00939</v>
      </c>
      <c r="L229">
        <v>0.96999</v>
      </c>
      <c r="M229">
        <v>0.93834</v>
      </c>
      <c r="N229">
        <v>0.92226</v>
      </c>
      <c r="O229">
        <v>0.8274</v>
      </c>
      <c r="P229">
        <v>0.98294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51.953</v>
      </c>
      <c r="W229">
        <v>6.383</v>
      </c>
      <c r="X229">
        <v>57.749</v>
      </c>
      <c r="Y229">
        <v>12.117</v>
      </c>
      <c r="Z229">
        <v>34.599</v>
      </c>
      <c r="AA229">
        <v>162.8</v>
      </c>
      <c r="AB229">
        <v>0.96036</v>
      </c>
      <c r="AC229">
        <v>155</v>
      </c>
      <c r="AD229">
        <v>0</v>
      </c>
      <c r="AG229">
        <v>43</v>
      </c>
      <c r="AH229">
        <v>5</v>
      </c>
      <c r="AI229">
        <v>52</v>
      </c>
      <c r="AJ229">
        <v>20</v>
      </c>
      <c r="AK229">
        <v>35</v>
      </c>
    </row>
    <row r="230" spans="1:37">
      <c r="A230" t="s">
        <v>727</v>
      </c>
      <c r="B230" t="s">
        <v>1752</v>
      </c>
      <c r="C230">
        <v>36.5</v>
      </c>
      <c r="D230" t="s">
        <v>1476</v>
      </c>
      <c r="E230">
        <v>21</v>
      </c>
      <c r="F230">
        <v>0</v>
      </c>
      <c r="G230">
        <v>0</v>
      </c>
      <c r="I230">
        <v>1.04255</v>
      </c>
      <c r="J230">
        <v>0.98095</v>
      </c>
      <c r="K230">
        <v>1.00939</v>
      </c>
      <c r="L230">
        <v>0.97001</v>
      </c>
      <c r="M230">
        <v>1.17609</v>
      </c>
      <c r="N230">
        <v>0.9085</v>
      </c>
      <c r="O230">
        <v>0.8702299999999999</v>
      </c>
      <c r="P230">
        <v>0.97845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48.413</v>
      </c>
      <c r="W230">
        <v>5.31</v>
      </c>
      <c r="X230">
        <v>87.23999999999999</v>
      </c>
      <c r="Y230">
        <v>20.61</v>
      </c>
      <c r="Z230">
        <v>40.496</v>
      </c>
      <c r="AA230">
        <v>202.069</v>
      </c>
      <c r="AB230">
        <v>1.08298</v>
      </c>
      <c r="AC230">
        <v>208</v>
      </c>
      <c r="AD230">
        <v>0</v>
      </c>
      <c r="AG230">
        <v>55</v>
      </c>
      <c r="AH230">
        <v>6</v>
      </c>
      <c r="AI230">
        <v>87</v>
      </c>
      <c r="AJ230">
        <v>21</v>
      </c>
      <c r="AK230">
        <v>39</v>
      </c>
    </row>
    <row r="231" spans="1:37">
      <c r="A231" t="s">
        <v>728</v>
      </c>
      <c r="B231" t="s">
        <v>1753</v>
      </c>
      <c r="C231">
        <v>36.6</v>
      </c>
      <c r="D231" t="s">
        <v>1476</v>
      </c>
      <c r="E231">
        <v>22</v>
      </c>
      <c r="F231">
        <v>0</v>
      </c>
      <c r="G231">
        <v>0</v>
      </c>
      <c r="I231">
        <v>1.04274</v>
      </c>
      <c r="J231">
        <v>0.99382</v>
      </c>
      <c r="K231">
        <v>1.00939</v>
      </c>
      <c r="L231">
        <v>0.97016</v>
      </c>
      <c r="M231">
        <v>0.99919</v>
      </c>
      <c r="N231">
        <v>0.90341</v>
      </c>
      <c r="O231">
        <v>0.92218</v>
      </c>
      <c r="P231">
        <v>0.9716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11.763</v>
      </c>
      <c r="W231">
        <v>2.35</v>
      </c>
      <c r="X231">
        <v>82.291</v>
      </c>
      <c r="Y231">
        <v>33.138</v>
      </c>
      <c r="Z231">
        <v>44.492</v>
      </c>
      <c r="AA231">
        <v>174.034</v>
      </c>
      <c r="AB231">
        <v>0.96167</v>
      </c>
      <c r="AC231">
        <v>173</v>
      </c>
      <c r="AD231">
        <v>0</v>
      </c>
      <c r="AG231">
        <v>9</v>
      </c>
      <c r="AH231">
        <v>1</v>
      </c>
      <c r="AI231">
        <v>74</v>
      </c>
      <c r="AJ231">
        <v>34</v>
      </c>
      <c r="AK231">
        <v>55</v>
      </c>
    </row>
    <row r="232" spans="1:37">
      <c r="A232" t="s">
        <v>729</v>
      </c>
      <c r="B232" t="s">
        <v>1754</v>
      </c>
      <c r="C232">
        <v>35.3</v>
      </c>
      <c r="D232" t="s">
        <v>1476</v>
      </c>
      <c r="E232">
        <v>23</v>
      </c>
      <c r="F232">
        <v>0</v>
      </c>
      <c r="G232">
        <v>0</v>
      </c>
      <c r="I232">
        <v>1.04292</v>
      </c>
      <c r="J232">
        <v>1.00067</v>
      </c>
      <c r="K232">
        <v>1.00939</v>
      </c>
      <c r="L232">
        <v>0.9704700000000001</v>
      </c>
      <c r="M232">
        <v>0.90151</v>
      </c>
      <c r="N232">
        <v>0.91434</v>
      </c>
      <c r="O232">
        <v>0.88691</v>
      </c>
      <c r="P232">
        <v>0.96901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16.199</v>
      </c>
      <c r="W232">
        <v>3.713</v>
      </c>
      <c r="X232">
        <v>71.575</v>
      </c>
      <c r="Y232">
        <v>28.425</v>
      </c>
      <c r="Z232">
        <v>38.667</v>
      </c>
      <c r="AA232">
        <v>158.579</v>
      </c>
      <c r="AB232">
        <v>0.9958900000000001</v>
      </c>
      <c r="AC232">
        <v>156</v>
      </c>
      <c r="AD232">
        <v>0</v>
      </c>
      <c r="AG232">
        <v>18</v>
      </c>
      <c r="AH232">
        <v>6</v>
      </c>
      <c r="AI232">
        <v>63</v>
      </c>
      <c r="AJ232">
        <v>22</v>
      </c>
      <c r="AK232">
        <v>47</v>
      </c>
    </row>
    <row r="233" spans="1:37">
      <c r="A233" t="s">
        <v>398</v>
      </c>
      <c r="B233" t="s">
        <v>1751</v>
      </c>
      <c r="C233">
        <v>35.4</v>
      </c>
      <c r="D233" t="s">
        <v>82</v>
      </c>
      <c r="E233">
        <v>24</v>
      </c>
      <c r="F233">
        <v>0</v>
      </c>
      <c r="G233">
        <v>0</v>
      </c>
      <c r="I233">
        <v>1.04311</v>
      </c>
      <c r="J233">
        <v>0.99103</v>
      </c>
      <c r="K233">
        <v>1.00939</v>
      </c>
      <c r="L233">
        <v>0.97092</v>
      </c>
      <c r="M233">
        <v>0.9079700000000001</v>
      </c>
      <c r="N233">
        <v>0.94897</v>
      </c>
      <c r="O233">
        <v>1</v>
      </c>
      <c r="P233">
        <v>0.97443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63.993</v>
      </c>
      <c r="W233">
        <v>33.388</v>
      </c>
      <c r="X233">
        <v>50.522</v>
      </c>
      <c r="Y233">
        <v>11.75</v>
      </c>
      <c r="Z233">
        <v>31.269</v>
      </c>
      <c r="AA233">
        <v>190.922</v>
      </c>
      <c r="AB233">
        <v>1.0987</v>
      </c>
      <c r="AC233">
        <v>190</v>
      </c>
      <c r="AD233">
        <v>1</v>
      </c>
      <c r="AG233">
        <v>63</v>
      </c>
      <c r="AH233">
        <v>35</v>
      </c>
      <c r="AI233">
        <v>54</v>
      </c>
      <c r="AJ233">
        <v>15</v>
      </c>
      <c r="AK233">
        <v>23</v>
      </c>
    </row>
    <row r="234" spans="1:37">
      <c r="A234" t="s">
        <v>730</v>
      </c>
      <c r="B234" t="s">
        <v>1751</v>
      </c>
      <c r="C234">
        <v>35.9</v>
      </c>
      <c r="D234" t="s">
        <v>82</v>
      </c>
      <c r="E234">
        <v>25</v>
      </c>
      <c r="F234">
        <v>0</v>
      </c>
      <c r="G234">
        <v>0</v>
      </c>
      <c r="I234">
        <v>1.0433</v>
      </c>
      <c r="J234">
        <v>0.982</v>
      </c>
      <c r="K234">
        <v>1.00939</v>
      </c>
      <c r="L234">
        <v>0.97153</v>
      </c>
      <c r="M234">
        <v>0.8832100000000001</v>
      </c>
      <c r="N234">
        <v>0.95169</v>
      </c>
      <c r="O234">
        <v>1</v>
      </c>
      <c r="P234">
        <v>0.97178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60.562</v>
      </c>
      <c r="W234">
        <v>33.047</v>
      </c>
      <c r="X234">
        <v>48.606</v>
      </c>
      <c r="Y234">
        <v>10.659</v>
      </c>
      <c r="Z234">
        <v>31.079</v>
      </c>
      <c r="AA234">
        <v>183.953</v>
      </c>
      <c r="AB234">
        <v>0.98505</v>
      </c>
      <c r="AC234">
        <v>189</v>
      </c>
      <c r="AD234">
        <v>0</v>
      </c>
      <c r="AG234">
        <v>58</v>
      </c>
      <c r="AH234">
        <v>30</v>
      </c>
      <c r="AI234">
        <v>55</v>
      </c>
      <c r="AJ234">
        <v>9</v>
      </c>
      <c r="AK234">
        <v>37</v>
      </c>
    </row>
    <row r="235" spans="1:37">
      <c r="A235" t="s">
        <v>731</v>
      </c>
      <c r="B235" t="s">
        <v>1751</v>
      </c>
      <c r="C235">
        <v>37</v>
      </c>
      <c r="D235" t="s">
        <v>82</v>
      </c>
      <c r="E235">
        <v>26</v>
      </c>
      <c r="F235">
        <v>0</v>
      </c>
      <c r="G235">
        <v>0</v>
      </c>
      <c r="I235">
        <v>1.04348</v>
      </c>
      <c r="J235">
        <v>0.98121</v>
      </c>
      <c r="K235">
        <v>1.00939</v>
      </c>
      <c r="L235">
        <v>0.97229</v>
      </c>
      <c r="M235">
        <v>0.90612</v>
      </c>
      <c r="N235">
        <v>0.95108</v>
      </c>
      <c r="O235">
        <v>1</v>
      </c>
      <c r="P235">
        <v>0.96887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60.683</v>
      </c>
      <c r="W235">
        <v>32.989</v>
      </c>
      <c r="X235">
        <v>51.131</v>
      </c>
      <c r="Y235">
        <v>11.567</v>
      </c>
      <c r="Z235">
        <v>32.079</v>
      </c>
      <c r="AA235">
        <v>188.449</v>
      </c>
      <c r="AB235">
        <v>1.07477</v>
      </c>
      <c r="AC235">
        <v>185</v>
      </c>
      <c r="AD235">
        <v>0</v>
      </c>
      <c r="AG235">
        <v>51</v>
      </c>
      <c r="AH235">
        <v>28</v>
      </c>
      <c r="AI235">
        <v>55</v>
      </c>
      <c r="AJ235">
        <v>16</v>
      </c>
      <c r="AK235">
        <v>35</v>
      </c>
    </row>
    <row r="236" spans="1:37">
      <c r="A236" t="s">
        <v>732</v>
      </c>
      <c r="B236" t="s">
        <v>1751</v>
      </c>
      <c r="C236">
        <v>37</v>
      </c>
      <c r="D236" t="s">
        <v>82</v>
      </c>
      <c r="E236">
        <v>27</v>
      </c>
      <c r="F236">
        <v>0</v>
      </c>
      <c r="G236">
        <v>0</v>
      </c>
      <c r="I236">
        <v>1.04367</v>
      </c>
      <c r="J236">
        <v>0.97537</v>
      </c>
      <c r="K236">
        <v>1.00939</v>
      </c>
      <c r="L236">
        <v>0.97317</v>
      </c>
      <c r="M236">
        <v>0.93887</v>
      </c>
      <c r="N236">
        <v>0.94892</v>
      </c>
      <c r="O236">
        <v>1</v>
      </c>
      <c r="P236">
        <v>0.96799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59.346</v>
      </c>
      <c r="W236">
        <v>31.187</v>
      </c>
      <c r="X236">
        <v>57.055</v>
      </c>
      <c r="Y236">
        <v>13.493</v>
      </c>
      <c r="Z236">
        <v>33.657</v>
      </c>
      <c r="AA236">
        <v>194.737</v>
      </c>
      <c r="AB236">
        <v>1.14185</v>
      </c>
      <c r="AC236">
        <v>235</v>
      </c>
      <c r="AD236">
        <v>0</v>
      </c>
      <c r="AG236">
        <v>82</v>
      </c>
      <c r="AH236">
        <v>44</v>
      </c>
      <c r="AI236">
        <v>70</v>
      </c>
      <c r="AJ236">
        <v>8</v>
      </c>
      <c r="AK236">
        <v>31</v>
      </c>
    </row>
    <row r="237" spans="1:37">
      <c r="A237" t="s">
        <v>733</v>
      </c>
      <c r="B237" t="s">
        <v>1752</v>
      </c>
      <c r="C237">
        <v>34.7</v>
      </c>
      <c r="D237" t="s">
        <v>82</v>
      </c>
      <c r="E237">
        <v>28</v>
      </c>
      <c r="F237">
        <v>0</v>
      </c>
      <c r="G237">
        <v>0</v>
      </c>
      <c r="I237">
        <v>1.04386</v>
      </c>
      <c r="J237">
        <v>0.96146</v>
      </c>
      <c r="K237">
        <v>1.00939</v>
      </c>
      <c r="L237">
        <v>0.97419</v>
      </c>
      <c r="M237">
        <v>1.12144</v>
      </c>
      <c r="N237">
        <v>0.9393899999999999</v>
      </c>
      <c r="O237">
        <v>1</v>
      </c>
      <c r="P237">
        <v>0.96485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55.127</v>
      </c>
      <c r="W237">
        <v>25.919</v>
      </c>
      <c r="X237">
        <v>88.3</v>
      </c>
      <c r="Y237">
        <v>23.303</v>
      </c>
      <c r="Z237">
        <v>38.283</v>
      </c>
      <c r="AA237">
        <v>230.933</v>
      </c>
      <c r="AB237">
        <v>1.03993</v>
      </c>
      <c r="AC237">
        <v>213</v>
      </c>
      <c r="AD237">
        <v>0</v>
      </c>
      <c r="AG237">
        <v>53</v>
      </c>
      <c r="AH237">
        <v>23</v>
      </c>
      <c r="AI237">
        <v>80</v>
      </c>
      <c r="AJ237">
        <v>23</v>
      </c>
      <c r="AK237">
        <v>34</v>
      </c>
    </row>
    <row r="238" spans="1:37">
      <c r="A238" t="s">
        <v>734</v>
      </c>
      <c r="B238" t="s">
        <v>1753</v>
      </c>
      <c r="C238">
        <v>34.4</v>
      </c>
      <c r="D238" t="s">
        <v>82</v>
      </c>
      <c r="E238">
        <v>29</v>
      </c>
      <c r="F238">
        <v>0</v>
      </c>
      <c r="G238">
        <v>0</v>
      </c>
      <c r="I238">
        <v>1.04404</v>
      </c>
      <c r="J238">
        <v>0.96304</v>
      </c>
      <c r="K238">
        <v>1.00939</v>
      </c>
      <c r="L238">
        <v>0.97532</v>
      </c>
      <c r="M238">
        <v>0.90046</v>
      </c>
      <c r="N238">
        <v>0.93249</v>
      </c>
      <c r="O238">
        <v>1</v>
      </c>
      <c r="P238">
        <v>0.95852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13.254</v>
      </c>
      <c r="W238">
        <v>11.374</v>
      </c>
      <c r="X238">
        <v>83.038</v>
      </c>
      <c r="Y238">
        <v>37.263</v>
      </c>
      <c r="Z238">
        <v>41.58</v>
      </c>
      <c r="AA238">
        <v>186.507</v>
      </c>
      <c r="AB238">
        <v>0.9562</v>
      </c>
      <c r="AC238">
        <v>180</v>
      </c>
      <c r="AD238">
        <v>0</v>
      </c>
      <c r="AG238">
        <v>16</v>
      </c>
      <c r="AH238">
        <v>13</v>
      </c>
      <c r="AI238">
        <v>80</v>
      </c>
      <c r="AJ238">
        <v>34</v>
      </c>
      <c r="AK238">
        <v>37</v>
      </c>
    </row>
    <row r="239" spans="1:37">
      <c r="A239" t="s">
        <v>735</v>
      </c>
      <c r="B239" t="s">
        <v>1754</v>
      </c>
      <c r="C239">
        <v>36.1</v>
      </c>
      <c r="D239" t="s">
        <v>82</v>
      </c>
      <c r="E239">
        <v>30</v>
      </c>
      <c r="F239">
        <v>0</v>
      </c>
      <c r="G239">
        <v>0</v>
      </c>
      <c r="I239">
        <v>1.04423</v>
      </c>
      <c r="J239">
        <v>0.96433</v>
      </c>
      <c r="K239">
        <v>1.00939</v>
      </c>
      <c r="L239">
        <v>0.97655</v>
      </c>
      <c r="M239">
        <v>0.8414</v>
      </c>
      <c r="N239">
        <v>0.93428</v>
      </c>
      <c r="O239">
        <v>1</v>
      </c>
      <c r="P239">
        <v>0.96047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18.163</v>
      </c>
      <c r="W239">
        <v>17.922</v>
      </c>
      <c r="X239">
        <v>69.673</v>
      </c>
      <c r="Y239">
        <v>31.15</v>
      </c>
      <c r="Z239">
        <v>37.473</v>
      </c>
      <c r="AA239">
        <v>174.382</v>
      </c>
      <c r="AB239">
        <v>1.08192</v>
      </c>
      <c r="AC239">
        <v>177</v>
      </c>
      <c r="AD239">
        <v>0</v>
      </c>
      <c r="AG239">
        <v>18</v>
      </c>
      <c r="AH239">
        <v>15</v>
      </c>
      <c r="AI239">
        <v>78</v>
      </c>
      <c r="AJ239">
        <v>31</v>
      </c>
      <c r="AK239">
        <v>35</v>
      </c>
    </row>
    <row r="240" spans="1:37">
      <c r="A240" t="s">
        <v>399</v>
      </c>
      <c r="B240" t="s">
        <v>1751</v>
      </c>
      <c r="C240">
        <v>34.8</v>
      </c>
      <c r="D240" t="s">
        <v>82</v>
      </c>
      <c r="E240">
        <v>0</v>
      </c>
      <c r="F240">
        <v>0</v>
      </c>
      <c r="G240">
        <v>0</v>
      </c>
      <c r="I240">
        <v>1.04442</v>
      </c>
      <c r="J240">
        <v>0.96048</v>
      </c>
      <c r="K240">
        <v>1.00939</v>
      </c>
      <c r="L240">
        <v>0.97787</v>
      </c>
      <c r="M240">
        <v>0.9025</v>
      </c>
      <c r="N240">
        <v>0.9621499999999999</v>
      </c>
      <c r="O240">
        <v>1</v>
      </c>
      <c r="P240">
        <v>1.06142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66.15300000000001</v>
      </c>
      <c r="W240">
        <v>34.751</v>
      </c>
      <c r="X240">
        <v>57.55</v>
      </c>
      <c r="Y240">
        <v>13.48</v>
      </c>
      <c r="Z240">
        <v>34.351</v>
      </c>
      <c r="AA240">
        <v>206.285</v>
      </c>
      <c r="AB240">
        <v>0.87215</v>
      </c>
      <c r="AC240">
        <v>183</v>
      </c>
      <c r="AD240">
        <v>0</v>
      </c>
      <c r="AG240">
        <v>59</v>
      </c>
      <c r="AH240">
        <v>34</v>
      </c>
      <c r="AI240">
        <v>55</v>
      </c>
      <c r="AJ240">
        <v>14</v>
      </c>
      <c r="AK240">
        <v>21</v>
      </c>
    </row>
    <row r="241" spans="1:37">
      <c r="A241" t="s">
        <v>736</v>
      </c>
      <c r="B241" t="s">
        <v>1751</v>
      </c>
      <c r="C241">
        <v>35.4</v>
      </c>
      <c r="D241" t="s">
        <v>82</v>
      </c>
      <c r="E241">
        <v>1</v>
      </c>
      <c r="F241">
        <v>0</v>
      </c>
      <c r="G241">
        <v>0</v>
      </c>
      <c r="I241">
        <v>1.04461</v>
      </c>
      <c r="J241">
        <v>0.97545</v>
      </c>
      <c r="K241">
        <v>1.00939</v>
      </c>
      <c r="L241">
        <v>0.97927</v>
      </c>
      <c r="M241">
        <v>0.87882</v>
      </c>
      <c r="N241">
        <v>0.96344</v>
      </c>
      <c r="O241">
        <v>1</v>
      </c>
      <c r="P241">
        <v>1.04129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63.65</v>
      </c>
      <c r="W241">
        <v>34.847</v>
      </c>
      <c r="X241">
        <v>55.264</v>
      </c>
      <c r="Y241">
        <v>12.204</v>
      </c>
      <c r="Z241">
        <v>34.246</v>
      </c>
      <c r="AA241">
        <v>200.21</v>
      </c>
      <c r="AB241">
        <v>1.01586</v>
      </c>
      <c r="AC241">
        <v>201</v>
      </c>
      <c r="AD241">
        <v>1</v>
      </c>
      <c r="AG241">
        <v>68</v>
      </c>
      <c r="AH241">
        <v>30</v>
      </c>
      <c r="AI241">
        <v>51</v>
      </c>
      <c r="AJ241">
        <v>11</v>
      </c>
      <c r="AK241">
        <v>41</v>
      </c>
    </row>
    <row r="242" spans="1:37">
      <c r="A242" t="s">
        <v>737</v>
      </c>
      <c r="B242" t="s">
        <v>1751</v>
      </c>
      <c r="C242">
        <v>35</v>
      </c>
      <c r="D242" t="s">
        <v>82</v>
      </c>
      <c r="E242">
        <v>2</v>
      </c>
      <c r="F242">
        <v>0</v>
      </c>
      <c r="G242">
        <v>0</v>
      </c>
      <c r="I242">
        <v>1.04479</v>
      </c>
      <c r="J242">
        <v>0.993</v>
      </c>
      <c r="K242">
        <v>1.00939</v>
      </c>
      <c r="L242">
        <v>0.98073</v>
      </c>
      <c r="M242">
        <v>0.90243</v>
      </c>
      <c r="N242">
        <v>0.96368</v>
      </c>
      <c r="O242">
        <v>1</v>
      </c>
      <c r="P242">
        <v>1.02801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64.631</v>
      </c>
      <c r="W242">
        <v>35.19</v>
      </c>
      <c r="X242">
        <v>59.153</v>
      </c>
      <c r="Y242">
        <v>13.402</v>
      </c>
      <c r="Z242">
        <v>34.853</v>
      </c>
      <c r="AA242">
        <v>207.231</v>
      </c>
      <c r="AB242">
        <v>1.03026</v>
      </c>
      <c r="AC242">
        <v>232</v>
      </c>
      <c r="AD242">
        <v>0</v>
      </c>
      <c r="AG242">
        <v>72</v>
      </c>
      <c r="AH242">
        <v>39</v>
      </c>
      <c r="AI242">
        <v>67</v>
      </c>
      <c r="AJ242">
        <v>14</v>
      </c>
      <c r="AK242">
        <v>40</v>
      </c>
    </row>
    <row r="243" spans="1:37">
      <c r="A243" t="s">
        <v>738</v>
      </c>
      <c r="B243" t="s">
        <v>1751</v>
      </c>
      <c r="C243">
        <v>35.2</v>
      </c>
      <c r="D243" t="s">
        <v>82</v>
      </c>
      <c r="E243">
        <v>3</v>
      </c>
      <c r="F243">
        <v>0</v>
      </c>
      <c r="G243">
        <v>0</v>
      </c>
      <c r="I243">
        <v>1.04498</v>
      </c>
      <c r="J243">
        <v>0.99279</v>
      </c>
      <c r="K243">
        <v>1.00939</v>
      </c>
      <c r="L243">
        <v>0.98223</v>
      </c>
      <c r="M243">
        <v>0.93755</v>
      </c>
      <c r="N243">
        <v>0.96096</v>
      </c>
      <c r="O243">
        <v>1</v>
      </c>
      <c r="P243">
        <v>1.01931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63.279</v>
      </c>
      <c r="W243">
        <v>33.262</v>
      </c>
      <c r="X243">
        <v>65.31699999999999</v>
      </c>
      <c r="Y243">
        <v>15.472</v>
      </c>
      <c r="Z243">
        <v>36.422</v>
      </c>
      <c r="AA243">
        <v>213.753</v>
      </c>
      <c r="AB243">
        <v>1.04267</v>
      </c>
      <c r="AC243">
        <v>230</v>
      </c>
      <c r="AD243">
        <v>0</v>
      </c>
      <c r="AG243">
        <v>70</v>
      </c>
      <c r="AH243">
        <v>35</v>
      </c>
      <c r="AI243">
        <v>69</v>
      </c>
      <c r="AJ243">
        <v>15</v>
      </c>
      <c r="AK243">
        <v>41</v>
      </c>
    </row>
    <row r="244" spans="1:37">
      <c r="A244" t="s">
        <v>739</v>
      </c>
      <c r="B244" t="s">
        <v>1752</v>
      </c>
      <c r="C244">
        <v>32.8</v>
      </c>
      <c r="D244" t="s">
        <v>82</v>
      </c>
      <c r="E244">
        <v>4</v>
      </c>
      <c r="F244">
        <v>0</v>
      </c>
      <c r="G244">
        <v>0</v>
      </c>
      <c r="I244">
        <v>1.04517</v>
      </c>
      <c r="J244">
        <v>1.0045</v>
      </c>
      <c r="K244">
        <v>1.00939</v>
      </c>
      <c r="L244">
        <v>0.98376</v>
      </c>
      <c r="M244">
        <v>1.12976</v>
      </c>
      <c r="N244">
        <v>0.95961</v>
      </c>
      <c r="O244">
        <v>1</v>
      </c>
      <c r="P244">
        <v>1.01424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60.133</v>
      </c>
      <c r="W244">
        <v>28.265</v>
      </c>
      <c r="X244">
        <v>104.209</v>
      </c>
      <c r="Y244">
        <v>27.409</v>
      </c>
      <c r="Z244">
        <v>42.093</v>
      </c>
      <c r="AA244">
        <v>262.109</v>
      </c>
      <c r="AB244">
        <v>0.95778</v>
      </c>
      <c r="AC244">
        <v>262</v>
      </c>
      <c r="AD244">
        <v>0</v>
      </c>
      <c r="AG244">
        <v>66</v>
      </c>
      <c r="AH244">
        <v>26</v>
      </c>
      <c r="AI244">
        <v>106</v>
      </c>
      <c r="AJ244">
        <v>25</v>
      </c>
      <c r="AK244">
        <v>39</v>
      </c>
    </row>
    <row r="245" spans="1:37">
      <c r="A245" t="s">
        <v>740</v>
      </c>
      <c r="B245" t="s">
        <v>1753</v>
      </c>
      <c r="C245">
        <v>33.6</v>
      </c>
      <c r="D245" t="s">
        <v>82</v>
      </c>
      <c r="E245">
        <v>5</v>
      </c>
      <c r="F245">
        <v>0</v>
      </c>
      <c r="G245">
        <v>0</v>
      </c>
      <c r="I245">
        <v>1.04535</v>
      </c>
      <c r="J245">
        <v>1.00293</v>
      </c>
      <c r="K245">
        <v>1.02923</v>
      </c>
      <c r="L245">
        <v>0.98531</v>
      </c>
      <c r="M245">
        <v>0.91444</v>
      </c>
      <c r="N245">
        <v>0.94757</v>
      </c>
      <c r="O245">
        <v>1</v>
      </c>
      <c r="P245">
        <v>1.01124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14.657</v>
      </c>
      <c r="W245">
        <v>12.574</v>
      </c>
      <c r="X245">
        <v>97.077</v>
      </c>
      <c r="Y245">
        <v>43.652</v>
      </c>
      <c r="Z245">
        <v>46.862</v>
      </c>
      <c r="AA245">
        <v>214.821</v>
      </c>
      <c r="AB245">
        <v>1.12477</v>
      </c>
      <c r="AC245">
        <v>245</v>
      </c>
      <c r="AD245">
        <v>0</v>
      </c>
      <c r="AG245">
        <v>13</v>
      </c>
      <c r="AH245">
        <v>16</v>
      </c>
      <c r="AI245">
        <v>101</v>
      </c>
      <c r="AJ245">
        <v>54</v>
      </c>
      <c r="AK245">
        <v>61</v>
      </c>
    </row>
    <row r="246" spans="1:37">
      <c r="A246" t="s">
        <v>741</v>
      </c>
      <c r="B246" t="s">
        <v>1754</v>
      </c>
      <c r="C246">
        <v>32.7</v>
      </c>
      <c r="D246" t="s">
        <v>82</v>
      </c>
      <c r="E246">
        <v>6</v>
      </c>
      <c r="F246">
        <v>0</v>
      </c>
      <c r="G246">
        <v>0</v>
      </c>
      <c r="I246">
        <v>1.04554</v>
      </c>
      <c r="J246">
        <v>0.98434</v>
      </c>
      <c r="K246">
        <v>1.02923</v>
      </c>
      <c r="L246">
        <v>0.98685</v>
      </c>
      <c r="M246">
        <v>0.85467</v>
      </c>
      <c r="N246">
        <v>0.95965</v>
      </c>
      <c r="O246">
        <v>1</v>
      </c>
      <c r="P246">
        <v>1.00719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19.648</v>
      </c>
      <c r="W246">
        <v>19.388</v>
      </c>
      <c r="X246">
        <v>82.443</v>
      </c>
      <c r="Y246">
        <v>36.475</v>
      </c>
      <c r="Z246">
        <v>39.924</v>
      </c>
      <c r="AA246">
        <v>197.878</v>
      </c>
      <c r="AB246">
        <v>1.06929</v>
      </c>
      <c r="AC246">
        <v>216</v>
      </c>
      <c r="AD246">
        <v>0</v>
      </c>
      <c r="AG246">
        <v>21</v>
      </c>
      <c r="AH246">
        <v>20</v>
      </c>
      <c r="AI246">
        <v>96</v>
      </c>
      <c r="AJ246">
        <v>35</v>
      </c>
      <c r="AK246">
        <v>44</v>
      </c>
    </row>
    <row r="247" spans="1:37">
      <c r="A247" t="s">
        <v>400</v>
      </c>
      <c r="B247" t="s">
        <v>1751</v>
      </c>
      <c r="C247">
        <v>33.4</v>
      </c>
      <c r="D247" t="s">
        <v>82</v>
      </c>
      <c r="E247">
        <v>7</v>
      </c>
      <c r="F247">
        <v>0</v>
      </c>
      <c r="G247">
        <v>0</v>
      </c>
      <c r="I247">
        <v>1.04573</v>
      </c>
      <c r="J247">
        <v>0.98851</v>
      </c>
      <c r="K247">
        <v>1.02923</v>
      </c>
      <c r="L247">
        <v>0.98838</v>
      </c>
      <c r="M247">
        <v>0.90401</v>
      </c>
      <c r="N247">
        <v>0.97392</v>
      </c>
      <c r="O247">
        <v>1</v>
      </c>
      <c r="P247">
        <v>1.00374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69.19199999999999</v>
      </c>
      <c r="W247">
        <v>35.413</v>
      </c>
      <c r="X247">
        <v>58.277</v>
      </c>
      <c r="Y247">
        <v>13.623</v>
      </c>
      <c r="Z247">
        <v>33.066</v>
      </c>
      <c r="AA247">
        <v>209.571</v>
      </c>
      <c r="AB247">
        <v>0.92287</v>
      </c>
      <c r="AC247">
        <v>190</v>
      </c>
      <c r="AD247">
        <v>0</v>
      </c>
      <c r="AG247">
        <v>71</v>
      </c>
      <c r="AH247">
        <v>31</v>
      </c>
      <c r="AI247">
        <v>45</v>
      </c>
      <c r="AJ247">
        <v>15</v>
      </c>
      <c r="AK247">
        <v>28</v>
      </c>
    </row>
    <row r="248" spans="1:37">
      <c r="A248" t="s">
        <v>742</v>
      </c>
      <c r="B248" t="s">
        <v>1751</v>
      </c>
      <c r="C248">
        <v>31.5</v>
      </c>
      <c r="D248" t="s">
        <v>82</v>
      </c>
      <c r="E248">
        <v>8</v>
      </c>
      <c r="F248">
        <v>0</v>
      </c>
      <c r="G248">
        <v>0</v>
      </c>
      <c r="I248">
        <v>1.04591</v>
      </c>
      <c r="J248">
        <v>0.97559</v>
      </c>
      <c r="K248">
        <v>1.02923</v>
      </c>
      <c r="L248">
        <v>0.98986</v>
      </c>
      <c r="M248">
        <v>0.8768899999999999</v>
      </c>
      <c r="N248">
        <v>0.98378</v>
      </c>
      <c r="O248">
        <v>1</v>
      </c>
      <c r="P248">
        <v>1.00253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65.167</v>
      </c>
      <c r="W248">
        <v>34.978</v>
      </c>
      <c r="X248">
        <v>58.394</v>
      </c>
      <c r="Y248">
        <v>12.675</v>
      </c>
      <c r="Z248">
        <v>31.843</v>
      </c>
      <c r="AA248">
        <v>203.057</v>
      </c>
      <c r="AB248">
        <v>1.02819</v>
      </c>
      <c r="AC248">
        <v>206</v>
      </c>
      <c r="AD248">
        <v>0</v>
      </c>
      <c r="AG248">
        <v>75</v>
      </c>
      <c r="AH248">
        <v>38</v>
      </c>
      <c r="AI248">
        <v>54</v>
      </c>
      <c r="AJ248">
        <v>14</v>
      </c>
      <c r="AK248">
        <v>25</v>
      </c>
    </row>
    <row r="249" spans="1:37">
      <c r="A249" t="s">
        <v>743</v>
      </c>
      <c r="B249" t="s">
        <v>1751</v>
      </c>
      <c r="C249">
        <v>33.4</v>
      </c>
      <c r="D249" t="s">
        <v>82</v>
      </c>
      <c r="E249">
        <v>9</v>
      </c>
      <c r="F249">
        <v>0</v>
      </c>
      <c r="G249">
        <v>0</v>
      </c>
      <c r="I249">
        <v>1.0461</v>
      </c>
      <c r="J249">
        <v>0.97775</v>
      </c>
      <c r="K249">
        <v>1.02923</v>
      </c>
      <c r="L249">
        <v>0.9913</v>
      </c>
      <c r="M249">
        <v>0.90217</v>
      </c>
      <c r="N249">
        <v>0.97432</v>
      </c>
      <c r="O249">
        <v>1</v>
      </c>
      <c r="P249">
        <v>1.00171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65.44499999999999</v>
      </c>
      <c r="W249">
        <v>35.091</v>
      </c>
      <c r="X249">
        <v>59.885</v>
      </c>
      <c r="Y249">
        <v>13.516</v>
      </c>
      <c r="Z249">
        <v>33.443</v>
      </c>
      <c r="AA249">
        <v>207.381</v>
      </c>
      <c r="AB249">
        <v>1.02902</v>
      </c>
      <c r="AC249">
        <v>199</v>
      </c>
      <c r="AD249">
        <v>0</v>
      </c>
      <c r="AG249">
        <v>69</v>
      </c>
      <c r="AH249">
        <v>39</v>
      </c>
      <c r="AI249">
        <v>51</v>
      </c>
      <c r="AJ249">
        <v>9</v>
      </c>
      <c r="AK249">
        <v>31</v>
      </c>
    </row>
    <row r="250" spans="1:37">
      <c r="A250" t="s">
        <v>744</v>
      </c>
      <c r="B250" t="s">
        <v>1751</v>
      </c>
      <c r="C250">
        <v>33.8</v>
      </c>
      <c r="D250" t="s">
        <v>82</v>
      </c>
      <c r="E250">
        <v>10</v>
      </c>
      <c r="F250">
        <v>0</v>
      </c>
      <c r="G250">
        <v>0</v>
      </c>
      <c r="I250">
        <v>1.04629</v>
      </c>
      <c r="J250">
        <v>0.96834</v>
      </c>
      <c r="K250">
        <v>1.02923</v>
      </c>
      <c r="L250">
        <v>0.9926700000000001</v>
      </c>
      <c r="M250">
        <v>0.9373</v>
      </c>
      <c r="N250">
        <v>0.97049</v>
      </c>
      <c r="O250">
        <v>1</v>
      </c>
      <c r="P250">
        <v>1.00118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63.646</v>
      </c>
      <c r="W250">
        <v>33.054</v>
      </c>
      <c r="X250">
        <v>65.937</v>
      </c>
      <c r="Y250">
        <v>15.574</v>
      </c>
      <c r="Z250">
        <v>35.124</v>
      </c>
      <c r="AA250">
        <v>213.336</v>
      </c>
      <c r="AB250">
        <v>0.92523</v>
      </c>
      <c r="AC250">
        <v>181</v>
      </c>
      <c r="AD250">
        <v>0</v>
      </c>
      <c r="AG250">
        <v>59</v>
      </c>
      <c r="AH250">
        <v>23</v>
      </c>
      <c r="AI250">
        <v>61</v>
      </c>
      <c r="AJ250">
        <v>11</v>
      </c>
      <c r="AK250">
        <v>27</v>
      </c>
    </row>
    <row r="251" spans="1:37">
      <c r="A251" t="s">
        <v>745</v>
      </c>
      <c r="B251" t="s">
        <v>1752</v>
      </c>
      <c r="C251">
        <v>32.4</v>
      </c>
      <c r="D251" t="s">
        <v>82</v>
      </c>
      <c r="E251">
        <v>11</v>
      </c>
      <c r="F251">
        <v>0</v>
      </c>
      <c r="G251">
        <v>0</v>
      </c>
      <c r="I251">
        <v>1.04648</v>
      </c>
      <c r="J251">
        <v>0.96267</v>
      </c>
      <c r="K251">
        <v>1.02923</v>
      </c>
      <c r="L251">
        <v>0.99396</v>
      </c>
      <c r="M251">
        <v>1.12988</v>
      </c>
      <c r="N251">
        <v>0.96782</v>
      </c>
      <c r="O251">
        <v>1</v>
      </c>
      <c r="P251">
        <v>1.00087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59.513</v>
      </c>
      <c r="W251">
        <v>27.705</v>
      </c>
      <c r="X251">
        <v>102.857</v>
      </c>
      <c r="Y251">
        <v>27.07</v>
      </c>
      <c r="Z251">
        <v>40.705</v>
      </c>
      <c r="AA251">
        <v>257.85</v>
      </c>
      <c r="AB251">
        <v>1.10943</v>
      </c>
      <c r="AC251">
        <v>272</v>
      </c>
      <c r="AD251">
        <v>0</v>
      </c>
      <c r="AG251">
        <v>58</v>
      </c>
      <c r="AH251">
        <v>39</v>
      </c>
      <c r="AI251">
        <v>109</v>
      </c>
      <c r="AJ251">
        <v>26</v>
      </c>
      <c r="AK251">
        <v>40</v>
      </c>
    </row>
    <row r="252" spans="1:37">
      <c r="A252" t="s">
        <v>746</v>
      </c>
      <c r="B252" t="s">
        <v>1753</v>
      </c>
      <c r="C252">
        <v>34</v>
      </c>
      <c r="D252" t="s">
        <v>82</v>
      </c>
      <c r="E252">
        <v>12</v>
      </c>
      <c r="F252">
        <v>0</v>
      </c>
      <c r="G252">
        <v>0</v>
      </c>
      <c r="I252">
        <v>1.04666</v>
      </c>
      <c r="J252">
        <v>0.97171</v>
      </c>
      <c r="K252">
        <v>1.02923</v>
      </c>
      <c r="L252">
        <v>0.99515</v>
      </c>
      <c r="M252">
        <v>0.9120200000000001</v>
      </c>
      <c r="N252">
        <v>0.9499</v>
      </c>
      <c r="O252">
        <v>1</v>
      </c>
      <c r="P252">
        <v>1.00068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14.391</v>
      </c>
      <c r="W252">
        <v>12.25</v>
      </c>
      <c r="X252">
        <v>94.029</v>
      </c>
      <c r="Y252">
        <v>42.49</v>
      </c>
      <c r="Z252">
        <v>45.624</v>
      </c>
      <c r="AA252">
        <v>208.784</v>
      </c>
      <c r="AB252">
        <v>0.9690800000000001</v>
      </c>
      <c r="AC252">
        <v>187</v>
      </c>
      <c r="AD252">
        <v>0</v>
      </c>
      <c r="AG252">
        <v>15</v>
      </c>
      <c r="AH252">
        <v>14</v>
      </c>
      <c r="AI252">
        <v>80</v>
      </c>
      <c r="AJ252">
        <v>35</v>
      </c>
      <c r="AK252">
        <v>43</v>
      </c>
    </row>
    <row r="253" spans="1:37">
      <c r="A253" t="s">
        <v>747</v>
      </c>
      <c r="B253" t="s">
        <v>1754</v>
      </c>
      <c r="C253">
        <v>35.6</v>
      </c>
      <c r="D253" t="s">
        <v>82</v>
      </c>
      <c r="E253">
        <v>13</v>
      </c>
      <c r="F253">
        <v>0</v>
      </c>
      <c r="G253">
        <v>0</v>
      </c>
      <c r="I253">
        <v>1.04685</v>
      </c>
      <c r="J253">
        <v>0.9786</v>
      </c>
      <c r="K253">
        <v>1.02923</v>
      </c>
      <c r="L253">
        <v>0.9962299999999999</v>
      </c>
      <c r="M253">
        <v>0.84919</v>
      </c>
      <c r="N253">
        <v>0.94825</v>
      </c>
      <c r="O253">
        <v>1</v>
      </c>
      <c r="P253">
        <v>1.00044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19.796</v>
      </c>
      <c r="W253">
        <v>19.408</v>
      </c>
      <c r="X253">
        <v>79.08199999999999</v>
      </c>
      <c r="Y253">
        <v>35.58</v>
      </c>
      <c r="Z253">
        <v>41.291</v>
      </c>
      <c r="AA253">
        <v>195.157</v>
      </c>
      <c r="AB253">
        <v>0.98653</v>
      </c>
      <c r="AC253">
        <v>197</v>
      </c>
      <c r="AD253">
        <v>0</v>
      </c>
      <c r="AG253">
        <v>27</v>
      </c>
      <c r="AH253">
        <v>21</v>
      </c>
      <c r="AI253">
        <v>78</v>
      </c>
      <c r="AJ253">
        <v>36</v>
      </c>
      <c r="AK253">
        <v>35</v>
      </c>
    </row>
    <row r="254" spans="1:37">
      <c r="A254" t="s">
        <v>401</v>
      </c>
      <c r="B254" t="s">
        <v>1751</v>
      </c>
      <c r="C254">
        <v>36.2</v>
      </c>
      <c r="D254" t="s">
        <v>82</v>
      </c>
      <c r="E254">
        <v>14</v>
      </c>
      <c r="F254">
        <v>0</v>
      </c>
      <c r="G254">
        <v>0</v>
      </c>
      <c r="I254">
        <v>1.04704</v>
      </c>
      <c r="J254">
        <v>0.98163</v>
      </c>
      <c r="K254">
        <v>1.02923</v>
      </c>
      <c r="L254">
        <v>0.9972</v>
      </c>
      <c r="M254">
        <v>0.90607</v>
      </c>
      <c r="N254">
        <v>0.9701</v>
      </c>
      <c r="O254">
        <v>1</v>
      </c>
      <c r="P254">
        <v>1.00023</v>
      </c>
      <c r="Q254">
        <v>1</v>
      </c>
      <c r="R254">
        <v>1</v>
      </c>
      <c r="S254">
        <v>1.03054</v>
      </c>
      <c r="T254">
        <v>1</v>
      </c>
      <c r="U254">
        <v>1</v>
      </c>
      <c r="V254">
        <v>71.691</v>
      </c>
      <c r="W254">
        <v>37.206</v>
      </c>
      <c r="X254">
        <v>58.551</v>
      </c>
      <c r="Y254">
        <v>13.618</v>
      </c>
      <c r="Z254">
        <v>34.172</v>
      </c>
      <c r="AA254">
        <v>215.237</v>
      </c>
      <c r="AB254">
        <v>1.06174</v>
      </c>
      <c r="AC254">
        <v>213</v>
      </c>
      <c r="AD254">
        <v>0</v>
      </c>
      <c r="AF254" t="s">
        <v>1761</v>
      </c>
      <c r="AG254">
        <v>76</v>
      </c>
      <c r="AH254">
        <v>27</v>
      </c>
      <c r="AI254">
        <v>64</v>
      </c>
      <c r="AJ254">
        <v>13</v>
      </c>
      <c r="AK254">
        <v>33</v>
      </c>
    </row>
    <row r="255" spans="1:37">
      <c r="A255" t="s">
        <v>748</v>
      </c>
      <c r="B255" t="s">
        <v>1751</v>
      </c>
      <c r="C255">
        <v>34.9</v>
      </c>
      <c r="D255" t="s">
        <v>82</v>
      </c>
      <c r="E255">
        <v>15</v>
      </c>
      <c r="F255">
        <v>0</v>
      </c>
      <c r="G255">
        <v>0</v>
      </c>
      <c r="I255">
        <v>1.04722</v>
      </c>
      <c r="J255">
        <v>0.98698</v>
      </c>
      <c r="K255">
        <v>1.02923</v>
      </c>
      <c r="L255">
        <v>0.99803</v>
      </c>
      <c r="M255">
        <v>0.88031</v>
      </c>
      <c r="N255">
        <v>0.97304</v>
      </c>
      <c r="O255">
        <v>1</v>
      </c>
      <c r="P255">
        <v>0.99759</v>
      </c>
      <c r="Q255">
        <v>1</v>
      </c>
      <c r="R255">
        <v>1</v>
      </c>
      <c r="S255">
        <v>1.03066</v>
      </c>
      <c r="T255">
        <v>1.00026</v>
      </c>
      <c r="U255">
        <v>1</v>
      </c>
      <c r="V255">
        <v>68.685</v>
      </c>
      <c r="W255">
        <v>37.387</v>
      </c>
      <c r="X255">
        <v>58.153</v>
      </c>
      <c r="Y255">
        <v>12.646</v>
      </c>
      <c r="Z255">
        <v>33.715</v>
      </c>
      <c r="AA255">
        <v>210.586</v>
      </c>
      <c r="AB255">
        <v>0.9817</v>
      </c>
      <c r="AC255">
        <v>189</v>
      </c>
      <c r="AD255">
        <v>0</v>
      </c>
      <c r="AG255">
        <v>57</v>
      </c>
      <c r="AH255">
        <v>24</v>
      </c>
      <c r="AI255">
        <v>55</v>
      </c>
      <c r="AJ255">
        <v>10</v>
      </c>
      <c r="AK255">
        <v>43</v>
      </c>
    </row>
    <row r="256" spans="1:37">
      <c r="A256" t="s">
        <v>749</v>
      </c>
      <c r="B256" t="s">
        <v>1751</v>
      </c>
      <c r="C256">
        <v>35.3</v>
      </c>
      <c r="D256" t="s">
        <v>82</v>
      </c>
      <c r="E256">
        <v>16</v>
      </c>
      <c r="F256">
        <v>0</v>
      </c>
      <c r="G256">
        <v>0</v>
      </c>
      <c r="I256">
        <v>1.04741</v>
      </c>
      <c r="J256">
        <v>0.99618</v>
      </c>
      <c r="K256">
        <v>1.02923</v>
      </c>
      <c r="L256">
        <v>0.99873</v>
      </c>
      <c r="M256">
        <v>0.90374</v>
      </c>
      <c r="N256">
        <v>0.97078</v>
      </c>
      <c r="O256">
        <v>1</v>
      </c>
      <c r="P256">
        <v>0.99492</v>
      </c>
      <c r="Q256">
        <v>1</v>
      </c>
      <c r="R256">
        <v>1</v>
      </c>
      <c r="S256">
        <v>1.03063</v>
      </c>
      <c r="T256">
        <v>1.00051</v>
      </c>
      <c r="U256">
        <v>1</v>
      </c>
      <c r="V256">
        <v>69.34999999999999</v>
      </c>
      <c r="W256">
        <v>37.708</v>
      </c>
      <c r="X256">
        <v>61.911</v>
      </c>
      <c r="Y256">
        <v>13.843</v>
      </c>
      <c r="Z256">
        <v>34.855</v>
      </c>
      <c r="AA256">
        <v>217.667</v>
      </c>
      <c r="AB256">
        <v>1.05748</v>
      </c>
      <c r="AC256">
        <v>224</v>
      </c>
      <c r="AD256">
        <v>0</v>
      </c>
      <c r="AG256">
        <v>71</v>
      </c>
      <c r="AH256">
        <v>42</v>
      </c>
      <c r="AI256">
        <v>64</v>
      </c>
      <c r="AJ256">
        <v>10</v>
      </c>
      <c r="AK256">
        <v>37</v>
      </c>
    </row>
    <row r="257" spans="1:37">
      <c r="A257" t="s">
        <v>750</v>
      </c>
      <c r="B257" t="s">
        <v>1751</v>
      </c>
      <c r="C257">
        <v>35.4</v>
      </c>
      <c r="D257" t="s">
        <v>82</v>
      </c>
      <c r="E257">
        <v>17</v>
      </c>
      <c r="F257">
        <v>0</v>
      </c>
      <c r="G257">
        <v>0</v>
      </c>
      <c r="I257">
        <v>1.0476</v>
      </c>
      <c r="J257">
        <v>0.98208</v>
      </c>
      <c r="K257">
        <v>1.02923</v>
      </c>
      <c r="L257">
        <v>0.9992799999999999</v>
      </c>
      <c r="M257">
        <v>0.93789</v>
      </c>
      <c r="N257">
        <v>0.96738</v>
      </c>
      <c r="O257">
        <v>1</v>
      </c>
      <c r="P257">
        <v>0.99208</v>
      </c>
      <c r="Q257">
        <v>1</v>
      </c>
      <c r="R257">
        <v>1</v>
      </c>
      <c r="S257">
        <v>1.03039</v>
      </c>
      <c r="T257">
        <v>1.00075</v>
      </c>
      <c r="U257">
        <v>1</v>
      </c>
      <c r="V257">
        <v>67.012</v>
      </c>
      <c r="W257">
        <v>35.286</v>
      </c>
      <c r="X257">
        <v>67.96599999999999</v>
      </c>
      <c r="Y257">
        <v>15.866</v>
      </c>
      <c r="Z257">
        <v>36.162</v>
      </c>
      <c r="AA257">
        <v>222.292</v>
      </c>
      <c r="AB257">
        <v>1.00147</v>
      </c>
      <c r="AC257">
        <v>224</v>
      </c>
      <c r="AD257">
        <v>0</v>
      </c>
      <c r="AG257">
        <v>85</v>
      </c>
      <c r="AH257">
        <v>35</v>
      </c>
      <c r="AI257">
        <v>60</v>
      </c>
      <c r="AJ257">
        <v>17</v>
      </c>
      <c r="AK257">
        <v>27</v>
      </c>
    </row>
    <row r="258" spans="1:37">
      <c r="A258" t="s">
        <v>751</v>
      </c>
      <c r="B258" t="s">
        <v>1752</v>
      </c>
      <c r="C258">
        <v>35.1</v>
      </c>
      <c r="D258" t="s">
        <v>82</v>
      </c>
      <c r="E258">
        <v>18</v>
      </c>
      <c r="F258">
        <v>0</v>
      </c>
      <c r="G258">
        <v>0</v>
      </c>
      <c r="I258">
        <v>1.04778</v>
      </c>
      <c r="J258">
        <v>0.97596</v>
      </c>
      <c r="K258">
        <v>1.02923</v>
      </c>
      <c r="L258">
        <v>0.99968</v>
      </c>
      <c r="M258">
        <v>1.12424</v>
      </c>
      <c r="N258">
        <v>0.95441</v>
      </c>
      <c r="O258">
        <v>1</v>
      </c>
      <c r="P258">
        <v>0.98835</v>
      </c>
      <c r="Q258">
        <v>1</v>
      </c>
      <c r="R258">
        <v>1</v>
      </c>
      <c r="S258">
        <v>1.03008</v>
      </c>
      <c r="T258">
        <v>1.00096</v>
      </c>
      <c r="U258">
        <v>1</v>
      </c>
      <c r="V258">
        <v>62.515</v>
      </c>
      <c r="W258">
        <v>29.499</v>
      </c>
      <c r="X258">
        <v>103.186</v>
      </c>
      <c r="Y258">
        <v>27.017</v>
      </c>
      <c r="Z258">
        <v>42.309</v>
      </c>
      <c r="AA258">
        <v>264.527</v>
      </c>
      <c r="AB258">
        <v>1.00274</v>
      </c>
      <c r="AC258">
        <v>252</v>
      </c>
      <c r="AD258">
        <v>0</v>
      </c>
      <c r="AG258">
        <v>56</v>
      </c>
      <c r="AH258">
        <v>34</v>
      </c>
      <c r="AI258">
        <v>90</v>
      </c>
      <c r="AJ258">
        <v>26</v>
      </c>
      <c r="AK258">
        <v>46</v>
      </c>
    </row>
    <row r="259" spans="1:37">
      <c r="A259" t="s">
        <v>752</v>
      </c>
      <c r="B259" t="s">
        <v>1753</v>
      </c>
      <c r="C259">
        <v>34.4</v>
      </c>
      <c r="D259" t="s">
        <v>82</v>
      </c>
      <c r="E259">
        <v>19</v>
      </c>
      <c r="F259">
        <v>0</v>
      </c>
      <c r="G259">
        <v>0</v>
      </c>
      <c r="I259">
        <v>1.04797</v>
      </c>
      <c r="J259">
        <v>0.99186</v>
      </c>
      <c r="K259">
        <v>1.02923</v>
      </c>
      <c r="L259">
        <v>0.99992</v>
      </c>
      <c r="M259">
        <v>0.90463</v>
      </c>
      <c r="N259">
        <v>0.94834</v>
      </c>
      <c r="O259">
        <v>1</v>
      </c>
      <c r="P259">
        <v>0.98277</v>
      </c>
      <c r="Q259">
        <v>1</v>
      </c>
      <c r="R259">
        <v>1</v>
      </c>
      <c r="S259">
        <v>1.02706</v>
      </c>
      <c r="T259">
        <v>1.00095</v>
      </c>
      <c r="U259">
        <v>1</v>
      </c>
      <c r="V259">
        <v>15.19</v>
      </c>
      <c r="W259">
        <v>13.101</v>
      </c>
      <c r="X259">
        <v>98.27800000000001</v>
      </c>
      <c r="Y259">
        <v>43.617</v>
      </c>
      <c r="Z259">
        <v>46.173</v>
      </c>
      <c r="AA259">
        <v>216.357</v>
      </c>
      <c r="AB259">
        <v>1.02724</v>
      </c>
      <c r="AC259">
        <v>243</v>
      </c>
      <c r="AD259">
        <v>0</v>
      </c>
      <c r="AG259">
        <v>15</v>
      </c>
      <c r="AH259">
        <v>20</v>
      </c>
      <c r="AI259">
        <v>104</v>
      </c>
      <c r="AJ259">
        <v>42</v>
      </c>
      <c r="AK259">
        <v>62</v>
      </c>
    </row>
    <row r="260" spans="1:37">
      <c r="A260" t="s">
        <v>753</v>
      </c>
      <c r="B260" t="s">
        <v>1754</v>
      </c>
      <c r="C260">
        <v>34.4</v>
      </c>
      <c r="D260" t="s">
        <v>82</v>
      </c>
      <c r="E260">
        <v>20</v>
      </c>
      <c r="F260">
        <v>0</v>
      </c>
      <c r="G260">
        <v>0</v>
      </c>
      <c r="I260">
        <v>1.04816</v>
      </c>
      <c r="J260">
        <v>0.9799</v>
      </c>
      <c r="K260">
        <v>1.02923</v>
      </c>
      <c r="L260">
        <v>1</v>
      </c>
      <c r="M260">
        <v>0.84565</v>
      </c>
      <c r="N260">
        <v>0.95361</v>
      </c>
      <c r="O260">
        <v>1</v>
      </c>
      <c r="P260">
        <v>0.98026</v>
      </c>
      <c r="Q260">
        <v>1</v>
      </c>
      <c r="R260">
        <v>1</v>
      </c>
      <c r="S260">
        <v>1.02807</v>
      </c>
      <c r="T260">
        <v>1.00119</v>
      </c>
      <c r="U260">
        <v>1</v>
      </c>
      <c r="V260">
        <v>20.455</v>
      </c>
      <c r="W260">
        <v>20.312</v>
      </c>
      <c r="X260">
        <v>82.453</v>
      </c>
      <c r="Y260">
        <v>36.166</v>
      </c>
      <c r="Z260">
        <v>39.999</v>
      </c>
      <c r="AA260">
        <v>199.385</v>
      </c>
      <c r="AB260">
        <v>0.98807</v>
      </c>
      <c r="AC260">
        <v>185</v>
      </c>
      <c r="AD260">
        <v>0</v>
      </c>
      <c r="AG260">
        <v>16</v>
      </c>
      <c r="AH260">
        <v>20</v>
      </c>
      <c r="AI260">
        <v>71</v>
      </c>
      <c r="AJ260">
        <v>38</v>
      </c>
      <c r="AK260">
        <v>40</v>
      </c>
    </row>
    <row r="261" spans="1:37">
      <c r="A261" t="s">
        <v>402</v>
      </c>
      <c r="B261" t="s">
        <v>1751</v>
      </c>
      <c r="C261">
        <v>31.2</v>
      </c>
      <c r="D261" t="s">
        <v>82</v>
      </c>
      <c r="E261">
        <v>21</v>
      </c>
      <c r="F261">
        <v>0</v>
      </c>
      <c r="G261">
        <v>0</v>
      </c>
      <c r="I261">
        <v>1.04835</v>
      </c>
      <c r="J261">
        <v>0.97834</v>
      </c>
      <c r="K261">
        <v>1.02923</v>
      </c>
      <c r="L261">
        <v>1.00003</v>
      </c>
      <c r="M261">
        <v>0.90324</v>
      </c>
      <c r="N261">
        <v>0.98855</v>
      </c>
      <c r="O261">
        <v>1</v>
      </c>
      <c r="P261">
        <v>0.98201</v>
      </c>
      <c r="Q261">
        <v>1</v>
      </c>
      <c r="R261">
        <v>1</v>
      </c>
      <c r="S261">
        <v>1.03107</v>
      </c>
      <c r="T261">
        <v>1.00177</v>
      </c>
      <c r="U261">
        <v>1</v>
      </c>
      <c r="V261">
        <v>71.443</v>
      </c>
      <c r="W261">
        <v>36.821</v>
      </c>
      <c r="X261">
        <v>62.263</v>
      </c>
      <c r="Y261">
        <v>14.08</v>
      </c>
      <c r="Z261">
        <v>31.25</v>
      </c>
      <c r="AA261">
        <v>215.857</v>
      </c>
      <c r="AB261">
        <v>1.06565</v>
      </c>
      <c r="AC261">
        <v>254</v>
      </c>
      <c r="AD261">
        <v>0</v>
      </c>
      <c r="AG261">
        <v>80</v>
      </c>
      <c r="AH261">
        <v>50</v>
      </c>
      <c r="AI261">
        <v>71</v>
      </c>
      <c r="AJ261">
        <v>19</v>
      </c>
      <c r="AK261">
        <v>34</v>
      </c>
    </row>
    <row r="262" spans="1:37">
      <c r="A262" t="s">
        <v>754</v>
      </c>
      <c r="B262" t="s">
        <v>1751</v>
      </c>
      <c r="C262">
        <v>32.8</v>
      </c>
      <c r="D262" t="s">
        <v>82</v>
      </c>
      <c r="E262">
        <v>22</v>
      </c>
      <c r="F262">
        <v>0</v>
      </c>
      <c r="G262">
        <v>0</v>
      </c>
      <c r="I262">
        <v>1.04853</v>
      </c>
      <c r="J262">
        <v>0.98534</v>
      </c>
      <c r="K262">
        <v>1.02923</v>
      </c>
      <c r="L262">
        <v>1.0001</v>
      </c>
      <c r="M262">
        <v>0.87956</v>
      </c>
      <c r="N262">
        <v>0.9808</v>
      </c>
      <c r="O262">
        <v>1</v>
      </c>
      <c r="P262">
        <v>0.97945</v>
      </c>
      <c r="Q262">
        <v>1</v>
      </c>
      <c r="R262">
        <v>1</v>
      </c>
      <c r="S262">
        <v>1.03092</v>
      </c>
      <c r="T262">
        <v>1.00201</v>
      </c>
      <c r="U262">
        <v>1</v>
      </c>
      <c r="V262">
        <v>68.496</v>
      </c>
      <c r="W262">
        <v>37.035</v>
      </c>
      <c r="X262">
        <v>58.897</v>
      </c>
      <c r="Y262">
        <v>12.648</v>
      </c>
      <c r="Z262">
        <v>32.015</v>
      </c>
      <c r="AA262">
        <v>209.092</v>
      </c>
      <c r="AB262">
        <v>0.9092</v>
      </c>
      <c r="AC262">
        <v>193</v>
      </c>
      <c r="AD262">
        <v>0</v>
      </c>
      <c r="AG262">
        <v>64</v>
      </c>
      <c r="AH262">
        <v>30</v>
      </c>
      <c r="AI262">
        <v>61</v>
      </c>
      <c r="AJ262">
        <v>9</v>
      </c>
      <c r="AK262">
        <v>29</v>
      </c>
    </row>
    <row r="263" spans="1:37">
      <c r="A263" t="s">
        <v>755</v>
      </c>
      <c r="B263" t="s">
        <v>1751</v>
      </c>
      <c r="C263">
        <v>32.2</v>
      </c>
      <c r="D263" t="s">
        <v>82</v>
      </c>
      <c r="E263">
        <v>23</v>
      </c>
      <c r="F263">
        <v>0</v>
      </c>
      <c r="G263">
        <v>0</v>
      </c>
      <c r="I263">
        <v>1.04872</v>
      </c>
      <c r="J263">
        <v>0.99111</v>
      </c>
      <c r="K263">
        <v>1.02923</v>
      </c>
      <c r="L263">
        <v>1.00023</v>
      </c>
      <c r="M263">
        <v>0.90252</v>
      </c>
      <c r="N263">
        <v>0.98255</v>
      </c>
      <c r="O263">
        <v>1</v>
      </c>
      <c r="P263">
        <v>0.97657</v>
      </c>
      <c r="Q263">
        <v>1</v>
      </c>
      <c r="R263">
        <v>1</v>
      </c>
      <c r="S263">
        <v>1.03098</v>
      </c>
      <c r="T263">
        <v>1.00224</v>
      </c>
      <c r="U263">
        <v>1</v>
      </c>
      <c r="V263">
        <v>68.867</v>
      </c>
      <c r="W263">
        <v>37.203</v>
      </c>
      <c r="X263">
        <v>63.518</v>
      </c>
      <c r="Y263">
        <v>13.948</v>
      </c>
      <c r="Z263">
        <v>32.549</v>
      </c>
      <c r="AA263">
        <v>216.087</v>
      </c>
      <c r="AB263">
        <v>1.06925</v>
      </c>
      <c r="AC263">
        <v>259</v>
      </c>
      <c r="AD263">
        <v>1</v>
      </c>
      <c r="AG263">
        <v>80</v>
      </c>
      <c r="AH263">
        <v>38</v>
      </c>
      <c r="AI263">
        <v>73</v>
      </c>
      <c r="AJ263">
        <v>18</v>
      </c>
      <c r="AK263">
        <v>50</v>
      </c>
    </row>
    <row r="264" spans="1:37">
      <c r="A264" t="s">
        <v>756</v>
      </c>
      <c r="B264" t="s">
        <v>1751</v>
      </c>
      <c r="C264">
        <v>33.4</v>
      </c>
      <c r="D264" t="s">
        <v>82</v>
      </c>
      <c r="E264">
        <v>24</v>
      </c>
      <c r="F264">
        <v>0</v>
      </c>
      <c r="G264">
        <v>0</v>
      </c>
      <c r="I264">
        <v>1.04891</v>
      </c>
      <c r="J264">
        <v>1.00185</v>
      </c>
      <c r="K264">
        <v>1.02923</v>
      </c>
      <c r="L264">
        <v>1.00042</v>
      </c>
      <c r="M264">
        <v>0.9377</v>
      </c>
      <c r="N264">
        <v>0.9745200000000001</v>
      </c>
      <c r="O264">
        <v>1</v>
      </c>
      <c r="P264">
        <v>0.97329</v>
      </c>
      <c r="Q264">
        <v>1</v>
      </c>
      <c r="R264">
        <v>1</v>
      </c>
      <c r="S264">
        <v>1.03064</v>
      </c>
      <c r="T264">
        <v>1.00243</v>
      </c>
      <c r="U264">
        <v>1</v>
      </c>
      <c r="V264">
        <v>68.194</v>
      </c>
      <c r="W264">
        <v>35.681</v>
      </c>
      <c r="X264">
        <v>69.881</v>
      </c>
      <c r="Y264">
        <v>16.133</v>
      </c>
      <c r="Z264">
        <v>35.102</v>
      </c>
      <c r="AA264">
        <v>224.992</v>
      </c>
      <c r="AB264">
        <v>1.05187</v>
      </c>
      <c r="AC264">
        <v>235</v>
      </c>
      <c r="AD264">
        <v>1</v>
      </c>
      <c r="AG264">
        <v>78</v>
      </c>
      <c r="AH264">
        <v>45</v>
      </c>
      <c r="AI264">
        <v>62</v>
      </c>
      <c r="AJ264">
        <v>17</v>
      </c>
      <c r="AK264">
        <v>33</v>
      </c>
    </row>
    <row r="265" spans="1:37">
      <c r="A265" t="s">
        <v>757</v>
      </c>
      <c r="B265" t="s">
        <v>1752</v>
      </c>
      <c r="C265">
        <v>33.9</v>
      </c>
      <c r="D265" t="s">
        <v>82</v>
      </c>
      <c r="E265">
        <v>25</v>
      </c>
      <c r="F265">
        <v>0</v>
      </c>
      <c r="G265">
        <v>0</v>
      </c>
      <c r="I265">
        <v>1.04909</v>
      </c>
      <c r="J265">
        <v>1.01065</v>
      </c>
      <c r="K265">
        <v>1.02923</v>
      </c>
      <c r="L265">
        <v>1.00065</v>
      </c>
      <c r="M265">
        <v>1.12844</v>
      </c>
      <c r="N265">
        <v>0.9593699999999999</v>
      </c>
      <c r="O265">
        <v>1</v>
      </c>
      <c r="P265">
        <v>0.96748</v>
      </c>
      <c r="Q265">
        <v>1</v>
      </c>
      <c r="R265">
        <v>1</v>
      </c>
      <c r="S265">
        <v>1.08612</v>
      </c>
      <c r="T265">
        <v>1.00256</v>
      </c>
      <c r="U265">
        <v>1</v>
      </c>
      <c r="V265">
        <v>64.557</v>
      </c>
      <c r="W265">
        <v>32.697</v>
      </c>
      <c r="X265">
        <v>114.867</v>
      </c>
      <c r="Y265">
        <v>29.305</v>
      </c>
      <c r="Z265">
        <v>44.205</v>
      </c>
      <c r="AA265">
        <v>285.631</v>
      </c>
      <c r="AB265">
        <v>0.97848</v>
      </c>
      <c r="AC265">
        <v>293</v>
      </c>
      <c r="AD265">
        <v>1</v>
      </c>
      <c r="AG265">
        <v>67</v>
      </c>
      <c r="AH265">
        <v>28</v>
      </c>
      <c r="AI265">
        <v>131</v>
      </c>
      <c r="AJ265">
        <v>38</v>
      </c>
      <c r="AK265">
        <v>29</v>
      </c>
    </row>
    <row r="266" spans="1:37">
      <c r="A266" t="s">
        <v>758</v>
      </c>
      <c r="B266" t="s">
        <v>1753</v>
      </c>
      <c r="C266">
        <v>34.4</v>
      </c>
      <c r="D266" t="s">
        <v>82</v>
      </c>
      <c r="E266">
        <v>26</v>
      </c>
      <c r="F266">
        <v>0</v>
      </c>
      <c r="G266">
        <v>0</v>
      </c>
      <c r="I266">
        <v>1.04928</v>
      </c>
      <c r="J266">
        <v>1.00551</v>
      </c>
      <c r="K266">
        <v>1.02923</v>
      </c>
      <c r="L266">
        <v>1.00092</v>
      </c>
      <c r="M266">
        <v>0.93411</v>
      </c>
      <c r="N266">
        <v>0.94402</v>
      </c>
      <c r="O266">
        <v>1</v>
      </c>
      <c r="P266">
        <v>0.9582000000000001</v>
      </c>
      <c r="Q266">
        <v>1</v>
      </c>
      <c r="R266">
        <v>1.07129</v>
      </c>
      <c r="S266">
        <v>1.09408</v>
      </c>
      <c r="T266">
        <v>1.00225</v>
      </c>
      <c r="U266">
        <v>1</v>
      </c>
      <c r="V266">
        <v>15.354</v>
      </c>
      <c r="W266">
        <v>14.215</v>
      </c>
      <c r="X266">
        <v>117.892</v>
      </c>
      <c r="Y266">
        <v>49.431</v>
      </c>
      <c r="Z266">
        <v>47.94</v>
      </c>
      <c r="AA266">
        <v>244.832</v>
      </c>
      <c r="AB266">
        <v>1.02446</v>
      </c>
      <c r="AC266">
        <v>220</v>
      </c>
      <c r="AD266">
        <v>0</v>
      </c>
      <c r="AG266">
        <v>17</v>
      </c>
      <c r="AH266">
        <v>14</v>
      </c>
      <c r="AI266">
        <v>115</v>
      </c>
      <c r="AJ266">
        <v>42</v>
      </c>
      <c r="AK266">
        <v>32</v>
      </c>
    </row>
    <row r="267" spans="1:37">
      <c r="A267" t="s">
        <v>759</v>
      </c>
      <c r="B267" t="s">
        <v>1755</v>
      </c>
      <c r="C267">
        <v>32.4</v>
      </c>
      <c r="D267" t="s">
        <v>82</v>
      </c>
      <c r="E267">
        <v>27</v>
      </c>
      <c r="F267">
        <v>0</v>
      </c>
      <c r="G267">
        <v>0</v>
      </c>
      <c r="I267">
        <v>1.04947</v>
      </c>
      <c r="J267">
        <v>1.02253</v>
      </c>
      <c r="K267">
        <v>1.02923</v>
      </c>
      <c r="L267">
        <v>1.00124</v>
      </c>
      <c r="M267">
        <v>0.92087</v>
      </c>
      <c r="N267">
        <v>0.96077</v>
      </c>
      <c r="O267">
        <v>1</v>
      </c>
      <c r="P267">
        <v>0.95875</v>
      </c>
      <c r="Q267">
        <v>1</v>
      </c>
      <c r="R267">
        <v>1.15184</v>
      </c>
      <c r="S267">
        <v>1.09326</v>
      </c>
      <c r="T267">
        <v>1.0025</v>
      </c>
      <c r="U267">
        <v>1</v>
      </c>
      <c r="V267">
        <v>21.309</v>
      </c>
      <c r="W267">
        <v>13.641</v>
      </c>
      <c r="X267">
        <v>122.904</v>
      </c>
      <c r="Y267">
        <v>50.215</v>
      </c>
      <c r="Z267">
        <v>46.032</v>
      </c>
      <c r="AA267">
        <v>254.101</v>
      </c>
      <c r="AB267">
        <v>1.03001</v>
      </c>
      <c r="AC267">
        <v>232</v>
      </c>
      <c r="AD267">
        <v>0</v>
      </c>
      <c r="AG267">
        <v>19</v>
      </c>
      <c r="AH267">
        <v>8</v>
      </c>
      <c r="AI267">
        <v>116</v>
      </c>
      <c r="AJ267">
        <v>48</v>
      </c>
      <c r="AK267">
        <v>41</v>
      </c>
    </row>
    <row r="268" spans="1:37">
      <c r="A268" t="s">
        <v>403</v>
      </c>
      <c r="B268" t="s">
        <v>1755</v>
      </c>
      <c r="C268">
        <v>32.7</v>
      </c>
      <c r="D268" t="s">
        <v>82</v>
      </c>
      <c r="E268">
        <v>28</v>
      </c>
      <c r="F268">
        <v>0</v>
      </c>
      <c r="G268">
        <v>0</v>
      </c>
      <c r="I268">
        <v>1.04965</v>
      </c>
      <c r="J268">
        <v>1.0371</v>
      </c>
      <c r="K268">
        <v>1.02923</v>
      </c>
      <c r="L268">
        <v>1.0016</v>
      </c>
      <c r="M268">
        <v>0.87887</v>
      </c>
      <c r="N268">
        <v>0.96199</v>
      </c>
      <c r="O268">
        <v>1</v>
      </c>
      <c r="P268">
        <v>0.95957</v>
      </c>
      <c r="Q268">
        <v>1</v>
      </c>
      <c r="R268">
        <v>0.9994499999999999</v>
      </c>
      <c r="S268">
        <v>1.09174</v>
      </c>
      <c r="T268">
        <v>1.00267</v>
      </c>
      <c r="U268">
        <v>1</v>
      </c>
      <c r="V268">
        <v>21.631</v>
      </c>
      <c r="W268">
        <v>16.154</v>
      </c>
      <c r="X268">
        <v>100.159</v>
      </c>
      <c r="Y268">
        <v>42.63</v>
      </c>
      <c r="Z268">
        <v>42.63</v>
      </c>
      <c r="AA268">
        <v>223.204</v>
      </c>
      <c r="AB268">
        <v>1.05497</v>
      </c>
      <c r="AC268">
        <v>219</v>
      </c>
      <c r="AD268">
        <v>0</v>
      </c>
      <c r="AG268">
        <v>12</v>
      </c>
      <c r="AH268">
        <v>15</v>
      </c>
      <c r="AI268">
        <v>100</v>
      </c>
      <c r="AJ268">
        <v>44</v>
      </c>
      <c r="AK268">
        <v>48</v>
      </c>
    </row>
    <row r="269" spans="1:37">
      <c r="A269" t="s">
        <v>760</v>
      </c>
      <c r="B269" t="s">
        <v>1751</v>
      </c>
      <c r="C269">
        <v>32.8</v>
      </c>
      <c r="D269" t="s">
        <v>82</v>
      </c>
      <c r="E269">
        <v>29</v>
      </c>
      <c r="F269">
        <v>0</v>
      </c>
      <c r="G269">
        <v>0</v>
      </c>
      <c r="I269">
        <v>1.04984</v>
      </c>
      <c r="J269">
        <v>1.03535</v>
      </c>
      <c r="K269">
        <v>1.02923</v>
      </c>
      <c r="L269">
        <v>1.002</v>
      </c>
      <c r="M269">
        <v>0.88014</v>
      </c>
      <c r="N269">
        <v>0.98116</v>
      </c>
      <c r="O269">
        <v>1</v>
      </c>
      <c r="P269">
        <v>0.96917</v>
      </c>
      <c r="Q269">
        <v>1</v>
      </c>
      <c r="R269">
        <v>1</v>
      </c>
      <c r="S269">
        <v>1.03096</v>
      </c>
      <c r="T269">
        <v>1.00362</v>
      </c>
      <c r="U269">
        <v>1</v>
      </c>
      <c r="V269">
        <v>72.047</v>
      </c>
      <c r="W269">
        <v>38.818</v>
      </c>
      <c r="X269">
        <v>61.273</v>
      </c>
      <c r="Y269">
        <v>13.134</v>
      </c>
      <c r="Z269">
        <v>33.224</v>
      </c>
      <c r="AA269">
        <v>218.496</v>
      </c>
      <c r="AB269">
        <v>0.8641</v>
      </c>
      <c r="AC269">
        <v>186</v>
      </c>
      <c r="AD269">
        <v>0</v>
      </c>
      <c r="AG269">
        <v>63</v>
      </c>
      <c r="AH269">
        <v>33</v>
      </c>
      <c r="AI269">
        <v>47</v>
      </c>
      <c r="AJ269">
        <v>13</v>
      </c>
      <c r="AK269">
        <v>30</v>
      </c>
    </row>
    <row r="270" spans="1:37">
      <c r="A270" t="s">
        <v>761</v>
      </c>
      <c r="B270" t="s">
        <v>1751</v>
      </c>
      <c r="C270">
        <v>32.1</v>
      </c>
      <c r="D270" t="s">
        <v>82</v>
      </c>
      <c r="E270">
        <v>30</v>
      </c>
      <c r="F270">
        <v>0</v>
      </c>
      <c r="G270">
        <v>0</v>
      </c>
      <c r="I270">
        <v>1.05003</v>
      </c>
      <c r="J270">
        <v>1.03934</v>
      </c>
      <c r="K270">
        <v>1.02923</v>
      </c>
      <c r="L270">
        <v>1.00243</v>
      </c>
      <c r="M270">
        <v>0.90281</v>
      </c>
      <c r="N270">
        <v>0.98336</v>
      </c>
      <c r="O270">
        <v>1</v>
      </c>
      <c r="P270">
        <v>0.96875</v>
      </c>
      <c r="Q270">
        <v>1</v>
      </c>
      <c r="R270">
        <v>1</v>
      </c>
      <c r="S270">
        <v>1.03102</v>
      </c>
      <c r="T270">
        <v>1.00384</v>
      </c>
      <c r="U270">
        <v>1</v>
      </c>
      <c r="V270">
        <v>72.39</v>
      </c>
      <c r="W270">
        <v>39.002</v>
      </c>
      <c r="X270">
        <v>66.361</v>
      </c>
      <c r="Y270">
        <v>14.536</v>
      </c>
      <c r="Z270">
        <v>33.808</v>
      </c>
      <c r="AA270">
        <v>226.097</v>
      </c>
      <c r="AB270">
        <v>1.03451</v>
      </c>
      <c r="AC270">
        <v>226</v>
      </c>
      <c r="AD270">
        <v>1</v>
      </c>
      <c r="AG270">
        <v>71</v>
      </c>
      <c r="AH270">
        <v>38</v>
      </c>
      <c r="AI270">
        <v>64</v>
      </c>
      <c r="AJ270">
        <v>12</v>
      </c>
      <c r="AK270">
        <v>41</v>
      </c>
    </row>
    <row r="271" spans="1:37">
      <c r="A271" t="s">
        <v>762</v>
      </c>
      <c r="B271" t="s">
        <v>1751</v>
      </c>
      <c r="C271">
        <v>32.8</v>
      </c>
      <c r="D271" t="s">
        <v>82</v>
      </c>
      <c r="E271">
        <v>0</v>
      </c>
      <c r="F271">
        <v>0</v>
      </c>
      <c r="G271">
        <v>0</v>
      </c>
      <c r="I271">
        <v>1.05022</v>
      </c>
      <c r="J271">
        <v>1.04623</v>
      </c>
      <c r="K271">
        <v>1.02923</v>
      </c>
      <c r="L271">
        <v>1.00288</v>
      </c>
      <c r="M271">
        <v>0.9363899999999999</v>
      </c>
      <c r="N271">
        <v>0.9766899999999999</v>
      </c>
      <c r="O271">
        <v>1</v>
      </c>
      <c r="P271">
        <v>1.06419</v>
      </c>
      <c r="Q271">
        <v>1</v>
      </c>
      <c r="R271">
        <v>1</v>
      </c>
      <c r="S271">
        <v>1.03055</v>
      </c>
      <c r="T271">
        <v>1.00395</v>
      </c>
      <c r="U271">
        <v>1</v>
      </c>
      <c r="V271">
        <v>74.414</v>
      </c>
      <c r="W271">
        <v>39.91</v>
      </c>
      <c r="X271">
        <v>84.075</v>
      </c>
      <c r="Y271">
        <v>19.306</v>
      </c>
      <c r="Z271">
        <v>41.35</v>
      </c>
      <c r="AA271">
        <v>259.055</v>
      </c>
      <c r="AB271">
        <v>1.02007</v>
      </c>
      <c r="AC271">
        <v>285</v>
      </c>
      <c r="AD271">
        <v>0</v>
      </c>
      <c r="AG271">
        <v>86</v>
      </c>
      <c r="AH271">
        <v>40</v>
      </c>
      <c r="AI271">
        <v>95</v>
      </c>
      <c r="AJ271">
        <v>22</v>
      </c>
      <c r="AK271">
        <v>42</v>
      </c>
    </row>
    <row r="272" spans="1:37">
      <c r="A272" t="s">
        <v>763</v>
      </c>
      <c r="B272" t="s">
        <v>1752</v>
      </c>
      <c r="C272">
        <v>32</v>
      </c>
      <c r="D272" t="s">
        <v>82</v>
      </c>
      <c r="E272">
        <v>1</v>
      </c>
      <c r="F272">
        <v>0</v>
      </c>
      <c r="G272">
        <v>0</v>
      </c>
      <c r="I272">
        <v>1.0504</v>
      </c>
      <c r="J272">
        <v>1.03979</v>
      </c>
      <c r="K272">
        <v>1.02923</v>
      </c>
      <c r="L272">
        <v>1.00336</v>
      </c>
      <c r="M272">
        <v>1.13461</v>
      </c>
      <c r="N272">
        <v>0.97293</v>
      </c>
      <c r="O272">
        <v>1</v>
      </c>
      <c r="P272">
        <v>1.04731</v>
      </c>
      <c r="Q272">
        <v>1</v>
      </c>
      <c r="R272">
        <v>1</v>
      </c>
      <c r="S272">
        <v>1.03039</v>
      </c>
      <c r="T272">
        <v>1.00403</v>
      </c>
      <c r="U272">
        <v>1</v>
      </c>
      <c r="V272">
        <v>68.89100000000001</v>
      </c>
      <c r="W272">
        <v>32.958</v>
      </c>
      <c r="X272">
        <v>126.254</v>
      </c>
      <c r="Y272">
        <v>32.383</v>
      </c>
      <c r="Z272">
        <v>46.941</v>
      </c>
      <c r="AA272">
        <v>307.427</v>
      </c>
      <c r="AB272">
        <v>0.94907</v>
      </c>
      <c r="AC272">
        <v>279</v>
      </c>
      <c r="AD272">
        <v>0</v>
      </c>
      <c r="AG272">
        <v>61</v>
      </c>
      <c r="AH272">
        <v>29</v>
      </c>
      <c r="AI272">
        <v>107</v>
      </c>
      <c r="AJ272">
        <v>34</v>
      </c>
      <c r="AK272">
        <v>48</v>
      </c>
    </row>
    <row r="273" spans="1:37">
      <c r="A273" t="s">
        <v>764</v>
      </c>
      <c r="B273" t="s">
        <v>1753</v>
      </c>
      <c r="C273">
        <v>33.8</v>
      </c>
      <c r="D273" t="s">
        <v>82</v>
      </c>
      <c r="E273">
        <v>2</v>
      </c>
      <c r="F273">
        <v>0</v>
      </c>
      <c r="G273">
        <v>0</v>
      </c>
      <c r="I273">
        <v>1.05059</v>
      </c>
      <c r="J273">
        <v>1.04585</v>
      </c>
      <c r="K273">
        <v>1.02923</v>
      </c>
      <c r="L273">
        <v>1.00385</v>
      </c>
      <c r="M273">
        <v>0.91617</v>
      </c>
      <c r="N273">
        <v>0.95252</v>
      </c>
      <c r="O273">
        <v>1</v>
      </c>
      <c r="P273">
        <v>1.03727</v>
      </c>
      <c r="Q273">
        <v>1</v>
      </c>
      <c r="R273">
        <v>1</v>
      </c>
      <c r="S273">
        <v>1.02714</v>
      </c>
      <c r="T273">
        <v>1.00334</v>
      </c>
      <c r="U273">
        <v>1</v>
      </c>
      <c r="V273">
        <v>16.489</v>
      </c>
      <c r="W273">
        <v>14.377</v>
      </c>
      <c r="X273">
        <v>112.183</v>
      </c>
      <c r="Y273">
        <v>49.459</v>
      </c>
      <c r="Z273">
        <v>51.563</v>
      </c>
      <c r="AA273">
        <v>244.071</v>
      </c>
      <c r="AB273">
        <v>0.96952</v>
      </c>
      <c r="AC273">
        <v>241</v>
      </c>
      <c r="AD273">
        <v>0</v>
      </c>
      <c r="AG273">
        <v>22</v>
      </c>
      <c r="AH273">
        <v>10</v>
      </c>
      <c r="AI273">
        <v>93</v>
      </c>
      <c r="AJ273">
        <v>64</v>
      </c>
      <c r="AK273">
        <v>52</v>
      </c>
    </row>
    <row r="274" spans="1:37">
      <c r="A274" t="s">
        <v>765</v>
      </c>
      <c r="B274" t="s">
        <v>1754</v>
      </c>
      <c r="C274">
        <v>33.5</v>
      </c>
      <c r="D274" t="s">
        <v>82</v>
      </c>
      <c r="E274">
        <v>3</v>
      </c>
      <c r="F274">
        <v>0</v>
      </c>
      <c r="G274">
        <v>0</v>
      </c>
      <c r="I274">
        <v>1.05078</v>
      </c>
      <c r="J274">
        <v>1.03905</v>
      </c>
      <c r="K274">
        <v>1.02923</v>
      </c>
      <c r="L274">
        <v>1.00436</v>
      </c>
      <c r="M274">
        <v>0.85344</v>
      </c>
      <c r="N274">
        <v>0.95916</v>
      </c>
      <c r="O274">
        <v>1</v>
      </c>
      <c r="P274">
        <v>1.02383</v>
      </c>
      <c r="Q274">
        <v>1</v>
      </c>
      <c r="R274">
        <v>1</v>
      </c>
      <c r="S274">
        <v>1.02816</v>
      </c>
      <c r="T274">
        <v>1.00369</v>
      </c>
      <c r="U274">
        <v>1</v>
      </c>
      <c r="V274">
        <v>22.271</v>
      </c>
      <c r="W274">
        <v>22.319</v>
      </c>
      <c r="X274">
        <v>94.29300000000001</v>
      </c>
      <c r="Y274">
        <v>41.018</v>
      </c>
      <c r="Z274">
        <v>44.365</v>
      </c>
      <c r="AA274">
        <v>224.267</v>
      </c>
      <c r="AB274">
        <v>0.95399</v>
      </c>
      <c r="AC274">
        <v>213</v>
      </c>
      <c r="AD274">
        <v>0</v>
      </c>
      <c r="AG274">
        <v>16</v>
      </c>
      <c r="AH274">
        <v>24</v>
      </c>
      <c r="AI274">
        <v>103</v>
      </c>
      <c r="AJ274">
        <v>32</v>
      </c>
      <c r="AK274">
        <v>38</v>
      </c>
    </row>
    <row r="275" spans="1:37">
      <c r="A275" t="s">
        <v>404</v>
      </c>
      <c r="B275" t="s">
        <v>1751</v>
      </c>
      <c r="C275">
        <v>29.8</v>
      </c>
      <c r="D275" t="s">
        <v>82</v>
      </c>
      <c r="E275">
        <v>4</v>
      </c>
      <c r="F275">
        <v>0</v>
      </c>
      <c r="G275">
        <v>0</v>
      </c>
      <c r="I275">
        <v>1.05096</v>
      </c>
      <c r="J275">
        <v>1.03861</v>
      </c>
      <c r="K275">
        <v>1.04886</v>
      </c>
      <c r="L275">
        <v>1.00488</v>
      </c>
      <c r="M275">
        <v>0.89971</v>
      </c>
      <c r="N275">
        <v>0.99846</v>
      </c>
      <c r="O275">
        <v>1</v>
      </c>
      <c r="P275">
        <v>1.01253</v>
      </c>
      <c r="Q275">
        <v>1</v>
      </c>
      <c r="R275">
        <v>1</v>
      </c>
      <c r="S275">
        <v>1</v>
      </c>
      <c r="T275">
        <v>1.0049</v>
      </c>
      <c r="U275">
        <v>1</v>
      </c>
      <c r="V275">
        <v>76.959</v>
      </c>
      <c r="W275">
        <v>39.233</v>
      </c>
      <c r="X275">
        <v>70.997</v>
      </c>
      <c r="Y275">
        <v>16.136</v>
      </c>
      <c r="Z275">
        <v>34.959</v>
      </c>
      <c r="AA275">
        <v>238.283</v>
      </c>
      <c r="AB275">
        <v>0.93582</v>
      </c>
      <c r="AC275">
        <v>209</v>
      </c>
      <c r="AD275">
        <v>0</v>
      </c>
      <c r="AF275" t="s">
        <v>1762</v>
      </c>
      <c r="AG275">
        <v>64</v>
      </c>
      <c r="AH275">
        <v>36</v>
      </c>
      <c r="AI275">
        <v>60</v>
      </c>
      <c r="AJ275">
        <v>17</v>
      </c>
      <c r="AK275">
        <v>32</v>
      </c>
    </row>
    <row r="276" spans="1:37">
      <c r="A276" t="s">
        <v>766</v>
      </c>
      <c r="B276" t="s">
        <v>1751</v>
      </c>
      <c r="C276">
        <v>30.8</v>
      </c>
      <c r="D276" t="s">
        <v>82</v>
      </c>
      <c r="E276">
        <v>5</v>
      </c>
      <c r="F276">
        <v>0</v>
      </c>
      <c r="G276">
        <v>0</v>
      </c>
      <c r="I276">
        <v>1.05115</v>
      </c>
      <c r="J276">
        <v>1.0408</v>
      </c>
      <c r="K276">
        <v>1.04886</v>
      </c>
      <c r="L276">
        <v>1.00539</v>
      </c>
      <c r="M276">
        <v>0.87588</v>
      </c>
      <c r="N276">
        <v>0.99205</v>
      </c>
      <c r="O276">
        <v>1</v>
      </c>
      <c r="P276">
        <v>1.00839</v>
      </c>
      <c r="Q276">
        <v>1</v>
      </c>
      <c r="R276">
        <v>1</v>
      </c>
      <c r="S276">
        <v>1</v>
      </c>
      <c r="T276">
        <v>1.00667</v>
      </c>
      <c r="U276">
        <v>1</v>
      </c>
      <c r="V276">
        <v>73.748</v>
      </c>
      <c r="W276">
        <v>39.236</v>
      </c>
      <c r="X276">
        <v>67.32899999999999</v>
      </c>
      <c r="Y276">
        <v>14.486</v>
      </c>
      <c r="Z276">
        <v>35.314</v>
      </c>
      <c r="AA276">
        <v>230.113</v>
      </c>
      <c r="AB276">
        <v>1.06723</v>
      </c>
      <c r="AC276">
        <v>244</v>
      </c>
      <c r="AD276">
        <v>0</v>
      </c>
      <c r="AG276">
        <v>74</v>
      </c>
      <c r="AH276">
        <v>43</v>
      </c>
      <c r="AI276">
        <v>70</v>
      </c>
      <c r="AJ276">
        <v>14</v>
      </c>
      <c r="AK276">
        <v>43</v>
      </c>
    </row>
    <row r="277" spans="1:37">
      <c r="A277" t="s">
        <v>767</v>
      </c>
      <c r="B277" t="s">
        <v>1751</v>
      </c>
      <c r="C277">
        <v>32.3</v>
      </c>
      <c r="D277" t="s">
        <v>82</v>
      </c>
      <c r="E277">
        <v>6</v>
      </c>
      <c r="F277">
        <v>0</v>
      </c>
      <c r="G277">
        <v>0</v>
      </c>
      <c r="I277">
        <v>1.05134</v>
      </c>
      <c r="J277">
        <v>1.03113</v>
      </c>
      <c r="K277">
        <v>1.04886</v>
      </c>
      <c r="L277">
        <v>1.0059</v>
      </c>
      <c r="M277">
        <v>0.90146</v>
      </c>
      <c r="N277">
        <v>0.98269</v>
      </c>
      <c r="O277">
        <v>1</v>
      </c>
      <c r="P277">
        <v>1.00567</v>
      </c>
      <c r="Q277">
        <v>1</v>
      </c>
      <c r="R277">
        <v>1</v>
      </c>
      <c r="S277">
        <v>1</v>
      </c>
      <c r="T277">
        <v>1.0083</v>
      </c>
      <c r="U277">
        <v>1</v>
      </c>
      <c r="V277">
        <v>73.39</v>
      </c>
      <c r="W277">
        <v>38.83</v>
      </c>
      <c r="X277">
        <v>68.268</v>
      </c>
      <c r="Y277">
        <v>15.239</v>
      </c>
      <c r="Z277">
        <v>36.347</v>
      </c>
      <c r="AA277">
        <v>232.075</v>
      </c>
      <c r="AB277">
        <v>1.07941</v>
      </c>
      <c r="AC277">
        <v>245</v>
      </c>
      <c r="AD277">
        <v>0</v>
      </c>
      <c r="AG277">
        <v>77</v>
      </c>
      <c r="AH277">
        <v>37</v>
      </c>
      <c r="AI277">
        <v>74</v>
      </c>
      <c r="AJ277">
        <v>18</v>
      </c>
      <c r="AK277">
        <v>39</v>
      </c>
    </row>
    <row r="278" spans="1:37">
      <c r="A278" t="s">
        <v>768</v>
      </c>
      <c r="B278" t="s">
        <v>1751</v>
      </c>
      <c r="C278">
        <v>30.8</v>
      </c>
      <c r="D278" t="s">
        <v>82</v>
      </c>
      <c r="E278">
        <v>7</v>
      </c>
      <c r="F278">
        <v>0</v>
      </c>
      <c r="G278">
        <v>0</v>
      </c>
      <c r="I278">
        <v>1.05153</v>
      </c>
      <c r="J278">
        <v>1.04203</v>
      </c>
      <c r="K278">
        <v>1.04886</v>
      </c>
      <c r="L278">
        <v>1.00641</v>
      </c>
      <c r="M278">
        <v>0.93653</v>
      </c>
      <c r="N278">
        <v>0.99014</v>
      </c>
      <c r="O278">
        <v>1</v>
      </c>
      <c r="P278">
        <v>1.00392</v>
      </c>
      <c r="Q278">
        <v>1</v>
      </c>
      <c r="R278">
        <v>1</v>
      </c>
      <c r="S278">
        <v>1</v>
      </c>
      <c r="T278">
        <v>1.00962</v>
      </c>
      <c r="U278">
        <v>1</v>
      </c>
      <c r="V278">
        <v>73.023</v>
      </c>
      <c r="W278">
        <v>37.263</v>
      </c>
      <c r="X278">
        <v>79.66800000000001</v>
      </c>
      <c r="Y278">
        <v>18.361</v>
      </c>
      <c r="Z278">
        <v>37.905</v>
      </c>
      <c r="AA278">
        <v>246.22</v>
      </c>
      <c r="AB278">
        <v>1.01005</v>
      </c>
      <c r="AC278">
        <v>261</v>
      </c>
      <c r="AD278">
        <v>0</v>
      </c>
      <c r="AG278">
        <v>66</v>
      </c>
      <c r="AH278">
        <v>53</v>
      </c>
      <c r="AI278">
        <v>76</v>
      </c>
      <c r="AJ278">
        <v>22</v>
      </c>
      <c r="AK278">
        <v>44</v>
      </c>
    </row>
    <row r="279" spans="1:37">
      <c r="A279" t="s">
        <v>769</v>
      </c>
      <c r="B279" t="s">
        <v>1752</v>
      </c>
      <c r="C279">
        <v>29.1</v>
      </c>
      <c r="D279" t="s">
        <v>82</v>
      </c>
      <c r="E279">
        <v>8</v>
      </c>
      <c r="F279">
        <v>0</v>
      </c>
      <c r="G279">
        <v>0</v>
      </c>
      <c r="I279">
        <v>1.05171</v>
      </c>
      <c r="J279">
        <v>1.0433</v>
      </c>
      <c r="K279">
        <v>1.04886</v>
      </c>
      <c r="L279">
        <v>1.00689</v>
      </c>
      <c r="M279">
        <v>1.13752</v>
      </c>
      <c r="N279">
        <v>1.00268</v>
      </c>
      <c r="O279">
        <v>1</v>
      </c>
      <c r="P279">
        <v>1.00289</v>
      </c>
      <c r="Q279">
        <v>1</v>
      </c>
      <c r="R279">
        <v>1</v>
      </c>
      <c r="S279">
        <v>1</v>
      </c>
      <c r="T279">
        <v>1.00964</v>
      </c>
      <c r="U279">
        <v>1</v>
      </c>
      <c r="V279">
        <v>68.96299999999999</v>
      </c>
      <c r="W279">
        <v>31.419</v>
      </c>
      <c r="X279">
        <v>127.113</v>
      </c>
      <c r="Y279">
        <v>32.461</v>
      </c>
      <c r="Z279">
        <v>43.94</v>
      </c>
      <c r="AA279">
        <v>303.896</v>
      </c>
      <c r="AB279">
        <v>0.9681999999999999</v>
      </c>
      <c r="AC279">
        <v>288</v>
      </c>
      <c r="AD279">
        <v>0</v>
      </c>
      <c r="AG279">
        <v>60</v>
      </c>
      <c r="AH279">
        <v>33</v>
      </c>
      <c r="AI279">
        <v>126</v>
      </c>
      <c r="AJ279">
        <v>33</v>
      </c>
      <c r="AK279">
        <v>36</v>
      </c>
    </row>
    <row r="280" spans="1:37">
      <c r="A280" t="s">
        <v>770</v>
      </c>
      <c r="B280" t="s">
        <v>1753</v>
      </c>
      <c r="C280">
        <v>28.5</v>
      </c>
      <c r="D280" t="s">
        <v>82</v>
      </c>
      <c r="E280">
        <v>9</v>
      </c>
      <c r="F280">
        <v>0</v>
      </c>
      <c r="G280">
        <v>0</v>
      </c>
      <c r="I280">
        <v>1.0519</v>
      </c>
      <c r="J280">
        <v>1.03452</v>
      </c>
      <c r="K280">
        <v>1.04886</v>
      </c>
      <c r="L280">
        <v>1.00736</v>
      </c>
      <c r="M280">
        <v>0.92919</v>
      </c>
      <c r="N280">
        <v>1.01336</v>
      </c>
      <c r="O280">
        <v>1</v>
      </c>
      <c r="P280">
        <v>1.00228</v>
      </c>
      <c r="Q280">
        <v>1</v>
      </c>
      <c r="R280">
        <v>1</v>
      </c>
      <c r="S280">
        <v>1</v>
      </c>
      <c r="T280">
        <v>1.00602</v>
      </c>
      <c r="U280">
        <v>1</v>
      </c>
      <c r="V280">
        <v>16.43</v>
      </c>
      <c r="W280">
        <v>13.634</v>
      </c>
      <c r="X280">
        <v>119.2</v>
      </c>
      <c r="Y280">
        <v>51.51</v>
      </c>
      <c r="Z280">
        <v>46.951</v>
      </c>
      <c r="AA280">
        <v>247.725</v>
      </c>
      <c r="AB280">
        <v>0.95752</v>
      </c>
      <c r="AC280">
        <v>233</v>
      </c>
      <c r="AD280">
        <v>0</v>
      </c>
      <c r="AG280">
        <v>16</v>
      </c>
      <c r="AH280">
        <v>9</v>
      </c>
      <c r="AI280">
        <v>104</v>
      </c>
      <c r="AJ280">
        <v>59</v>
      </c>
      <c r="AK280">
        <v>45</v>
      </c>
    </row>
    <row r="281" spans="1:37">
      <c r="A281" t="s">
        <v>771</v>
      </c>
      <c r="B281" t="s">
        <v>1754</v>
      </c>
      <c r="C281">
        <v>29.1</v>
      </c>
      <c r="D281" t="s">
        <v>82</v>
      </c>
      <c r="E281">
        <v>10</v>
      </c>
      <c r="F281">
        <v>0</v>
      </c>
      <c r="G281">
        <v>0</v>
      </c>
      <c r="I281">
        <v>1.05209</v>
      </c>
      <c r="J281">
        <v>1.03826</v>
      </c>
      <c r="K281">
        <v>1.04886</v>
      </c>
      <c r="L281">
        <v>1.0078</v>
      </c>
      <c r="M281">
        <v>0.86008</v>
      </c>
      <c r="N281">
        <v>1.00467</v>
      </c>
      <c r="O281">
        <v>1</v>
      </c>
      <c r="P281">
        <v>1.00146</v>
      </c>
      <c r="Q281">
        <v>1</v>
      </c>
      <c r="R281">
        <v>1</v>
      </c>
      <c r="S281">
        <v>1</v>
      </c>
      <c r="T281">
        <v>1.0075</v>
      </c>
      <c r="U281">
        <v>1</v>
      </c>
      <c r="V281">
        <v>22.591</v>
      </c>
      <c r="W281">
        <v>21.512</v>
      </c>
      <c r="X281">
        <v>100.301</v>
      </c>
      <c r="Y281">
        <v>43.04</v>
      </c>
      <c r="Z281">
        <v>41.795</v>
      </c>
      <c r="AA281">
        <v>229.239</v>
      </c>
      <c r="AB281">
        <v>0.98652</v>
      </c>
      <c r="AC281">
        <v>204</v>
      </c>
      <c r="AD281">
        <v>0</v>
      </c>
      <c r="AG281">
        <v>17</v>
      </c>
      <c r="AH281">
        <v>24</v>
      </c>
      <c r="AI281">
        <v>83</v>
      </c>
      <c r="AJ281">
        <v>36</v>
      </c>
      <c r="AK281">
        <v>44</v>
      </c>
    </row>
    <row r="282" spans="1:37">
      <c r="A282" t="s">
        <v>405</v>
      </c>
      <c r="B282" t="s">
        <v>1751</v>
      </c>
      <c r="C282">
        <v>29.1</v>
      </c>
      <c r="D282" t="s">
        <v>82</v>
      </c>
      <c r="E282">
        <v>11</v>
      </c>
      <c r="F282">
        <v>0</v>
      </c>
      <c r="G282">
        <v>0</v>
      </c>
      <c r="I282">
        <v>1.05227</v>
      </c>
      <c r="J282">
        <v>1.03835</v>
      </c>
      <c r="K282">
        <v>1.04886</v>
      </c>
      <c r="L282">
        <v>1.00821</v>
      </c>
      <c r="M282">
        <v>0.90079</v>
      </c>
      <c r="N282">
        <v>1.00349</v>
      </c>
      <c r="O282">
        <v>1</v>
      </c>
      <c r="P282">
        <v>1.00076</v>
      </c>
      <c r="Q282">
        <v>1</v>
      </c>
      <c r="R282">
        <v>1</v>
      </c>
      <c r="S282">
        <v>1</v>
      </c>
      <c r="T282">
        <v>1.01648</v>
      </c>
      <c r="U282">
        <v>1</v>
      </c>
      <c r="V282">
        <v>79.43899999999999</v>
      </c>
      <c r="W282">
        <v>39.138</v>
      </c>
      <c r="X282">
        <v>71.545</v>
      </c>
      <c r="Y282">
        <v>16.142</v>
      </c>
      <c r="Z282">
        <v>34.2</v>
      </c>
      <c r="AA282">
        <v>240.464</v>
      </c>
      <c r="AB282">
        <v>0.99724</v>
      </c>
      <c r="AC282">
        <v>247</v>
      </c>
      <c r="AD282">
        <v>0</v>
      </c>
      <c r="AG282">
        <v>101</v>
      </c>
      <c r="AH282">
        <v>33</v>
      </c>
      <c r="AI282">
        <v>69</v>
      </c>
      <c r="AJ282">
        <v>14</v>
      </c>
      <c r="AK282">
        <v>30</v>
      </c>
    </row>
    <row r="283" spans="1:37">
      <c r="A283" t="s">
        <v>772</v>
      </c>
      <c r="B283" t="s">
        <v>1751</v>
      </c>
      <c r="C283">
        <v>27.4</v>
      </c>
      <c r="D283" t="s">
        <v>82</v>
      </c>
      <c r="E283">
        <v>12</v>
      </c>
      <c r="F283">
        <v>0</v>
      </c>
      <c r="G283">
        <v>0</v>
      </c>
      <c r="I283">
        <v>1.05246</v>
      </c>
      <c r="J283">
        <v>1.04607</v>
      </c>
      <c r="K283">
        <v>1.04886</v>
      </c>
      <c r="L283">
        <v>1.00859</v>
      </c>
      <c r="M283">
        <v>0.87299</v>
      </c>
      <c r="N283">
        <v>1.01594</v>
      </c>
      <c r="O283">
        <v>1</v>
      </c>
      <c r="P283">
        <v>1.00051</v>
      </c>
      <c r="Q283">
        <v>1</v>
      </c>
      <c r="R283">
        <v>1</v>
      </c>
      <c r="S283">
        <v>1</v>
      </c>
      <c r="T283">
        <v>1.01761</v>
      </c>
      <c r="U283">
        <v>1</v>
      </c>
      <c r="V283">
        <v>76.56</v>
      </c>
      <c r="W283">
        <v>39.453</v>
      </c>
      <c r="X283">
        <v>73.55200000000001</v>
      </c>
      <c r="Y283">
        <v>15.386</v>
      </c>
      <c r="Z283">
        <v>33.675</v>
      </c>
      <c r="AA283">
        <v>238.626</v>
      </c>
      <c r="AB283">
        <v>1.04544</v>
      </c>
      <c r="AC283">
        <v>261</v>
      </c>
      <c r="AD283">
        <v>0</v>
      </c>
      <c r="AG283">
        <v>87</v>
      </c>
      <c r="AH283">
        <v>45</v>
      </c>
      <c r="AI283">
        <v>68</v>
      </c>
      <c r="AJ283">
        <v>15</v>
      </c>
      <c r="AK283">
        <v>46</v>
      </c>
    </row>
    <row r="284" spans="1:37">
      <c r="A284" t="s">
        <v>773</v>
      </c>
      <c r="B284" t="s">
        <v>1751</v>
      </c>
      <c r="C284">
        <v>25.9</v>
      </c>
      <c r="D284" t="s">
        <v>82</v>
      </c>
      <c r="E284">
        <v>13</v>
      </c>
      <c r="F284">
        <v>0</v>
      </c>
      <c r="G284">
        <v>0</v>
      </c>
      <c r="I284">
        <v>1.05265</v>
      </c>
      <c r="J284">
        <v>1.03551</v>
      </c>
      <c r="K284">
        <v>1.04886</v>
      </c>
      <c r="L284">
        <v>1.00893</v>
      </c>
      <c r="M284">
        <v>0.89639</v>
      </c>
      <c r="N284">
        <v>1.0267</v>
      </c>
      <c r="O284">
        <v>1</v>
      </c>
      <c r="P284">
        <v>1.00035</v>
      </c>
      <c r="Q284">
        <v>1</v>
      </c>
      <c r="R284">
        <v>1</v>
      </c>
      <c r="S284">
        <v>1</v>
      </c>
      <c r="T284">
        <v>1.01853</v>
      </c>
      <c r="U284">
        <v>1</v>
      </c>
      <c r="V284">
        <v>76.114</v>
      </c>
      <c r="W284">
        <v>39.079</v>
      </c>
      <c r="X284">
        <v>80.14400000000001</v>
      </c>
      <c r="Y284">
        <v>17.039</v>
      </c>
      <c r="Z284">
        <v>33.383</v>
      </c>
      <c r="AA284">
        <v>245.76</v>
      </c>
      <c r="AB284">
        <v>0.99621</v>
      </c>
      <c r="AC284">
        <v>261</v>
      </c>
      <c r="AD284">
        <v>0</v>
      </c>
      <c r="AG284">
        <v>67</v>
      </c>
      <c r="AH284">
        <v>51</v>
      </c>
      <c r="AI284">
        <v>80</v>
      </c>
      <c r="AJ284">
        <v>25</v>
      </c>
      <c r="AK284">
        <v>38</v>
      </c>
    </row>
    <row r="285" spans="1:37">
      <c r="A285" t="s">
        <v>774</v>
      </c>
      <c r="B285" t="s">
        <v>1751</v>
      </c>
      <c r="C285">
        <v>25.7</v>
      </c>
      <c r="D285" t="s">
        <v>82</v>
      </c>
      <c r="E285">
        <v>14</v>
      </c>
      <c r="F285">
        <v>0</v>
      </c>
      <c r="G285">
        <v>0</v>
      </c>
      <c r="I285">
        <v>1.05284</v>
      </c>
      <c r="J285">
        <v>1.02789</v>
      </c>
      <c r="K285">
        <v>1.04886</v>
      </c>
      <c r="L285">
        <v>1.00923</v>
      </c>
      <c r="M285">
        <v>0.93507</v>
      </c>
      <c r="N285">
        <v>1.03017</v>
      </c>
      <c r="O285">
        <v>1</v>
      </c>
      <c r="P285">
        <v>1.00024</v>
      </c>
      <c r="Q285">
        <v>1</v>
      </c>
      <c r="R285">
        <v>1</v>
      </c>
      <c r="S285">
        <v>1</v>
      </c>
      <c r="T285">
        <v>1.01894</v>
      </c>
      <c r="U285">
        <v>1</v>
      </c>
      <c r="V285">
        <v>74.352</v>
      </c>
      <c r="W285">
        <v>36.875</v>
      </c>
      <c r="X285">
        <v>89.328</v>
      </c>
      <c r="Y285">
        <v>19.797</v>
      </c>
      <c r="Z285">
        <v>34.851</v>
      </c>
      <c r="AA285">
        <v>255.204</v>
      </c>
      <c r="AB285">
        <v>0.93998</v>
      </c>
      <c r="AC285">
        <v>243</v>
      </c>
      <c r="AD285">
        <v>0</v>
      </c>
      <c r="AG285">
        <v>73</v>
      </c>
      <c r="AH285">
        <v>38</v>
      </c>
      <c r="AI285">
        <v>82</v>
      </c>
      <c r="AJ285">
        <v>19</v>
      </c>
      <c r="AK285">
        <v>31</v>
      </c>
    </row>
    <row r="286" spans="1:37">
      <c r="A286" t="s">
        <v>775</v>
      </c>
      <c r="B286" t="s">
        <v>1752</v>
      </c>
      <c r="C286">
        <v>26.9</v>
      </c>
      <c r="D286" t="s">
        <v>82</v>
      </c>
      <c r="E286">
        <v>15</v>
      </c>
      <c r="F286">
        <v>0</v>
      </c>
      <c r="G286">
        <v>0</v>
      </c>
      <c r="I286">
        <v>1.05302</v>
      </c>
      <c r="J286">
        <v>1.01763</v>
      </c>
      <c r="K286">
        <v>1.04886</v>
      </c>
      <c r="L286">
        <v>1.00948</v>
      </c>
      <c r="M286">
        <v>1.14146</v>
      </c>
      <c r="N286">
        <v>1.02712</v>
      </c>
      <c r="O286">
        <v>1</v>
      </c>
      <c r="P286">
        <v>0.99721</v>
      </c>
      <c r="Q286">
        <v>1</v>
      </c>
      <c r="R286">
        <v>1</v>
      </c>
      <c r="S286">
        <v>1</v>
      </c>
      <c r="T286">
        <v>1.01691</v>
      </c>
      <c r="U286">
        <v>1</v>
      </c>
      <c r="V286">
        <v>69.30200000000001</v>
      </c>
      <c r="W286">
        <v>30.704</v>
      </c>
      <c r="X286">
        <v>131.014</v>
      </c>
      <c r="Y286">
        <v>32.851</v>
      </c>
      <c r="Z286">
        <v>41.453</v>
      </c>
      <c r="AA286">
        <v>305.324</v>
      </c>
      <c r="AB286">
        <v>1.05459</v>
      </c>
      <c r="AC286">
        <v>322</v>
      </c>
      <c r="AD286">
        <v>0</v>
      </c>
      <c r="AG286">
        <v>65</v>
      </c>
      <c r="AH286">
        <v>24</v>
      </c>
      <c r="AI286">
        <v>144</v>
      </c>
      <c r="AJ286">
        <v>31</v>
      </c>
      <c r="AK286">
        <v>58</v>
      </c>
    </row>
    <row r="287" spans="1:37">
      <c r="A287" t="s">
        <v>776</v>
      </c>
      <c r="B287" t="s">
        <v>1753</v>
      </c>
      <c r="C287">
        <v>25.7</v>
      </c>
      <c r="D287" t="s">
        <v>82</v>
      </c>
      <c r="E287">
        <v>16</v>
      </c>
      <c r="F287">
        <v>0</v>
      </c>
      <c r="G287">
        <v>0</v>
      </c>
      <c r="I287">
        <v>1.05321</v>
      </c>
      <c r="J287">
        <v>1.02135</v>
      </c>
      <c r="K287">
        <v>1.04886</v>
      </c>
      <c r="L287">
        <v>1.00968</v>
      </c>
      <c r="M287">
        <v>0.93469</v>
      </c>
      <c r="N287">
        <v>1.05041</v>
      </c>
      <c r="O287">
        <v>1</v>
      </c>
      <c r="P287">
        <v>0.99318</v>
      </c>
      <c r="Q287">
        <v>1</v>
      </c>
      <c r="R287">
        <v>1</v>
      </c>
      <c r="S287">
        <v>1</v>
      </c>
      <c r="T287">
        <v>1.00877</v>
      </c>
      <c r="U287">
        <v>1</v>
      </c>
      <c r="V287">
        <v>16.678</v>
      </c>
      <c r="W287">
        <v>13.464</v>
      </c>
      <c r="X287">
        <v>125.322</v>
      </c>
      <c r="Y287">
        <v>53.027</v>
      </c>
      <c r="Z287">
        <v>44.319</v>
      </c>
      <c r="AA287">
        <v>252.811</v>
      </c>
      <c r="AB287">
        <v>0.91957</v>
      </c>
      <c r="AC287">
        <v>215</v>
      </c>
      <c r="AD287">
        <v>0</v>
      </c>
      <c r="AG287">
        <v>12</v>
      </c>
      <c r="AH287">
        <v>13</v>
      </c>
      <c r="AI287">
        <v>107</v>
      </c>
      <c r="AJ287">
        <v>42</v>
      </c>
      <c r="AK287">
        <v>41</v>
      </c>
    </row>
    <row r="288" spans="1:37">
      <c r="A288" t="s">
        <v>777</v>
      </c>
      <c r="B288" t="s">
        <v>1754</v>
      </c>
      <c r="C288">
        <v>27.5</v>
      </c>
      <c r="D288" t="s">
        <v>82</v>
      </c>
      <c r="E288">
        <v>17</v>
      </c>
      <c r="F288">
        <v>0</v>
      </c>
      <c r="G288">
        <v>0</v>
      </c>
      <c r="I288">
        <v>1.0534</v>
      </c>
      <c r="J288">
        <v>1.01955</v>
      </c>
      <c r="K288">
        <v>1.04886</v>
      </c>
      <c r="L288">
        <v>1.00984</v>
      </c>
      <c r="M288">
        <v>0.8597900000000001</v>
      </c>
      <c r="N288">
        <v>1.02517</v>
      </c>
      <c r="O288">
        <v>1</v>
      </c>
      <c r="P288">
        <v>0.99013</v>
      </c>
      <c r="Q288">
        <v>1</v>
      </c>
      <c r="R288">
        <v>1</v>
      </c>
      <c r="S288">
        <v>1</v>
      </c>
      <c r="T288">
        <v>1.01102</v>
      </c>
      <c r="U288">
        <v>1</v>
      </c>
      <c r="V288">
        <v>22.761</v>
      </c>
      <c r="W288">
        <v>21.092</v>
      </c>
      <c r="X288">
        <v>101.904</v>
      </c>
      <c r="Y288">
        <v>43.122</v>
      </c>
      <c r="Z288">
        <v>39.777</v>
      </c>
      <c r="AA288">
        <v>228.656</v>
      </c>
      <c r="AB288">
        <v>0.96477</v>
      </c>
      <c r="AC288">
        <v>231</v>
      </c>
      <c r="AD288">
        <v>0</v>
      </c>
      <c r="AG288">
        <v>19</v>
      </c>
      <c r="AH288">
        <v>14</v>
      </c>
      <c r="AI288">
        <v>108</v>
      </c>
      <c r="AJ288">
        <v>54</v>
      </c>
      <c r="AK288">
        <v>36</v>
      </c>
    </row>
    <row r="289" spans="1:37">
      <c r="A289" t="s">
        <v>406</v>
      </c>
      <c r="B289" t="s">
        <v>1751</v>
      </c>
      <c r="C289">
        <v>27.7</v>
      </c>
      <c r="D289" t="s">
        <v>82</v>
      </c>
      <c r="E289">
        <v>18</v>
      </c>
      <c r="F289">
        <v>0</v>
      </c>
      <c r="G289">
        <v>0</v>
      </c>
      <c r="I289">
        <v>1.05358</v>
      </c>
      <c r="J289">
        <v>1.01301</v>
      </c>
      <c r="K289">
        <v>1.04886</v>
      </c>
      <c r="L289">
        <v>1.00994</v>
      </c>
      <c r="M289">
        <v>0.90068</v>
      </c>
      <c r="N289">
        <v>1.01362</v>
      </c>
      <c r="O289">
        <v>1</v>
      </c>
      <c r="P289">
        <v>0.98974</v>
      </c>
      <c r="Q289">
        <v>1</v>
      </c>
      <c r="R289">
        <v>1</v>
      </c>
      <c r="S289">
        <v>1</v>
      </c>
      <c r="T289">
        <v>1.02582</v>
      </c>
      <c r="U289">
        <v>1</v>
      </c>
      <c r="V289">
        <v>79.34099999999999</v>
      </c>
      <c r="W289">
        <v>38.051</v>
      </c>
      <c r="X289">
        <v>71.59</v>
      </c>
      <c r="Y289">
        <v>15.952</v>
      </c>
      <c r="Z289">
        <v>32.31</v>
      </c>
      <c r="AA289">
        <v>237.244</v>
      </c>
      <c r="AB289">
        <v>0.8960399999999999</v>
      </c>
      <c r="AC289">
        <v>186</v>
      </c>
      <c r="AD289">
        <v>0</v>
      </c>
      <c r="AG289">
        <v>70</v>
      </c>
      <c r="AH289">
        <v>31</v>
      </c>
      <c r="AI289">
        <v>50</v>
      </c>
      <c r="AJ289">
        <v>15</v>
      </c>
      <c r="AK289">
        <v>20</v>
      </c>
    </row>
    <row r="290" spans="1:37">
      <c r="A290" t="s">
        <v>778</v>
      </c>
      <c r="B290" t="s">
        <v>1751</v>
      </c>
      <c r="C290">
        <v>27</v>
      </c>
      <c r="D290" t="s">
        <v>82</v>
      </c>
      <c r="E290">
        <v>19</v>
      </c>
      <c r="F290">
        <v>0</v>
      </c>
      <c r="G290">
        <v>0</v>
      </c>
      <c r="I290">
        <v>1.05377</v>
      </c>
      <c r="J290">
        <v>1.00475</v>
      </c>
      <c r="K290">
        <v>1.04886</v>
      </c>
      <c r="L290">
        <v>1.00999</v>
      </c>
      <c r="M290">
        <v>0.87403</v>
      </c>
      <c r="N290">
        <v>1.01847</v>
      </c>
      <c r="O290">
        <v>1</v>
      </c>
      <c r="P290">
        <v>0.98708</v>
      </c>
      <c r="Q290">
        <v>1</v>
      </c>
      <c r="R290">
        <v>1</v>
      </c>
      <c r="S290">
        <v>1</v>
      </c>
      <c r="T290">
        <v>1.02658</v>
      </c>
      <c r="U290">
        <v>1</v>
      </c>
      <c r="V290">
        <v>75.114</v>
      </c>
      <c r="W290">
        <v>37.686</v>
      </c>
      <c r="X290">
        <v>70.261</v>
      </c>
      <c r="Y290">
        <v>14.632</v>
      </c>
      <c r="Z290">
        <v>31.625</v>
      </c>
      <c r="AA290">
        <v>229.318</v>
      </c>
      <c r="AB290">
        <v>1.04928</v>
      </c>
      <c r="AC290">
        <v>251</v>
      </c>
      <c r="AD290">
        <v>0</v>
      </c>
      <c r="AG290">
        <v>81</v>
      </c>
      <c r="AH290">
        <v>48</v>
      </c>
      <c r="AI290">
        <v>78</v>
      </c>
      <c r="AJ290">
        <v>18</v>
      </c>
      <c r="AK290">
        <v>26</v>
      </c>
    </row>
    <row r="291" spans="1:37">
      <c r="A291" t="s">
        <v>779</v>
      </c>
      <c r="B291" t="s">
        <v>1751</v>
      </c>
      <c r="C291">
        <v>25.3</v>
      </c>
      <c r="D291" t="s">
        <v>82</v>
      </c>
      <c r="E291">
        <v>20</v>
      </c>
      <c r="F291">
        <v>0</v>
      </c>
      <c r="G291">
        <v>0</v>
      </c>
      <c r="I291">
        <v>1.05396</v>
      </c>
      <c r="J291">
        <v>0.99536</v>
      </c>
      <c r="K291">
        <v>1.04886</v>
      </c>
      <c r="L291">
        <v>1.01001</v>
      </c>
      <c r="M291">
        <v>0.89724</v>
      </c>
      <c r="N291">
        <v>1.02968</v>
      </c>
      <c r="O291">
        <v>1</v>
      </c>
      <c r="P291">
        <v>0.98423</v>
      </c>
      <c r="Q291">
        <v>1</v>
      </c>
      <c r="R291">
        <v>1</v>
      </c>
      <c r="S291">
        <v>1</v>
      </c>
      <c r="T291">
        <v>1.027</v>
      </c>
      <c r="U291">
        <v>1</v>
      </c>
      <c r="V291">
        <v>74.56699999999999</v>
      </c>
      <c r="W291">
        <v>37.278</v>
      </c>
      <c r="X291">
        <v>76.459</v>
      </c>
      <c r="Y291">
        <v>16.177</v>
      </c>
      <c r="Z291">
        <v>31.16</v>
      </c>
      <c r="AA291">
        <v>235.64</v>
      </c>
      <c r="AB291">
        <v>1.1379</v>
      </c>
      <c r="AC291">
        <v>295</v>
      </c>
      <c r="AD291">
        <v>1</v>
      </c>
      <c r="AG291">
        <v>84</v>
      </c>
      <c r="AH291">
        <v>54</v>
      </c>
      <c r="AI291">
        <v>101</v>
      </c>
      <c r="AJ291">
        <v>22</v>
      </c>
      <c r="AK291">
        <v>34</v>
      </c>
    </row>
    <row r="292" spans="1:37">
      <c r="A292" t="s">
        <v>780</v>
      </c>
      <c r="B292" t="s">
        <v>1751</v>
      </c>
      <c r="C292">
        <v>27.5</v>
      </c>
      <c r="D292" t="s">
        <v>82</v>
      </c>
      <c r="E292">
        <v>21</v>
      </c>
      <c r="F292">
        <v>0</v>
      </c>
      <c r="G292">
        <v>0</v>
      </c>
      <c r="I292">
        <v>1.05414</v>
      </c>
      <c r="J292">
        <v>0.9983300000000001</v>
      </c>
      <c r="K292">
        <v>1.04886</v>
      </c>
      <c r="L292">
        <v>1.01006</v>
      </c>
      <c r="M292">
        <v>0.93626</v>
      </c>
      <c r="N292">
        <v>1.01651</v>
      </c>
      <c r="O292">
        <v>1</v>
      </c>
      <c r="P292">
        <v>0.9811800000000001</v>
      </c>
      <c r="Q292">
        <v>1</v>
      </c>
      <c r="R292">
        <v>1</v>
      </c>
      <c r="S292">
        <v>1</v>
      </c>
      <c r="T292">
        <v>1.02702</v>
      </c>
      <c r="U292">
        <v>1</v>
      </c>
      <c r="V292">
        <v>73.443</v>
      </c>
      <c r="W292">
        <v>35.468</v>
      </c>
      <c r="X292">
        <v>81.321</v>
      </c>
      <c r="Y292">
        <v>18.208</v>
      </c>
      <c r="Z292">
        <v>33.854</v>
      </c>
      <c r="AA292">
        <v>242.294</v>
      </c>
      <c r="AB292">
        <v>0.99777</v>
      </c>
      <c r="AC292">
        <v>246</v>
      </c>
      <c r="AD292">
        <v>0</v>
      </c>
      <c r="AG292">
        <v>80</v>
      </c>
      <c r="AH292">
        <v>39</v>
      </c>
      <c r="AI292">
        <v>72</v>
      </c>
      <c r="AJ292">
        <v>25</v>
      </c>
      <c r="AK292">
        <v>30</v>
      </c>
    </row>
    <row r="293" spans="1:37">
      <c r="A293" t="s">
        <v>781</v>
      </c>
      <c r="B293" t="s">
        <v>1752</v>
      </c>
      <c r="C293">
        <v>27.9</v>
      </c>
      <c r="D293" t="s">
        <v>82</v>
      </c>
      <c r="E293">
        <v>22</v>
      </c>
      <c r="F293">
        <v>0</v>
      </c>
      <c r="G293">
        <v>0</v>
      </c>
      <c r="I293">
        <v>1.05433</v>
      </c>
      <c r="J293">
        <v>1.00532</v>
      </c>
      <c r="K293">
        <v>1.04886</v>
      </c>
      <c r="L293">
        <v>1.01017</v>
      </c>
      <c r="M293">
        <v>1.13563</v>
      </c>
      <c r="N293">
        <v>1.01599</v>
      </c>
      <c r="O293">
        <v>1</v>
      </c>
      <c r="P293">
        <v>0.97642</v>
      </c>
      <c r="Q293">
        <v>1</v>
      </c>
      <c r="R293">
        <v>1</v>
      </c>
      <c r="S293">
        <v>1</v>
      </c>
      <c r="T293">
        <v>1.02325</v>
      </c>
      <c r="U293">
        <v>1</v>
      </c>
      <c r="V293">
        <v>69.56699999999999</v>
      </c>
      <c r="W293">
        <v>30.035</v>
      </c>
      <c r="X293">
        <v>123.298</v>
      </c>
      <c r="Y293">
        <v>31.093</v>
      </c>
      <c r="Z293">
        <v>40.494</v>
      </c>
      <c r="AA293">
        <v>294.486</v>
      </c>
      <c r="AB293">
        <v>1.01243</v>
      </c>
      <c r="AC293">
        <v>296</v>
      </c>
      <c r="AD293">
        <v>0</v>
      </c>
      <c r="AG293">
        <v>85</v>
      </c>
      <c r="AH293">
        <v>15</v>
      </c>
      <c r="AI293">
        <v>118</v>
      </c>
      <c r="AJ293">
        <v>32</v>
      </c>
      <c r="AK293">
        <v>46</v>
      </c>
    </row>
    <row r="294" spans="1:37">
      <c r="A294" t="s">
        <v>782</v>
      </c>
      <c r="B294" t="s">
        <v>1753</v>
      </c>
      <c r="C294">
        <v>25</v>
      </c>
      <c r="D294" t="s">
        <v>82</v>
      </c>
      <c r="E294">
        <v>23</v>
      </c>
      <c r="F294">
        <v>0</v>
      </c>
      <c r="G294">
        <v>0</v>
      </c>
      <c r="I294">
        <v>1.05452</v>
      </c>
      <c r="J294">
        <v>1.00947</v>
      </c>
      <c r="K294">
        <v>1.04886</v>
      </c>
      <c r="L294">
        <v>1.01033</v>
      </c>
      <c r="M294">
        <v>0.92794</v>
      </c>
      <c r="N294">
        <v>1.0573</v>
      </c>
      <c r="O294">
        <v>1</v>
      </c>
      <c r="P294">
        <v>0.96872</v>
      </c>
      <c r="Q294">
        <v>1</v>
      </c>
      <c r="R294">
        <v>1</v>
      </c>
      <c r="S294">
        <v>1</v>
      </c>
      <c r="T294">
        <v>1.01113</v>
      </c>
      <c r="U294">
        <v>1</v>
      </c>
      <c r="V294">
        <v>16.736</v>
      </c>
      <c r="W294">
        <v>13.177</v>
      </c>
      <c r="X294">
        <v>122.569</v>
      </c>
      <c r="Y294">
        <v>51.594</v>
      </c>
      <c r="Z294">
        <v>42.298</v>
      </c>
      <c r="AA294">
        <v>246.374</v>
      </c>
      <c r="AB294">
        <v>0.99631</v>
      </c>
      <c r="AC294">
        <v>252</v>
      </c>
      <c r="AD294">
        <v>0</v>
      </c>
      <c r="AG294">
        <v>14</v>
      </c>
      <c r="AH294">
        <v>14</v>
      </c>
      <c r="AI294">
        <v>128</v>
      </c>
      <c r="AJ294">
        <v>44</v>
      </c>
      <c r="AK294">
        <v>52</v>
      </c>
    </row>
    <row r="295" spans="1:37">
      <c r="A295" t="s">
        <v>783</v>
      </c>
      <c r="B295" t="s">
        <v>1754</v>
      </c>
      <c r="C295">
        <v>25.9</v>
      </c>
      <c r="D295" t="s">
        <v>82</v>
      </c>
      <c r="E295">
        <v>24</v>
      </c>
      <c r="F295">
        <v>0</v>
      </c>
      <c r="G295">
        <v>0</v>
      </c>
      <c r="I295">
        <v>1.05471</v>
      </c>
      <c r="J295">
        <v>1.00515</v>
      </c>
      <c r="K295">
        <v>1.04886</v>
      </c>
      <c r="L295">
        <v>1.01054</v>
      </c>
      <c r="M295">
        <v>0.85786</v>
      </c>
      <c r="N295">
        <v>1.04366</v>
      </c>
      <c r="O295">
        <v>1</v>
      </c>
      <c r="P295">
        <v>0.96679</v>
      </c>
      <c r="Q295">
        <v>1</v>
      </c>
      <c r="R295">
        <v>1</v>
      </c>
      <c r="S295">
        <v>1</v>
      </c>
      <c r="T295">
        <v>1.014</v>
      </c>
      <c r="U295">
        <v>1</v>
      </c>
      <c r="V295">
        <v>22.768</v>
      </c>
      <c r="W295">
        <v>20.59</v>
      </c>
      <c r="X295">
        <v>101.864</v>
      </c>
      <c r="Y295">
        <v>42.583</v>
      </c>
      <c r="Z295">
        <v>37.405</v>
      </c>
      <c r="AA295">
        <v>225.21</v>
      </c>
      <c r="AB295">
        <v>0.91972</v>
      </c>
      <c r="AC295">
        <v>214</v>
      </c>
      <c r="AD295">
        <v>0</v>
      </c>
      <c r="AG295">
        <v>29</v>
      </c>
      <c r="AH295">
        <v>22</v>
      </c>
      <c r="AI295">
        <v>100</v>
      </c>
      <c r="AJ295">
        <v>30</v>
      </c>
      <c r="AK295">
        <v>33</v>
      </c>
    </row>
    <row r="296" spans="1:37">
      <c r="A296" t="s">
        <v>407</v>
      </c>
      <c r="B296" t="s">
        <v>1751</v>
      </c>
      <c r="C296">
        <v>25.2</v>
      </c>
      <c r="D296" t="s">
        <v>82</v>
      </c>
      <c r="E296">
        <v>25</v>
      </c>
      <c r="F296">
        <v>0</v>
      </c>
      <c r="G296">
        <v>0</v>
      </c>
      <c r="I296">
        <v>1.05489</v>
      </c>
      <c r="J296">
        <v>1.00146</v>
      </c>
      <c r="K296">
        <v>1.04886</v>
      </c>
      <c r="L296">
        <v>1.0108</v>
      </c>
      <c r="M296">
        <v>0.89981</v>
      </c>
      <c r="N296">
        <v>1.0289</v>
      </c>
      <c r="O296">
        <v>1</v>
      </c>
      <c r="P296">
        <v>0.97156</v>
      </c>
      <c r="Q296">
        <v>1</v>
      </c>
      <c r="R296">
        <v>1</v>
      </c>
      <c r="S296">
        <v>1</v>
      </c>
      <c r="T296">
        <v>1.03338</v>
      </c>
      <c r="U296">
        <v>1</v>
      </c>
      <c r="V296">
        <v>79.542</v>
      </c>
      <c r="W296">
        <v>37.252</v>
      </c>
      <c r="X296">
        <v>73.119</v>
      </c>
      <c r="Y296">
        <v>16.011</v>
      </c>
      <c r="Z296">
        <v>30.088</v>
      </c>
      <c r="AA296">
        <v>236.011</v>
      </c>
      <c r="AB296">
        <v>0.96974</v>
      </c>
      <c r="AC296">
        <v>204</v>
      </c>
      <c r="AD296">
        <v>1</v>
      </c>
      <c r="AG296">
        <v>74</v>
      </c>
      <c r="AH296">
        <v>20</v>
      </c>
      <c r="AI296">
        <v>67</v>
      </c>
      <c r="AJ296">
        <v>15</v>
      </c>
      <c r="AK296">
        <v>28</v>
      </c>
    </row>
    <row r="297" spans="1:37">
      <c r="A297" t="s">
        <v>784</v>
      </c>
      <c r="B297" t="s">
        <v>1751</v>
      </c>
      <c r="C297">
        <v>23.9</v>
      </c>
      <c r="D297" t="s">
        <v>82</v>
      </c>
      <c r="E297">
        <v>26</v>
      </c>
      <c r="F297">
        <v>0</v>
      </c>
      <c r="G297">
        <v>0</v>
      </c>
      <c r="I297">
        <v>1.05508</v>
      </c>
      <c r="J297">
        <v>1.00691</v>
      </c>
      <c r="K297">
        <v>1.04886</v>
      </c>
      <c r="L297">
        <v>1.0111</v>
      </c>
      <c r="M297">
        <v>0.87271</v>
      </c>
      <c r="N297">
        <v>1.03328</v>
      </c>
      <c r="O297">
        <v>1</v>
      </c>
      <c r="P297">
        <v>0.96883</v>
      </c>
      <c r="Q297">
        <v>1</v>
      </c>
      <c r="R297">
        <v>1</v>
      </c>
      <c r="S297">
        <v>1</v>
      </c>
      <c r="T297">
        <v>1.03381</v>
      </c>
      <c r="U297">
        <v>1</v>
      </c>
      <c r="V297">
        <v>76.304</v>
      </c>
      <c r="W297">
        <v>37.408</v>
      </c>
      <c r="X297">
        <v>72.876</v>
      </c>
      <c r="Y297">
        <v>14.911</v>
      </c>
      <c r="Z297">
        <v>29.593</v>
      </c>
      <c r="AA297">
        <v>231.093</v>
      </c>
      <c r="AB297">
        <v>1.03763</v>
      </c>
      <c r="AC297">
        <v>217</v>
      </c>
      <c r="AD297">
        <v>0</v>
      </c>
      <c r="AG297">
        <v>68</v>
      </c>
      <c r="AH297">
        <v>29</v>
      </c>
      <c r="AI297">
        <v>78</v>
      </c>
      <c r="AJ297">
        <v>18</v>
      </c>
      <c r="AK297">
        <v>24</v>
      </c>
    </row>
    <row r="298" spans="1:37">
      <c r="A298" t="s">
        <v>785</v>
      </c>
      <c r="B298" t="s">
        <v>1751</v>
      </c>
      <c r="C298">
        <v>24</v>
      </c>
      <c r="D298" t="s">
        <v>82</v>
      </c>
      <c r="E298">
        <v>27</v>
      </c>
      <c r="F298">
        <v>0</v>
      </c>
      <c r="G298">
        <v>0</v>
      </c>
      <c r="I298">
        <v>1.05527</v>
      </c>
      <c r="J298">
        <v>1.01243</v>
      </c>
      <c r="K298">
        <v>1.04886</v>
      </c>
      <c r="L298">
        <v>1.01144</v>
      </c>
      <c r="M298">
        <v>0.89763</v>
      </c>
      <c r="N298">
        <v>1.03445</v>
      </c>
      <c r="O298">
        <v>1</v>
      </c>
      <c r="P298">
        <v>0.96845</v>
      </c>
      <c r="Q298">
        <v>1</v>
      </c>
      <c r="R298">
        <v>1</v>
      </c>
      <c r="S298">
        <v>1</v>
      </c>
      <c r="T298">
        <v>1.03398</v>
      </c>
      <c r="U298">
        <v>1</v>
      </c>
      <c r="V298">
        <v>76.946</v>
      </c>
      <c r="W298">
        <v>37.64</v>
      </c>
      <c r="X298">
        <v>77.821</v>
      </c>
      <c r="Y298">
        <v>16.35</v>
      </c>
      <c r="Z298">
        <v>30.476</v>
      </c>
      <c r="AA298">
        <v>239.234</v>
      </c>
      <c r="AB298">
        <v>0.98171</v>
      </c>
      <c r="AC298">
        <v>233</v>
      </c>
      <c r="AD298">
        <v>1</v>
      </c>
      <c r="AG298">
        <v>75</v>
      </c>
      <c r="AH298">
        <v>35</v>
      </c>
      <c r="AI298">
        <v>77</v>
      </c>
      <c r="AJ298">
        <v>17</v>
      </c>
      <c r="AK298">
        <v>29</v>
      </c>
    </row>
    <row r="299" spans="1:37">
      <c r="A299" t="s">
        <v>786</v>
      </c>
      <c r="B299" t="s">
        <v>1751</v>
      </c>
      <c r="C299">
        <v>24</v>
      </c>
      <c r="D299" t="s">
        <v>82</v>
      </c>
      <c r="E299">
        <v>28</v>
      </c>
      <c r="F299">
        <v>0</v>
      </c>
      <c r="G299">
        <v>0</v>
      </c>
      <c r="I299">
        <v>1.05545</v>
      </c>
      <c r="J299">
        <v>0.99673</v>
      </c>
      <c r="K299">
        <v>1.04886</v>
      </c>
      <c r="L299">
        <v>1.01182</v>
      </c>
      <c r="M299">
        <v>0.93562</v>
      </c>
      <c r="N299">
        <v>1.03754</v>
      </c>
      <c r="O299">
        <v>1</v>
      </c>
      <c r="P299">
        <v>0.96755</v>
      </c>
      <c r="Q299">
        <v>1</v>
      </c>
      <c r="R299">
        <v>1</v>
      </c>
      <c r="S299">
        <v>1</v>
      </c>
      <c r="T299">
        <v>1.03318</v>
      </c>
      <c r="U299">
        <v>1</v>
      </c>
      <c r="V299">
        <v>74.45099999999999</v>
      </c>
      <c r="W299">
        <v>35.23</v>
      </c>
      <c r="X299">
        <v>85.69199999999999</v>
      </c>
      <c r="Y299">
        <v>18.79</v>
      </c>
      <c r="Z299">
        <v>31.651</v>
      </c>
      <c r="AA299">
        <v>245.815</v>
      </c>
      <c r="AB299">
        <v>1.09761</v>
      </c>
      <c r="AC299">
        <v>266</v>
      </c>
      <c r="AD299">
        <v>0</v>
      </c>
      <c r="AG299">
        <v>79</v>
      </c>
      <c r="AH299">
        <v>36</v>
      </c>
      <c r="AI299">
        <v>113</v>
      </c>
      <c r="AJ299">
        <v>17</v>
      </c>
      <c r="AK299">
        <v>21</v>
      </c>
    </row>
    <row r="300" spans="1:37">
      <c r="A300" t="s">
        <v>787</v>
      </c>
      <c r="B300" t="s">
        <v>1752</v>
      </c>
      <c r="C300">
        <v>24.6</v>
      </c>
      <c r="D300" t="s">
        <v>82</v>
      </c>
      <c r="E300">
        <v>0</v>
      </c>
      <c r="F300">
        <v>0</v>
      </c>
      <c r="G300">
        <v>0</v>
      </c>
      <c r="I300">
        <v>1.05564</v>
      </c>
      <c r="J300">
        <v>0.98964</v>
      </c>
      <c r="K300">
        <v>1.04886</v>
      </c>
      <c r="L300">
        <v>1.01223</v>
      </c>
      <c r="M300">
        <v>1.15019</v>
      </c>
      <c r="N300">
        <v>1.04769</v>
      </c>
      <c r="O300">
        <v>1</v>
      </c>
      <c r="P300">
        <v>1.07119</v>
      </c>
      <c r="Q300">
        <v>1</v>
      </c>
      <c r="R300">
        <v>1</v>
      </c>
      <c r="S300">
        <v>1</v>
      </c>
      <c r="T300">
        <v>1.02665</v>
      </c>
      <c r="U300">
        <v>1</v>
      </c>
      <c r="V300">
        <v>72.449</v>
      </c>
      <c r="W300">
        <v>31.516</v>
      </c>
      <c r="X300">
        <v>147.14</v>
      </c>
      <c r="Y300">
        <v>36.311</v>
      </c>
      <c r="Z300">
        <v>42.918</v>
      </c>
      <c r="AA300">
        <v>330.334</v>
      </c>
      <c r="AB300">
        <v>0.91456</v>
      </c>
      <c r="AC300">
        <v>278</v>
      </c>
      <c r="AD300">
        <v>0</v>
      </c>
      <c r="AG300">
        <v>68</v>
      </c>
      <c r="AH300">
        <v>26</v>
      </c>
      <c r="AI300">
        <v>107</v>
      </c>
      <c r="AJ300">
        <v>43</v>
      </c>
      <c r="AK300">
        <v>34</v>
      </c>
    </row>
    <row r="301" spans="1:37">
      <c r="A301" t="s">
        <v>788</v>
      </c>
      <c r="B301" t="s">
        <v>1753</v>
      </c>
      <c r="C301">
        <v>23.6</v>
      </c>
      <c r="D301" t="s">
        <v>82</v>
      </c>
      <c r="E301">
        <v>1</v>
      </c>
      <c r="F301">
        <v>0</v>
      </c>
      <c r="G301">
        <v>0</v>
      </c>
      <c r="I301">
        <v>1.05583</v>
      </c>
      <c r="J301">
        <v>1.00287</v>
      </c>
      <c r="K301">
        <v>1.04886</v>
      </c>
      <c r="L301">
        <v>1.01268</v>
      </c>
      <c r="M301">
        <v>0.94477</v>
      </c>
      <c r="N301">
        <v>1.06716</v>
      </c>
      <c r="O301">
        <v>1</v>
      </c>
      <c r="P301">
        <v>1.05593</v>
      </c>
      <c r="Q301">
        <v>1</v>
      </c>
      <c r="R301">
        <v>1</v>
      </c>
      <c r="S301">
        <v>1</v>
      </c>
      <c r="T301">
        <v>1.01274</v>
      </c>
      <c r="U301">
        <v>1</v>
      </c>
      <c r="V301">
        <v>17.453</v>
      </c>
      <c r="W301">
        <v>13.785</v>
      </c>
      <c r="X301">
        <v>136.843</v>
      </c>
      <c r="Y301">
        <v>57.222</v>
      </c>
      <c r="Z301">
        <v>45.357</v>
      </c>
      <c r="AA301">
        <v>270.66</v>
      </c>
      <c r="AB301">
        <v>0.8984799999999999</v>
      </c>
      <c r="AC301">
        <v>262</v>
      </c>
      <c r="AD301">
        <v>0</v>
      </c>
      <c r="AG301">
        <v>11</v>
      </c>
      <c r="AH301">
        <v>10</v>
      </c>
      <c r="AI301">
        <v>122</v>
      </c>
      <c r="AJ301">
        <v>66</v>
      </c>
      <c r="AK301">
        <v>53</v>
      </c>
    </row>
    <row r="302" spans="1:37">
      <c r="A302" t="s">
        <v>789</v>
      </c>
      <c r="B302" t="s">
        <v>1754</v>
      </c>
      <c r="C302">
        <v>22.9</v>
      </c>
      <c r="D302" t="s">
        <v>82</v>
      </c>
      <c r="E302">
        <v>2</v>
      </c>
      <c r="F302">
        <v>0</v>
      </c>
      <c r="G302">
        <v>0</v>
      </c>
      <c r="I302">
        <v>1.05602</v>
      </c>
      <c r="J302">
        <v>0.99297</v>
      </c>
      <c r="K302">
        <v>1.04886</v>
      </c>
      <c r="L302">
        <v>1.01315</v>
      </c>
      <c r="M302">
        <v>0.87083</v>
      </c>
      <c r="N302">
        <v>1.06273</v>
      </c>
      <c r="O302">
        <v>1</v>
      </c>
      <c r="P302">
        <v>1.03586</v>
      </c>
      <c r="Q302">
        <v>1</v>
      </c>
      <c r="R302">
        <v>1</v>
      </c>
      <c r="S302">
        <v>1</v>
      </c>
      <c r="T302">
        <v>1.01598</v>
      </c>
      <c r="U302">
        <v>1</v>
      </c>
      <c r="V302">
        <v>23.49</v>
      </c>
      <c r="W302">
        <v>21.259</v>
      </c>
      <c r="X302">
        <v>113.953</v>
      </c>
      <c r="Y302">
        <v>47.028</v>
      </c>
      <c r="Z302">
        <v>38.411</v>
      </c>
      <c r="AA302">
        <v>244.142</v>
      </c>
      <c r="AB302">
        <v>1.09521</v>
      </c>
      <c r="AC302">
        <v>286</v>
      </c>
      <c r="AD302">
        <v>0</v>
      </c>
      <c r="AG302">
        <v>34</v>
      </c>
      <c r="AH302">
        <v>26</v>
      </c>
      <c r="AI302">
        <v>139</v>
      </c>
      <c r="AJ302">
        <v>44</v>
      </c>
      <c r="AK302">
        <v>43</v>
      </c>
    </row>
    <row r="303" spans="1:37">
      <c r="A303" t="s">
        <v>408</v>
      </c>
      <c r="B303" t="s">
        <v>1751</v>
      </c>
      <c r="C303">
        <v>20.6</v>
      </c>
      <c r="D303" t="s">
        <v>82</v>
      </c>
      <c r="E303">
        <v>3</v>
      </c>
      <c r="F303">
        <v>0</v>
      </c>
      <c r="G303">
        <v>0</v>
      </c>
      <c r="I303">
        <v>1.0562</v>
      </c>
      <c r="J303">
        <v>0.9946700000000001</v>
      </c>
      <c r="K303">
        <v>1.04886</v>
      </c>
      <c r="L303">
        <v>1.01363</v>
      </c>
      <c r="M303">
        <v>0.89667</v>
      </c>
      <c r="N303">
        <v>1.02991</v>
      </c>
      <c r="O303">
        <v>1</v>
      </c>
      <c r="P303">
        <v>1.01865</v>
      </c>
      <c r="Q303">
        <v>1</v>
      </c>
      <c r="R303">
        <v>1</v>
      </c>
      <c r="S303">
        <v>1</v>
      </c>
      <c r="T303">
        <v>1.0388</v>
      </c>
      <c r="U303">
        <v>1</v>
      </c>
      <c r="V303">
        <v>82.252</v>
      </c>
      <c r="W303">
        <v>38.499</v>
      </c>
      <c r="X303">
        <v>80.137</v>
      </c>
      <c r="Y303">
        <v>17.406</v>
      </c>
      <c r="Z303">
        <v>30.051</v>
      </c>
      <c r="AA303">
        <v>248.345</v>
      </c>
      <c r="AB303">
        <v>0.9730799999999999</v>
      </c>
      <c r="AC303">
        <v>241</v>
      </c>
      <c r="AD303">
        <v>0</v>
      </c>
      <c r="AG303">
        <v>80</v>
      </c>
      <c r="AH303">
        <v>38</v>
      </c>
      <c r="AI303">
        <v>79</v>
      </c>
      <c r="AJ303">
        <v>10</v>
      </c>
      <c r="AK303">
        <v>34</v>
      </c>
    </row>
    <row r="304" spans="1:37">
      <c r="A304" t="s">
        <v>790</v>
      </c>
      <c r="B304" t="s">
        <v>1751</v>
      </c>
      <c r="C304">
        <v>20.8</v>
      </c>
      <c r="D304" t="s">
        <v>82</v>
      </c>
      <c r="E304">
        <v>4</v>
      </c>
      <c r="F304">
        <v>0</v>
      </c>
      <c r="G304">
        <v>0</v>
      </c>
      <c r="I304">
        <v>1.05639</v>
      </c>
      <c r="J304">
        <v>0.99709</v>
      </c>
      <c r="K304">
        <v>1.04886</v>
      </c>
      <c r="L304">
        <v>1.01414</v>
      </c>
      <c r="M304">
        <v>0.87054</v>
      </c>
      <c r="N304">
        <v>1.03031</v>
      </c>
      <c r="O304">
        <v>1</v>
      </c>
      <c r="P304">
        <v>1.01254</v>
      </c>
      <c r="Q304">
        <v>1</v>
      </c>
      <c r="R304">
        <v>1</v>
      </c>
      <c r="S304">
        <v>1</v>
      </c>
      <c r="T304">
        <v>1.03908</v>
      </c>
      <c r="U304">
        <v>1</v>
      </c>
      <c r="V304">
        <v>78.523</v>
      </c>
      <c r="W304">
        <v>38.456</v>
      </c>
      <c r="X304">
        <v>77.88</v>
      </c>
      <c r="Y304">
        <v>15.884</v>
      </c>
      <c r="Z304">
        <v>29.973</v>
      </c>
      <c r="AA304">
        <v>240.716</v>
      </c>
      <c r="AB304">
        <v>0.93102</v>
      </c>
      <c r="AC304">
        <v>215</v>
      </c>
      <c r="AD304">
        <v>0</v>
      </c>
      <c r="AG304">
        <v>63</v>
      </c>
      <c r="AH304">
        <v>49</v>
      </c>
      <c r="AI304">
        <v>60</v>
      </c>
      <c r="AJ304">
        <v>17</v>
      </c>
      <c r="AK304">
        <v>26</v>
      </c>
    </row>
    <row r="305" spans="1:37">
      <c r="A305" t="s">
        <v>791</v>
      </c>
      <c r="B305" t="s">
        <v>1751</v>
      </c>
      <c r="C305">
        <v>20.8</v>
      </c>
      <c r="D305" t="s">
        <v>82</v>
      </c>
      <c r="E305">
        <v>5</v>
      </c>
      <c r="F305">
        <v>0</v>
      </c>
      <c r="G305">
        <v>0</v>
      </c>
      <c r="I305">
        <v>1.05658</v>
      </c>
      <c r="J305">
        <v>1.01515</v>
      </c>
      <c r="K305">
        <v>1.04886</v>
      </c>
      <c r="L305">
        <v>1.01465</v>
      </c>
      <c r="M305">
        <v>0.896</v>
      </c>
      <c r="N305">
        <v>1.03183</v>
      </c>
      <c r="O305">
        <v>1</v>
      </c>
      <c r="P305">
        <v>1.00851</v>
      </c>
      <c r="Q305">
        <v>1</v>
      </c>
      <c r="R305">
        <v>1</v>
      </c>
      <c r="S305">
        <v>1</v>
      </c>
      <c r="T305">
        <v>1.039</v>
      </c>
      <c r="U305">
        <v>1</v>
      </c>
      <c r="V305">
        <v>80.008</v>
      </c>
      <c r="W305">
        <v>39.07</v>
      </c>
      <c r="X305">
        <v>83.824</v>
      </c>
      <c r="Y305">
        <v>17.55</v>
      </c>
      <c r="Z305">
        <v>31.031</v>
      </c>
      <c r="AA305">
        <v>251.483</v>
      </c>
      <c r="AB305">
        <v>0.97759</v>
      </c>
      <c r="AC305">
        <v>236</v>
      </c>
      <c r="AD305">
        <v>0</v>
      </c>
      <c r="AG305">
        <v>68</v>
      </c>
      <c r="AH305">
        <v>42</v>
      </c>
      <c r="AI305">
        <v>87</v>
      </c>
      <c r="AJ305">
        <v>18</v>
      </c>
      <c r="AK305">
        <v>21</v>
      </c>
    </row>
    <row r="306" spans="1:37">
      <c r="A306" t="s">
        <v>792</v>
      </c>
      <c r="B306" t="s">
        <v>1751</v>
      </c>
      <c r="C306">
        <v>20.2</v>
      </c>
      <c r="D306" t="s">
        <v>82</v>
      </c>
      <c r="E306">
        <v>6</v>
      </c>
      <c r="F306">
        <v>0</v>
      </c>
      <c r="G306">
        <v>0</v>
      </c>
      <c r="I306">
        <v>1.05676</v>
      </c>
      <c r="J306">
        <v>1.02267</v>
      </c>
      <c r="K306">
        <v>1.00313</v>
      </c>
      <c r="L306">
        <v>1.01517</v>
      </c>
      <c r="M306">
        <v>0.9350000000000001</v>
      </c>
      <c r="N306">
        <v>1.03157</v>
      </c>
      <c r="O306">
        <v>1</v>
      </c>
      <c r="P306">
        <v>1.00586</v>
      </c>
      <c r="Q306">
        <v>1</v>
      </c>
      <c r="R306">
        <v>1</v>
      </c>
      <c r="S306">
        <v>1</v>
      </c>
      <c r="T306">
        <v>1.03791</v>
      </c>
      <c r="U306">
        <v>1</v>
      </c>
      <c r="V306">
        <v>75.645</v>
      </c>
      <c r="W306">
        <v>35.721</v>
      </c>
      <c r="X306">
        <v>89.497</v>
      </c>
      <c r="Y306">
        <v>19.586</v>
      </c>
      <c r="Z306">
        <v>31.135</v>
      </c>
      <c r="AA306">
        <v>251.583</v>
      </c>
      <c r="AB306">
        <v>0.98638</v>
      </c>
      <c r="AC306">
        <v>270</v>
      </c>
      <c r="AD306">
        <v>1</v>
      </c>
      <c r="AG306">
        <v>88</v>
      </c>
      <c r="AH306">
        <v>24</v>
      </c>
      <c r="AI306">
        <v>101</v>
      </c>
      <c r="AJ306">
        <v>23</v>
      </c>
      <c r="AK306">
        <v>34</v>
      </c>
    </row>
    <row r="307" spans="1:37">
      <c r="A307" t="s">
        <v>793</v>
      </c>
      <c r="B307" t="s">
        <v>1752</v>
      </c>
      <c r="C307">
        <v>21.5</v>
      </c>
      <c r="D307" t="s">
        <v>82</v>
      </c>
      <c r="E307">
        <v>7</v>
      </c>
      <c r="F307">
        <v>0</v>
      </c>
      <c r="G307">
        <v>0</v>
      </c>
      <c r="I307">
        <v>1.05695</v>
      </c>
      <c r="J307">
        <v>1.01902</v>
      </c>
      <c r="K307">
        <v>1.00313</v>
      </c>
      <c r="L307">
        <v>1.01568</v>
      </c>
      <c r="M307">
        <v>1.14607</v>
      </c>
      <c r="N307">
        <v>1.05144</v>
      </c>
      <c r="O307">
        <v>1</v>
      </c>
      <c r="P307">
        <v>1.00433</v>
      </c>
      <c r="Q307">
        <v>1</v>
      </c>
      <c r="R307">
        <v>1</v>
      </c>
      <c r="S307">
        <v>1</v>
      </c>
      <c r="T307">
        <v>1.03138</v>
      </c>
      <c r="U307">
        <v>1</v>
      </c>
      <c r="V307">
        <v>70.877</v>
      </c>
      <c r="W307">
        <v>29.959</v>
      </c>
      <c r="X307">
        <v>137.106</v>
      </c>
      <c r="Y307">
        <v>33.61</v>
      </c>
      <c r="Z307">
        <v>37.435</v>
      </c>
      <c r="AA307">
        <v>308.987</v>
      </c>
      <c r="AB307">
        <v>0.8148300000000001</v>
      </c>
      <c r="AC307">
        <v>246</v>
      </c>
      <c r="AD307">
        <v>0</v>
      </c>
      <c r="AG307">
        <v>43</v>
      </c>
      <c r="AH307">
        <v>26</v>
      </c>
      <c r="AI307">
        <v>114</v>
      </c>
      <c r="AJ307">
        <v>36</v>
      </c>
      <c r="AK307">
        <v>27</v>
      </c>
    </row>
    <row r="308" spans="1:37">
      <c r="A308" t="s">
        <v>794</v>
      </c>
      <c r="B308" t="s">
        <v>1753</v>
      </c>
      <c r="C308">
        <v>20.3</v>
      </c>
      <c r="D308" t="s">
        <v>82</v>
      </c>
      <c r="E308">
        <v>8</v>
      </c>
      <c r="F308">
        <v>0</v>
      </c>
      <c r="G308">
        <v>0</v>
      </c>
      <c r="I308">
        <v>1.05714</v>
      </c>
      <c r="J308">
        <v>1.02738</v>
      </c>
      <c r="K308">
        <v>1.00313</v>
      </c>
      <c r="L308">
        <v>1.01619</v>
      </c>
      <c r="M308">
        <v>0.93014</v>
      </c>
      <c r="N308">
        <v>1.05764</v>
      </c>
      <c r="O308">
        <v>1</v>
      </c>
      <c r="P308">
        <v>1.0034</v>
      </c>
      <c r="Q308">
        <v>1</v>
      </c>
      <c r="R308">
        <v>1</v>
      </c>
      <c r="S308">
        <v>1</v>
      </c>
      <c r="T308">
        <v>1.01471</v>
      </c>
      <c r="U308">
        <v>1</v>
      </c>
      <c r="V308">
        <v>17.12</v>
      </c>
      <c r="W308">
        <v>13.214</v>
      </c>
      <c r="X308">
        <v>127.548</v>
      </c>
      <c r="Y308">
        <v>53.28</v>
      </c>
      <c r="Z308">
        <v>40.243</v>
      </c>
      <c r="AA308">
        <v>251.405</v>
      </c>
      <c r="AB308">
        <v>1.10276</v>
      </c>
      <c r="AC308">
        <v>293</v>
      </c>
      <c r="AD308">
        <v>0</v>
      </c>
      <c r="AG308">
        <v>17</v>
      </c>
      <c r="AH308">
        <v>19</v>
      </c>
      <c r="AI308">
        <v>141</v>
      </c>
      <c r="AJ308">
        <v>69</v>
      </c>
      <c r="AK308">
        <v>47</v>
      </c>
    </row>
    <row r="309" spans="1:37">
      <c r="A309" t="s">
        <v>795</v>
      </c>
      <c r="B309" t="s">
        <v>1754</v>
      </c>
      <c r="C309">
        <v>21.2</v>
      </c>
      <c r="D309" t="s">
        <v>82</v>
      </c>
      <c r="E309">
        <v>9</v>
      </c>
      <c r="F309">
        <v>0</v>
      </c>
      <c r="G309">
        <v>0</v>
      </c>
      <c r="I309">
        <v>1.05733</v>
      </c>
      <c r="J309">
        <v>1.0233</v>
      </c>
      <c r="K309">
        <v>1.00313</v>
      </c>
      <c r="L309">
        <v>1.01668</v>
      </c>
      <c r="M309">
        <v>0.86324</v>
      </c>
      <c r="N309">
        <v>1.05859</v>
      </c>
      <c r="O309">
        <v>1</v>
      </c>
      <c r="P309">
        <v>1.00218</v>
      </c>
      <c r="Q309">
        <v>1</v>
      </c>
      <c r="R309">
        <v>1</v>
      </c>
      <c r="S309">
        <v>1</v>
      </c>
      <c r="T309">
        <v>1.01827</v>
      </c>
      <c r="U309">
        <v>1</v>
      </c>
      <c r="V309">
        <v>23.298</v>
      </c>
      <c r="W309">
        <v>20.688</v>
      </c>
      <c r="X309">
        <v>108.924</v>
      </c>
      <c r="Y309">
        <v>44.888</v>
      </c>
      <c r="Z309">
        <v>35.737</v>
      </c>
      <c r="AA309">
        <v>233.533</v>
      </c>
      <c r="AB309">
        <v>1.0128</v>
      </c>
      <c r="AC309">
        <v>226</v>
      </c>
      <c r="AD309">
        <v>0</v>
      </c>
      <c r="AG309">
        <v>33</v>
      </c>
      <c r="AH309">
        <v>17</v>
      </c>
      <c r="AI309">
        <v>107</v>
      </c>
      <c r="AJ309">
        <v>40</v>
      </c>
      <c r="AK309">
        <v>29</v>
      </c>
    </row>
    <row r="310" spans="1:37">
      <c r="A310" t="s">
        <v>409</v>
      </c>
      <c r="B310" t="s">
        <v>1751</v>
      </c>
      <c r="C310">
        <v>20.8</v>
      </c>
      <c r="D310" t="s">
        <v>1474</v>
      </c>
      <c r="E310">
        <v>10</v>
      </c>
      <c r="F310">
        <v>0</v>
      </c>
      <c r="G310">
        <v>0</v>
      </c>
      <c r="I310">
        <v>1.05751</v>
      </c>
      <c r="J310">
        <v>1.01672</v>
      </c>
      <c r="K310">
        <v>1.00313</v>
      </c>
      <c r="L310">
        <v>1.01716</v>
      </c>
      <c r="M310">
        <v>0.901</v>
      </c>
      <c r="N310">
        <v>1.02985</v>
      </c>
      <c r="O310">
        <v>1.01204</v>
      </c>
      <c r="P310">
        <v>1.00113</v>
      </c>
      <c r="Q310">
        <v>1</v>
      </c>
      <c r="R310">
        <v>1</v>
      </c>
      <c r="S310">
        <v>1</v>
      </c>
      <c r="T310">
        <v>1.04375</v>
      </c>
      <c r="U310">
        <v>1</v>
      </c>
      <c r="V310">
        <v>81.182</v>
      </c>
      <c r="W310">
        <v>41.126</v>
      </c>
      <c r="X310">
        <v>76.98</v>
      </c>
      <c r="Y310">
        <v>15.857</v>
      </c>
      <c r="Z310">
        <v>28.872</v>
      </c>
      <c r="AA310">
        <v>244.018</v>
      </c>
      <c r="AB310">
        <v>0.99302</v>
      </c>
      <c r="AC310">
        <v>257</v>
      </c>
      <c r="AD310">
        <v>0</v>
      </c>
      <c r="AG310">
        <v>78</v>
      </c>
      <c r="AH310">
        <v>40</v>
      </c>
      <c r="AI310">
        <v>89</v>
      </c>
      <c r="AJ310">
        <v>19</v>
      </c>
      <c r="AK310">
        <v>31</v>
      </c>
    </row>
    <row r="311" spans="1:37">
      <c r="A311" t="s">
        <v>796</v>
      </c>
      <c r="B311" t="s">
        <v>1751</v>
      </c>
      <c r="C311">
        <v>21.1</v>
      </c>
      <c r="D311" t="s">
        <v>1474</v>
      </c>
      <c r="E311">
        <v>11</v>
      </c>
      <c r="F311">
        <v>0</v>
      </c>
      <c r="G311">
        <v>0</v>
      </c>
      <c r="I311">
        <v>1.0577</v>
      </c>
      <c r="J311">
        <v>1.00365</v>
      </c>
      <c r="K311">
        <v>1.00313</v>
      </c>
      <c r="L311">
        <v>1.01761</v>
      </c>
      <c r="M311">
        <v>0.87491</v>
      </c>
      <c r="N311">
        <v>1.03064</v>
      </c>
      <c r="O311">
        <v>1.01269</v>
      </c>
      <c r="P311">
        <v>1.00076</v>
      </c>
      <c r="Q311">
        <v>1</v>
      </c>
      <c r="R311">
        <v>1</v>
      </c>
      <c r="S311">
        <v>1</v>
      </c>
      <c r="T311">
        <v>1.04369</v>
      </c>
      <c r="U311">
        <v>1</v>
      </c>
      <c r="V311">
        <v>76.477</v>
      </c>
      <c r="W311">
        <v>40.619</v>
      </c>
      <c r="X311">
        <v>74.29900000000001</v>
      </c>
      <c r="Y311">
        <v>14.37</v>
      </c>
      <c r="Z311">
        <v>28.632</v>
      </c>
      <c r="AA311">
        <v>234.397</v>
      </c>
      <c r="AB311">
        <v>1.00224</v>
      </c>
      <c r="AC311">
        <v>242</v>
      </c>
      <c r="AD311">
        <v>0</v>
      </c>
      <c r="AG311">
        <v>87</v>
      </c>
      <c r="AH311">
        <v>40</v>
      </c>
      <c r="AI311">
        <v>79</v>
      </c>
      <c r="AJ311">
        <v>12</v>
      </c>
      <c r="AK311">
        <v>24</v>
      </c>
    </row>
    <row r="312" spans="1:37">
      <c r="A312" t="s">
        <v>797</v>
      </c>
      <c r="B312" t="s">
        <v>1751</v>
      </c>
      <c r="C312">
        <v>20.9</v>
      </c>
      <c r="D312" t="s">
        <v>1474</v>
      </c>
      <c r="E312">
        <v>12</v>
      </c>
      <c r="F312">
        <v>0</v>
      </c>
      <c r="G312">
        <v>0</v>
      </c>
      <c r="I312">
        <v>1.05789</v>
      </c>
      <c r="J312">
        <v>0.9976699999999999</v>
      </c>
      <c r="K312">
        <v>1.00313</v>
      </c>
      <c r="L312">
        <v>1.01803</v>
      </c>
      <c r="M312">
        <v>0.89958</v>
      </c>
      <c r="N312">
        <v>1.03137</v>
      </c>
      <c r="O312">
        <v>1.01205</v>
      </c>
      <c r="P312">
        <v>1.00051</v>
      </c>
      <c r="Q312">
        <v>1</v>
      </c>
      <c r="R312">
        <v>1</v>
      </c>
      <c r="S312">
        <v>1</v>
      </c>
      <c r="T312">
        <v>1.04336</v>
      </c>
      <c r="U312">
        <v>1</v>
      </c>
      <c r="V312">
        <v>76.17400000000001</v>
      </c>
      <c r="W312">
        <v>40.401</v>
      </c>
      <c r="X312">
        <v>78.408</v>
      </c>
      <c r="Y312">
        <v>15.573</v>
      </c>
      <c r="Z312">
        <v>29.013</v>
      </c>
      <c r="AA312">
        <v>239.57</v>
      </c>
      <c r="AB312">
        <v>0.9933999999999999</v>
      </c>
      <c r="AC312">
        <v>255</v>
      </c>
      <c r="AD312">
        <v>0</v>
      </c>
      <c r="AG312">
        <v>78</v>
      </c>
      <c r="AH312">
        <v>51</v>
      </c>
      <c r="AI312">
        <v>77</v>
      </c>
      <c r="AJ312">
        <v>16</v>
      </c>
      <c r="AK312">
        <v>33</v>
      </c>
    </row>
    <row r="313" spans="1:37">
      <c r="A313" t="s">
        <v>798</v>
      </c>
      <c r="B313" t="s">
        <v>1751</v>
      </c>
      <c r="C313">
        <v>21.5</v>
      </c>
      <c r="D313" t="s">
        <v>1474</v>
      </c>
      <c r="E313">
        <v>13</v>
      </c>
      <c r="F313">
        <v>0</v>
      </c>
      <c r="G313">
        <v>0</v>
      </c>
      <c r="I313">
        <v>1.05807</v>
      </c>
      <c r="J313">
        <v>1.00588</v>
      </c>
      <c r="K313">
        <v>1.00313</v>
      </c>
      <c r="L313">
        <v>1.01843</v>
      </c>
      <c r="M313">
        <v>0.9366100000000001</v>
      </c>
      <c r="N313">
        <v>1.03701</v>
      </c>
      <c r="O313">
        <v>1.01023</v>
      </c>
      <c r="P313">
        <v>1.00035</v>
      </c>
      <c r="Q313">
        <v>1</v>
      </c>
      <c r="R313">
        <v>1</v>
      </c>
      <c r="S313">
        <v>1</v>
      </c>
      <c r="T313">
        <v>1.04176</v>
      </c>
      <c r="U313">
        <v>1</v>
      </c>
      <c r="V313">
        <v>75.41200000000001</v>
      </c>
      <c r="W313">
        <v>38.72</v>
      </c>
      <c r="X313">
        <v>88.658</v>
      </c>
      <c r="Y313">
        <v>18.363</v>
      </c>
      <c r="Z313">
        <v>31.131</v>
      </c>
      <c r="AA313">
        <v>252.283</v>
      </c>
      <c r="AB313">
        <v>0.94434</v>
      </c>
      <c r="AC313">
        <v>226</v>
      </c>
      <c r="AD313">
        <v>0</v>
      </c>
      <c r="AG313">
        <v>83</v>
      </c>
      <c r="AH313">
        <v>29</v>
      </c>
      <c r="AI313">
        <v>76</v>
      </c>
      <c r="AJ313">
        <v>15</v>
      </c>
      <c r="AK313">
        <v>23</v>
      </c>
    </row>
    <row r="314" spans="1:37">
      <c r="A314" t="s">
        <v>799</v>
      </c>
      <c r="B314" t="s">
        <v>1752</v>
      </c>
      <c r="C314">
        <v>21.8</v>
      </c>
      <c r="D314" t="s">
        <v>1474</v>
      </c>
      <c r="E314">
        <v>14</v>
      </c>
      <c r="F314">
        <v>0</v>
      </c>
      <c r="G314">
        <v>0</v>
      </c>
      <c r="I314">
        <v>1.05826</v>
      </c>
      <c r="J314">
        <v>1.00501</v>
      </c>
      <c r="K314">
        <v>1.00313</v>
      </c>
      <c r="L314">
        <v>1.01878</v>
      </c>
      <c r="M314">
        <v>1.14013</v>
      </c>
      <c r="N314">
        <v>1.05142</v>
      </c>
      <c r="O314">
        <v>1.00427</v>
      </c>
      <c r="P314">
        <v>1.00026</v>
      </c>
      <c r="Q314">
        <v>1</v>
      </c>
      <c r="R314">
        <v>1</v>
      </c>
      <c r="S314">
        <v>1</v>
      </c>
      <c r="T314">
        <v>1.0347</v>
      </c>
      <c r="U314">
        <v>1</v>
      </c>
      <c r="V314">
        <v>70.86799999999999</v>
      </c>
      <c r="W314">
        <v>32.598</v>
      </c>
      <c r="X314">
        <v>135.362</v>
      </c>
      <c r="Y314">
        <v>31.479</v>
      </c>
      <c r="Z314">
        <v>37.054</v>
      </c>
      <c r="AA314">
        <v>307.361</v>
      </c>
      <c r="AB314">
        <v>1.00864</v>
      </c>
      <c r="AC314">
        <v>321</v>
      </c>
      <c r="AD314">
        <v>0</v>
      </c>
      <c r="AG314">
        <v>79</v>
      </c>
      <c r="AH314">
        <v>22</v>
      </c>
      <c r="AI314">
        <v>145</v>
      </c>
      <c r="AJ314">
        <v>28</v>
      </c>
      <c r="AK314">
        <v>47</v>
      </c>
    </row>
    <row r="315" spans="1:37">
      <c r="A315" t="s">
        <v>800</v>
      </c>
      <c r="B315" t="s">
        <v>1753</v>
      </c>
      <c r="C315">
        <v>20.5</v>
      </c>
      <c r="D315" t="s">
        <v>1474</v>
      </c>
      <c r="E315">
        <v>15</v>
      </c>
      <c r="F315">
        <v>0</v>
      </c>
      <c r="G315">
        <v>0</v>
      </c>
      <c r="I315">
        <v>1.05845</v>
      </c>
      <c r="J315">
        <v>1.0022</v>
      </c>
      <c r="K315">
        <v>1.00313</v>
      </c>
      <c r="L315">
        <v>1.0191</v>
      </c>
      <c r="M315">
        <v>0.91431</v>
      </c>
      <c r="N315">
        <v>1.05876</v>
      </c>
      <c r="O315">
        <v>0.99469</v>
      </c>
      <c r="P315">
        <v>0.99675</v>
      </c>
      <c r="Q315">
        <v>1</v>
      </c>
      <c r="R315">
        <v>1</v>
      </c>
      <c r="S315">
        <v>1</v>
      </c>
      <c r="T315">
        <v>1.01633</v>
      </c>
      <c r="U315">
        <v>1</v>
      </c>
      <c r="V315">
        <v>16.911</v>
      </c>
      <c r="W315">
        <v>14.204</v>
      </c>
      <c r="X315">
        <v>124.429</v>
      </c>
      <c r="Y315">
        <v>49.292</v>
      </c>
      <c r="Z315">
        <v>39.254</v>
      </c>
      <c r="AA315">
        <v>244.09</v>
      </c>
      <c r="AB315">
        <v>0.9670299999999999</v>
      </c>
      <c r="AC315">
        <v>232</v>
      </c>
      <c r="AD315">
        <v>0</v>
      </c>
      <c r="AG315">
        <v>12</v>
      </c>
      <c r="AH315">
        <v>25</v>
      </c>
      <c r="AI315">
        <v>103</v>
      </c>
      <c r="AJ315">
        <v>50</v>
      </c>
      <c r="AK315">
        <v>42</v>
      </c>
    </row>
    <row r="316" spans="1:37">
      <c r="A316" t="s">
        <v>801</v>
      </c>
      <c r="B316" t="s">
        <v>1754</v>
      </c>
      <c r="C316">
        <v>20.9</v>
      </c>
      <c r="D316" t="s">
        <v>1474</v>
      </c>
      <c r="E316">
        <v>16</v>
      </c>
      <c r="F316">
        <v>0</v>
      </c>
      <c r="G316">
        <v>0</v>
      </c>
      <c r="I316">
        <v>1.05864</v>
      </c>
      <c r="J316">
        <v>1.00087</v>
      </c>
      <c r="K316">
        <v>1.00313</v>
      </c>
      <c r="L316">
        <v>1.01937</v>
      </c>
      <c r="M316">
        <v>0.85185</v>
      </c>
      <c r="N316">
        <v>1.05574</v>
      </c>
      <c r="O316">
        <v>0.99932</v>
      </c>
      <c r="P316">
        <v>0.99353</v>
      </c>
      <c r="Q316">
        <v>1</v>
      </c>
      <c r="R316">
        <v>1</v>
      </c>
      <c r="S316">
        <v>1</v>
      </c>
      <c r="T316">
        <v>1.02024</v>
      </c>
      <c r="U316">
        <v>1</v>
      </c>
      <c r="V316">
        <v>23.045</v>
      </c>
      <c r="W316">
        <v>22.261</v>
      </c>
      <c r="X316">
        <v>105.847</v>
      </c>
      <c r="Y316">
        <v>41.409</v>
      </c>
      <c r="Z316">
        <v>34.59</v>
      </c>
      <c r="AA316">
        <v>227.152</v>
      </c>
      <c r="AB316">
        <v>1.00436</v>
      </c>
      <c r="AC316">
        <v>260</v>
      </c>
      <c r="AD316">
        <v>0</v>
      </c>
      <c r="AG316">
        <v>20</v>
      </c>
      <c r="AH316">
        <v>33</v>
      </c>
      <c r="AI316">
        <v>126</v>
      </c>
      <c r="AJ316">
        <v>48</v>
      </c>
      <c r="AK316">
        <v>33</v>
      </c>
    </row>
    <row r="317" spans="1:37">
      <c r="A317" t="s">
        <v>410</v>
      </c>
      <c r="B317" t="s">
        <v>1751</v>
      </c>
      <c r="C317">
        <v>20.9</v>
      </c>
      <c r="D317" t="s">
        <v>1474</v>
      </c>
      <c r="E317">
        <v>17</v>
      </c>
      <c r="F317">
        <v>0</v>
      </c>
      <c r="G317">
        <v>0</v>
      </c>
      <c r="I317">
        <v>1.05882</v>
      </c>
      <c r="J317">
        <v>0.99812</v>
      </c>
      <c r="K317">
        <v>1.00313</v>
      </c>
      <c r="L317">
        <v>1.0196</v>
      </c>
      <c r="M317">
        <v>0.90186</v>
      </c>
      <c r="N317">
        <v>1.03009</v>
      </c>
      <c r="O317">
        <v>1.01206</v>
      </c>
      <c r="P317">
        <v>0.9923999999999999</v>
      </c>
      <c r="Q317">
        <v>1</v>
      </c>
      <c r="R317">
        <v>1</v>
      </c>
      <c r="S317">
        <v>1</v>
      </c>
      <c r="T317">
        <v>1.048</v>
      </c>
      <c r="U317">
        <v>1</v>
      </c>
      <c r="V317">
        <v>80.47799999999999</v>
      </c>
      <c r="W317">
        <v>40.31</v>
      </c>
      <c r="X317">
        <v>75.02</v>
      </c>
      <c r="Y317">
        <v>15.432</v>
      </c>
      <c r="Z317">
        <v>28.126</v>
      </c>
      <c r="AA317">
        <v>239.366</v>
      </c>
      <c r="AB317">
        <v>1.00337</v>
      </c>
      <c r="AC317">
        <v>234</v>
      </c>
      <c r="AD317">
        <v>0</v>
      </c>
      <c r="AG317">
        <v>74</v>
      </c>
      <c r="AH317">
        <v>30</v>
      </c>
      <c r="AI317">
        <v>78</v>
      </c>
      <c r="AJ317">
        <v>18</v>
      </c>
      <c r="AK317">
        <v>34</v>
      </c>
    </row>
    <row r="318" spans="1:37">
      <c r="A318" t="s">
        <v>802</v>
      </c>
      <c r="B318" t="s">
        <v>1751</v>
      </c>
      <c r="C318">
        <v>21.2</v>
      </c>
      <c r="D318" t="s">
        <v>1474</v>
      </c>
      <c r="E318">
        <v>18</v>
      </c>
      <c r="F318">
        <v>0</v>
      </c>
      <c r="G318">
        <v>0</v>
      </c>
      <c r="I318">
        <v>1.05901</v>
      </c>
      <c r="J318">
        <v>0.98711</v>
      </c>
      <c r="K318">
        <v>1.00313</v>
      </c>
      <c r="L318">
        <v>1.01978</v>
      </c>
      <c r="M318">
        <v>0.87578</v>
      </c>
      <c r="N318">
        <v>1.03079</v>
      </c>
      <c r="O318">
        <v>1.01272</v>
      </c>
      <c r="P318">
        <v>0.9897899999999999</v>
      </c>
      <c r="Q318">
        <v>1</v>
      </c>
      <c r="R318">
        <v>1</v>
      </c>
      <c r="S318">
        <v>1</v>
      </c>
      <c r="T318">
        <v>1.04782</v>
      </c>
      <c r="U318">
        <v>1</v>
      </c>
      <c r="V318">
        <v>75.836</v>
      </c>
      <c r="W318">
        <v>39.81</v>
      </c>
      <c r="X318">
        <v>72.26900000000001</v>
      </c>
      <c r="Y318">
        <v>13.959</v>
      </c>
      <c r="Z318">
        <v>27.844</v>
      </c>
      <c r="AA318">
        <v>229.719</v>
      </c>
      <c r="AB318">
        <v>1.08253</v>
      </c>
      <c r="AC318">
        <v>262</v>
      </c>
      <c r="AD318">
        <v>0</v>
      </c>
      <c r="AG318">
        <v>91</v>
      </c>
      <c r="AH318">
        <v>52</v>
      </c>
      <c r="AI318">
        <v>80</v>
      </c>
      <c r="AJ318">
        <v>15</v>
      </c>
      <c r="AK318">
        <v>24</v>
      </c>
    </row>
    <row r="319" spans="1:37">
      <c r="A319" t="s">
        <v>803</v>
      </c>
      <c r="B319" t="s">
        <v>1751</v>
      </c>
      <c r="C319">
        <v>21.4</v>
      </c>
      <c r="D319" t="s">
        <v>1474</v>
      </c>
      <c r="E319">
        <v>19</v>
      </c>
      <c r="F319">
        <v>0</v>
      </c>
      <c r="G319">
        <v>0</v>
      </c>
      <c r="I319">
        <v>1.0592</v>
      </c>
      <c r="J319">
        <v>0.98586</v>
      </c>
      <c r="K319">
        <v>1.00313</v>
      </c>
      <c r="L319">
        <v>1.0199</v>
      </c>
      <c r="M319">
        <v>0.90032</v>
      </c>
      <c r="N319">
        <v>1.03303</v>
      </c>
      <c r="O319">
        <v>1.01208</v>
      </c>
      <c r="P319">
        <v>0.98705</v>
      </c>
      <c r="Q319">
        <v>1</v>
      </c>
      <c r="R319">
        <v>1</v>
      </c>
      <c r="S319">
        <v>1</v>
      </c>
      <c r="T319">
        <v>1.04729</v>
      </c>
      <c r="U319">
        <v>1</v>
      </c>
      <c r="V319">
        <v>75.768</v>
      </c>
      <c r="W319">
        <v>39.702</v>
      </c>
      <c r="X319">
        <v>76.496</v>
      </c>
      <c r="Y319">
        <v>15.165</v>
      </c>
      <c r="Z319">
        <v>28.412</v>
      </c>
      <c r="AA319">
        <v>235.542</v>
      </c>
      <c r="AB319">
        <v>1.0701</v>
      </c>
      <c r="AC319">
        <v>249</v>
      </c>
      <c r="AD319">
        <v>0</v>
      </c>
      <c r="AG319">
        <v>70</v>
      </c>
      <c r="AH319">
        <v>40</v>
      </c>
      <c r="AI319">
        <v>86</v>
      </c>
      <c r="AJ319">
        <v>21</v>
      </c>
      <c r="AK319">
        <v>32</v>
      </c>
    </row>
    <row r="320" spans="1:37">
      <c r="A320" t="s">
        <v>804</v>
      </c>
      <c r="B320" t="s">
        <v>1751</v>
      </c>
      <c r="C320">
        <v>20.9</v>
      </c>
      <c r="D320" t="s">
        <v>1474</v>
      </c>
      <c r="E320">
        <v>20</v>
      </c>
      <c r="F320">
        <v>0</v>
      </c>
      <c r="G320">
        <v>0</v>
      </c>
      <c r="I320">
        <v>1.05938</v>
      </c>
      <c r="J320">
        <v>0.99527</v>
      </c>
      <c r="K320">
        <v>1.00313</v>
      </c>
      <c r="L320">
        <v>1.01998</v>
      </c>
      <c r="M320">
        <v>0.9369499999999999</v>
      </c>
      <c r="N320">
        <v>1.03432</v>
      </c>
      <c r="O320">
        <v>1.01034</v>
      </c>
      <c r="P320">
        <v>0.984</v>
      </c>
      <c r="Q320">
        <v>1</v>
      </c>
      <c r="R320">
        <v>1</v>
      </c>
      <c r="S320">
        <v>1</v>
      </c>
      <c r="T320">
        <v>1.04564</v>
      </c>
      <c r="U320">
        <v>1</v>
      </c>
      <c r="V320">
        <v>74.983</v>
      </c>
      <c r="W320">
        <v>38.02</v>
      </c>
      <c r="X320">
        <v>85.792</v>
      </c>
      <c r="Y320">
        <v>17.764</v>
      </c>
      <c r="Z320">
        <v>29.908</v>
      </c>
      <c r="AA320">
        <v>246.466</v>
      </c>
      <c r="AB320">
        <v>1.07979</v>
      </c>
      <c r="AC320">
        <v>244</v>
      </c>
      <c r="AD320">
        <v>0</v>
      </c>
      <c r="AG320">
        <v>65</v>
      </c>
      <c r="AH320">
        <v>43</v>
      </c>
      <c r="AI320">
        <v>69</v>
      </c>
      <c r="AJ320">
        <v>24</v>
      </c>
      <c r="AK320">
        <v>43</v>
      </c>
    </row>
    <row r="321" spans="1:37">
      <c r="A321" t="s">
        <v>805</v>
      </c>
      <c r="B321" t="s">
        <v>1752</v>
      </c>
      <c r="C321">
        <v>19.2</v>
      </c>
      <c r="D321" t="s">
        <v>1474</v>
      </c>
      <c r="E321">
        <v>21</v>
      </c>
      <c r="F321">
        <v>0</v>
      </c>
      <c r="G321">
        <v>0</v>
      </c>
      <c r="I321">
        <v>1.05957</v>
      </c>
      <c r="J321">
        <v>0.99054</v>
      </c>
      <c r="K321">
        <v>1.00313</v>
      </c>
      <c r="L321">
        <v>1.02</v>
      </c>
      <c r="M321">
        <v>1.1351</v>
      </c>
      <c r="N321">
        <v>1.03384</v>
      </c>
      <c r="O321">
        <v>1.00454</v>
      </c>
      <c r="P321">
        <v>0.97951</v>
      </c>
      <c r="Q321">
        <v>1</v>
      </c>
      <c r="R321">
        <v>1</v>
      </c>
      <c r="S321">
        <v>1</v>
      </c>
      <c r="T321">
        <v>1.03829</v>
      </c>
      <c r="U321">
        <v>1</v>
      </c>
      <c r="V321">
        <v>70.072</v>
      </c>
      <c r="W321">
        <v>31.815</v>
      </c>
      <c r="X321">
        <v>127.344</v>
      </c>
      <c r="Y321">
        <v>29.77</v>
      </c>
      <c r="Z321">
        <v>34.259</v>
      </c>
      <c r="AA321">
        <v>293.26</v>
      </c>
      <c r="AB321">
        <v>1.03704</v>
      </c>
      <c r="AC321">
        <v>299</v>
      </c>
      <c r="AD321">
        <v>0</v>
      </c>
      <c r="AG321">
        <v>60</v>
      </c>
      <c r="AH321">
        <v>41</v>
      </c>
      <c r="AI321">
        <v>113</v>
      </c>
      <c r="AJ321">
        <v>39</v>
      </c>
      <c r="AK321">
        <v>46</v>
      </c>
    </row>
    <row r="322" spans="1:37">
      <c r="A322" t="s">
        <v>806</v>
      </c>
      <c r="B322" t="s">
        <v>1753</v>
      </c>
      <c r="C322">
        <v>18.6</v>
      </c>
      <c r="D322" t="s">
        <v>1475</v>
      </c>
      <c r="E322">
        <v>22</v>
      </c>
      <c r="F322">
        <v>0</v>
      </c>
      <c r="G322">
        <v>0</v>
      </c>
      <c r="I322">
        <v>1.05976</v>
      </c>
      <c r="J322">
        <v>0.9917</v>
      </c>
      <c r="K322">
        <v>1.00313</v>
      </c>
      <c r="L322">
        <v>1.02006</v>
      </c>
      <c r="M322">
        <v>0.99612</v>
      </c>
      <c r="N322">
        <v>1.03899</v>
      </c>
      <c r="O322">
        <v>1.01052</v>
      </c>
      <c r="P322">
        <v>0.97174</v>
      </c>
      <c r="Q322">
        <v>1</v>
      </c>
      <c r="R322">
        <v>1</v>
      </c>
      <c r="S322">
        <v>1</v>
      </c>
      <c r="T322">
        <v>1.01675</v>
      </c>
      <c r="U322">
        <v>1</v>
      </c>
      <c r="V322">
        <v>15.605</v>
      </c>
      <c r="W322">
        <v>5.692</v>
      </c>
      <c r="X322">
        <v>121.739</v>
      </c>
      <c r="Y322">
        <v>55.017</v>
      </c>
      <c r="Z322">
        <v>36.802</v>
      </c>
      <c r="AA322">
        <v>234.855</v>
      </c>
      <c r="AB322">
        <v>1.05753</v>
      </c>
      <c r="AC322">
        <v>237</v>
      </c>
      <c r="AD322">
        <v>0</v>
      </c>
      <c r="AG322">
        <v>17</v>
      </c>
      <c r="AH322">
        <v>9</v>
      </c>
      <c r="AI322">
        <v>115</v>
      </c>
      <c r="AJ322">
        <v>62</v>
      </c>
      <c r="AK322">
        <v>34</v>
      </c>
    </row>
    <row r="323" spans="1:37">
      <c r="A323" t="s">
        <v>807</v>
      </c>
      <c r="B323" t="s">
        <v>1754</v>
      </c>
      <c r="C323">
        <v>20.8</v>
      </c>
      <c r="D323" t="s">
        <v>1475</v>
      </c>
      <c r="E323">
        <v>23</v>
      </c>
      <c r="F323">
        <v>0</v>
      </c>
      <c r="G323">
        <v>0</v>
      </c>
      <c r="I323">
        <v>1.05995</v>
      </c>
      <c r="J323">
        <v>0.9886</v>
      </c>
      <c r="K323">
        <v>1.00313</v>
      </c>
      <c r="L323">
        <v>1.02023</v>
      </c>
      <c r="M323">
        <v>0.90662</v>
      </c>
      <c r="N323">
        <v>1.06113</v>
      </c>
      <c r="O323">
        <v>0.98471</v>
      </c>
      <c r="P323">
        <v>0.96921</v>
      </c>
      <c r="Q323">
        <v>1</v>
      </c>
      <c r="R323">
        <v>1</v>
      </c>
      <c r="S323">
        <v>1</v>
      </c>
      <c r="T323">
        <v>1.02068</v>
      </c>
      <c r="U323">
        <v>1</v>
      </c>
      <c r="V323">
        <v>21.219</v>
      </c>
      <c r="W323">
        <v>8.904</v>
      </c>
      <c r="X323">
        <v>106.104</v>
      </c>
      <c r="Y323">
        <v>47.012</v>
      </c>
      <c r="Z323">
        <v>33.276</v>
      </c>
      <c r="AA323">
        <v>216.515</v>
      </c>
      <c r="AB323">
        <v>0.94708</v>
      </c>
      <c r="AC323">
        <v>193</v>
      </c>
      <c r="AD323">
        <v>0</v>
      </c>
      <c r="AG323">
        <v>20</v>
      </c>
      <c r="AH323">
        <v>12</v>
      </c>
      <c r="AI323">
        <v>91</v>
      </c>
      <c r="AJ323">
        <v>40</v>
      </c>
      <c r="AK323">
        <v>30</v>
      </c>
    </row>
    <row r="324" spans="1:37">
      <c r="A324" t="s">
        <v>411</v>
      </c>
      <c r="B324" t="s">
        <v>1751</v>
      </c>
      <c r="C324">
        <v>20.8</v>
      </c>
      <c r="D324" t="s">
        <v>1475</v>
      </c>
      <c r="E324">
        <v>24</v>
      </c>
      <c r="F324">
        <v>0</v>
      </c>
      <c r="G324">
        <v>0</v>
      </c>
      <c r="I324">
        <v>1.06013</v>
      </c>
      <c r="J324">
        <v>0.97854</v>
      </c>
      <c r="K324">
        <v>1.00313</v>
      </c>
      <c r="L324">
        <v>1.02051</v>
      </c>
      <c r="M324">
        <v>0.88359</v>
      </c>
      <c r="N324">
        <v>1.03539</v>
      </c>
      <c r="O324">
        <v>0.911</v>
      </c>
      <c r="P324">
        <v>0.97305</v>
      </c>
      <c r="Q324">
        <v>1</v>
      </c>
      <c r="R324">
        <v>1</v>
      </c>
      <c r="S324">
        <v>1</v>
      </c>
      <c r="T324">
        <v>1.05259</v>
      </c>
      <c r="U324">
        <v>1</v>
      </c>
      <c r="V324">
        <v>73.535</v>
      </c>
      <c r="W324">
        <v>16.004</v>
      </c>
      <c r="X324">
        <v>74.64</v>
      </c>
      <c r="Y324">
        <v>17.39</v>
      </c>
      <c r="Z324">
        <v>26.856</v>
      </c>
      <c r="AA324">
        <v>208.426</v>
      </c>
      <c r="AB324">
        <v>0.9636</v>
      </c>
      <c r="AC324">
        <v>196</v>
      </c>
      <c r="AD324">
        <v>0</v>
      </c>
      <c r="AG324">
        <v>74</v>
      </c>
      <c r="AH324">
        <v>20</v>
      </c>
      <c r="AI324">
        <v>71</v>
      </c>
      <c r="AJ324">
        <v>15</v>
      </c>
      <c r="AK324">
        <v>16</v>
      </c>
    </row>
    <row r="325" spans="1:37">
      <c r="A325" t="s">
        <v>808</v>
      </c>
      <c r="B325" t="s">
        <v>1751</v>
      </c>
      <c r="C325">
        <v>18.3</v>
      </c>
      <c r="D325" t="s">
        <v>1475</v>
      </c>
      <c r="E325">
        <v>25</v>
      </c>
      <c r="F325">
        <v>0</v>
      </c>
      <c r="G325">
        <v>0</v>
      </c>
      <c r="I325">
        <v>1.06032</v>
      </c>
      <c r="J325">
        <v>0.97</v>
      </c>
      <c r="K325">
        <v>1.00313</v>
      </c>
      <c r="L325">
        <v>1.02088</v>
      </c>
      <c r="M325">
        <v>0.87158</v>
      </c>
      <c r="N325">
        <v>0.99698</v>
      </c>
      <c r="O325">
        <v>0.91301</v>
      </c>
      <c r="P325">
        <v>0.97011</v>
      </c>
      <c r="Q325">
        <v>1</v>
      </c>
      <c r="R325">
        <v>1</v>
      </c>
      <c r="S325">
        <v>1</v>
      </c>
      <c r="T325">
        <v>1.05125</v>
      </c>
      <c r="U325">
        <v>0.9143</v>
      </c>
      <c r="V325">
        <v>62.506</v>
      </c>
      <c r="W325">
        <v>12.676</v>
      </c>
      <c r="X325">
        <v>52.096</v>
      </c>
      <c r="Y325">
        <v>10.747</v>
      </c>
      <c r="Z325">
        <v>40.849</v>
      </c>
      <c r="AA325">
        <v>178.874</v>
      </c>
      <c r="AB325">
        <v>1.00427</v>
      </c>
      <c r="AC325">
        <v>191</v>
      </c>
      <c r="AD325">
        <v>0</v>
      </c>
      <c r="AE325" t="s">
        <v>314</v>
      </c>
      <c r="AG325">
        <v>67</v>
      </c>
      <c r="AH325">
        <v>10</v>
      </c>
      <c r="AI325">
        <v>64</v>
      </c>
      <c r="AJ325">
        <v>18</v>
      </c>
      <c r="AK325">
        <v>32</v>
      </c>
    </row>
    <row r="326" spans="1:37">
      <c r="A326" t="s">
        <v>809</v>
      </c>
      <c r="B326" t="s">
        <v>1751</v>
      </c>
      <c r="C326">
        <v>20.2</v>
      </c>
      <c r="D326" t="s">
        <v>1475</v>
      </c>
      <c r="E326">
        <v>26</v>
      </c>
      <c r="F326">
        <v>0</v>
      </c>
      <c r="G326">
        <v>0</v>
      </c>
      <c r="I326">
        <v>1.06051</v>
      </c>
      <c r="J326">
        <v>0.96458</v>
      </c>
      <c r="K326">
        <v>1.00313</v>
      </c>
      <c r="L326">
        <v>1.02135</v>
      </c>
      <c r="M326">
        <v>0.88331</v>
      </c>
      <c r="N326">
        <v>1.03287</v>
      </c>
      <c r="O326">
        <v>0.91178</v>
      </c>
      <c r="P326">
        <v>0.96719</v>
      </c>
      <c r="Q326">
        <v>1</v>
      </c>
      <c r="R326">
        <v>1</v>
      </c>
      <c r="S326">
        <v>1</v>
      </c>
      <c r="T326">
        <v>1.05174</v>
      </c>
      <c r="U326">
        <v>1</v>
      </c>
      <c r="V326">
        <v>69.095</v>
      </c>
      <c r="W326">
        <v>15.739</v>
      </c>
      <c r="X326">
        <v>75.374</v>
      </c>
      <c r="Y326">
        <v>16.961</v>
      </c>
      <c r="Z326">
        <v>26.639</v>
      </c>
      <c r="AA326">
        <v>203.809</v>
      </c>
      <c r="AB326">
        <v>0.9714699999999999</v>
      </c>
      <c r="AC326">
        <v>197</v>
      </c>
      <c r="AD326">
        <v>0</v>
      </c>
      <c r="AG326">
        <v>77</v>
      </c>
      <c r="AH326">
        <v>14</v>
      </c>
      <c r="AI326">
        <v>64</v>
      </c>
      <c r="AJ326">
        <v>10</v>
      </c>
      <c r="AK326">
        <v>32</v>
      </c>
    </row>
    <row r="327" spans="1:37">
      <c r="A327" t="s">
        <v>810</v>
      </c>
      <c r="B327" t="s">
        <v>1751</v>
      </c>
      <c r="C327">
        <v>17.7</v>
      </c>
      <c r="D327" t="s">
        <v>1475</v>
      </c>
      <c r="E327">
        <v>27</v>
      </c>
      <c r="F327">
        <v>0</v>
      </c>
      <c r="G327">
        <v>0</v>
      </c>
      <c r="I327">
        <v>1.06069</v>
      </c>
      <c r="J327">
        <v>0.96143</v>
      </c>
      <c r="K327">
        <v>1.00313</v>
      </c>
      <c r="L327">
        <v>1.02192</v>
      </c>
      <c r="M327">
        <v>0.93109</v>
      </c>
      <c r="N327">
        <v>1.00982</v>
      </c>
      <c r="O327">
        <v>0.92355</v>
      </c>
      <c r="P327">
        <v>0.96556</v>
      </c>
      <c r="Q327">
        <v>1</v>
      </c>
      <c r="R327">
        <v>1</v>
      </c>
      <c r="S327">
        <v>1.19654</v>
      </c>
      <c r="T327">
        <v>1.04611</v>
      </c>
      <c r="U327">
        <v>1</v>
      </c>
      <c r="V327">
        <v>73.014</v>
      </c>
      <c r="W327">
        <v>17.601</v>
      </c>
      <c r="X327">
        <v>100.677</v>
      </c>
      <c r="Y327">
        <v>22.588</v>
      </c>
      <c r="Z327">
        <v>36.38</v>
      </c>
      <c r="AA327">
        <v>250.259</v>
      </c>
      <c r="AB327">
        <v>0.93545</v>
      </c>
      <c r="AC327">
        <v>219</v>
      </c>
      <c r="AD327">
        <v>0</v>
      </c>
      <c r="AG327">
        <v>63</v>
      </c>
      <c r="AH327">
        <v>12</v>
      </c>
      <c r="AI327">
        <v>91</v>
      </c>
      <c r="AJ327">
        <v>17</v>
      </c>
      <c r="AK327">
        <v>36</v>
      </c>
    </row>
    <row r="328" spans="1:37">
      <c r="A328" t="s">
        <v>811</v>
      </c>
      <c r="B328" t="s">
        <v>1752</v>
      </c>
      <c r="C328">
        <v>18.4</v>
      </c>
      <c r="D328" t="s">
        <v>1475</v>
      </c>
      <c r="E328">
        <v>28</v>
      </c>
      <c r="F328">
        <v>0</v>
      </c>
      <c r="G328">
        <v>0</v>
      </c>
      <c r="I328">
        <v>1.06088</v>
      </c>
      <c r="J328">
        <v>0.97418</v>
      </c>
      <c r="K328">
        <v>1.00313</v>
      </c>
      <c r="L328">
        <v>1.02257</v>
      </c>
      <c r="M328">
        <v>1.18784</v>
      </c>
      <c r="N328">
        <v>1.02791</v>
      </c>
      <c r="O328">
        <v>0.96095</v>
      </c>
      <c r="P328">
        <v>0.96257</v>
      </c>
      <c r="Q328">
        <v>1</v>
      </c>
      <c r="R328">
        <v>1</v>
      </c>
      <c r="S328">
        <v>1.20956</v>
      </c>
      <c r="T328">
        <v>1.03676</v>
      </c>
      <c r="U328">
        <v>1</v>
      </c>
      <c r="V328">
        <v>69.57299999999999</v>
      </c>
      <c r="W328">
        <v>15.033</v>
      </c>
      <c r="X328">
        <v>158.16</v>
      </c>
      <c r="Y328">
        <v>39.684</v>
      </c>
      <c r="Z328">
        <v>44.223</v>
      </c>
      <c r="AA328">
        <v>326.672</v>
      </c>
      <c r="AB328">
        <v>1.10269</v>
      </c>
      <c r="AC328">
        <v>355</v>
      </c>
      <c r="AD328">
        <v>0</v>
      </c>
      <c r="AG328">
        <v>73</v>
      </c>
      <c r="AH328">
        <v>17</v>
      </c>
      <c r="AI328">
        <v>173</v>
      </c>
      <c r="AJ328">
        <v>40</v>
      </c>
      <c r="AK328">
        <v>52</v>
      </c>
    </row>
    <row r="329" spans="1:37">
      <c r="A329" t="s">
        <v>812</v>
      </c>
      <c r="B329" t="s">
        <v>1753</v>
      </c>
      <c r="C329">
        <v>18.4</v>
      </c>
      <c r="D329" t="s">
        <v>1475</v>
      </c>
      <c r="E329">
        <v>29</v>
      </c>
      <c r="F329">
        <v>0</v>
      </c>
      <c r="G329">
        <v>0</v>
      </c>
      <c r="I329">
        <v>1.06107</v>
      </c>
      <c r="J329">
        <v>0.9827399999999999</v>
      </c>
      <c r="K329">
        <v>1.00313</v>
      </c>
      <c r="L329">
        <v>1.0233</v>
      </c>
      <c r="M329">
        <v>1.02292</v>
      </c>
      <c r="N329">
        <v>1.03358</v>
      </c>
      <c r="O329">
        <v>1.01115</v>
      </c>
      <c r="P329">
        <v>0.9573199999999999</v>
      </c>
      <c r="Q329">
        <v>1</v>
      </c>
      <c r="R329">
        <v>1</v>
      </c>
      <c r="S329">
        <v>1.23604</v>
      </c>
      <c r="T329">
        <v>1.01686</v>
      </c>
      <c r="U329">
        <v>1</v>
      </c>
      <c r="V329">
        <v>16.813</v>
      </c>
      <c r="W329">
        <v>6.642</v>
      </c>
      <c r="X329">
        <v>148.701</v>
      </c>
      <c r="Y329">
        <v>63.441</v>
      </c>
      <c r="Z329">
        <v>48.534</v>
      </c>
      <c r="AA329">
        <v>284.13</v>
      </c>
      <c r="AB329">
        <v>1.00366</v>
      </c>
      <c r="AC329">
        <v>273</v>
      </c>
      <c r="AD329">
        <v>0</v>
      </c>
      <c r="AG329">
        <v>19</v>
      </c>
      <c r="AH329">
        <v>7</v>
      </c>
      <c r="AI329">
        <v>135</v>
      </c>
      <c r="AJ329">
        <v>64</v>
      </c>
      <c r="AK329">
        <v>48</v>
      </c>
    </row>
    <row r="330" spans="1:37">
      <c r="A330" t="s">
        <v>813</v>
      </c>
      <c r="B330" t="s">
        <v>1754</v>
      </c>
      <c r="C330">
        <v>20</v>
      </c>
      <c r="D330" t="s">
        <v>1475</v>
      </c>
      <c r="E330">
        <v>30</v>
      </c>
      <c r="F330">
        <v>0</v>
      </c>
      <c r="G330">
        <v>0</v>
      </c>
      <c r="I330">
        <v>1.06125</v>
      </c>
      <c r="J330">
        <v>0.9879</v>
      </c>
      <c r="K330">
        <v>1.00313</v>
      </c>
      <c r="L330">
        <v>1.0241</v>
      </c>
      <c r="M330">
        <v>0.92652</v>
      </c>
      <c r="N330">
        <v>1.05233</v>
      </c>
      <c r="O330">
        <v>0.98622</v>
      </c>
      <c r="P330">
        <v>0.95857</v>
      </c>
      <c r="Q330">
        <v>1</v>
      </c>
      <c r="R330">
        <v>1</v>
      </c>
      <c r="S330">
        <v>1.23017</v>
      </c>
      <c r="T330">
        <v>1.02057</v>
      </c>
      <c r="U330">
        <v>1</v>
      </c>
      <c r="V330">
        <v>23.089</v>
      </c>
      <c r="W330">
        <v>10.503</v>
      </c>
      <c r="X330">
        <v>130.773</v>
      </c>
      <c r="Y330">
        <v>54.757</v>
      </c>
      <c r="Z330">
        <v>44.052</v>
      </c>
      <c r="AA330">
        <v>263.174</v>
      </c>
      <c r="AB330">
        <v>0.99315</v>
      </c>
      <c r="AC330">
        <v>259</v>
      </c>
      <c r="AD330">
        <v>0</v>
      </c>
      <c r="AG330">
        <v>24</v>
      </c>
      <c r="AH330">
        <v>12</v>
      </c>
      <c r="AI330">
        <v>138</v>
      </c>
      <c r="AJ330">
        <v>47</v>
      </c>
      <c r="AK330">
        <v>38</v>
      </c>
    </row>
    <row r="331" spans="1:37">
      <c r="A331" t="s">
        <v>412</v>
      </c>
      <c r="B331" t="s">
        <v>1751</v>
      </c>
      <c r="C331">
        <v>19.4</v>
      </c>
      <c r="D331" t="s">
        <v>82</v>
      </c>
      <c r="E331">
        <v>31</v>
      </c>
      <c r="F331">
        <v>0</v>
      </c>
      <c r="G331">
        <v>0</v>
      </c>
      <c r="I331">
        <v>1.06144</v>
      </c>
      <c r="J331">
        <v>0.99877</v>
      </c>
      <c r="K331">
        <v>1.00313</v>
      </c>
      <c r="L331">
        <v>1.02496</v>
      </c>
      <c r="M331">
        <v>0.8963</v>
      </c>
      <c r="N331">
        <v>1.02132</v>
      </c>
      <c r="O331">
        <v>1</v>
      </c>
      <c r="P331">
        <v>0.96835</v>
      </c>
      <c r="Q331">
        <v>1</v>
      </c>
      <c r="R331">
        <v>1</v>
      </c>
      <c r="S331">
        <v>1.18621</v>
      </c>
      <c r="T331">
        <v>1.05145</v>
      </c>
      <c r="U331">
        <v>1</v>
      </c>
      <c r="V331">
        <v>88.015</v>
      </c>
      <c r="W331">
        <v>42.953</v>
      </c>
      <c r="X331">
        <v>90.021</v>
      </c>
      <c r="Y331">
        <v>18.446</v>
      </c>
      <c r="Z331">
        <v>36.142</v>
      </c>
      <c r="AA331">
        <v>275.577</v>
      </c>
      <c r="AB331">
        <v>0.97238</v>
      </c>
      <c r="AC331">
        <v>248</v>
      </c>
      <c r="AD331">
        <v>0</v>
      </c>
      <c r="AG331">
        <v>86</v>
      </c>
      <c r="AH331">
        <v>35</v>
      </c>
      <c r="AI331">
        <v>77</v>
      </c>
      <c r="AJ331">
        <v>17</v>
      </c>
      <c r="AK331">
        <v>33</v>
      </c>
    </row>
    <row r="332" spans="1:37">
      <c r="A332" t="s">
        <v>814</v>
      </c>
      <c r="B332" t="s">
        <v>1751</v>
      </c>
      <c r="C332">
        <v>17.1</v>
      </c>
      <c r="D332" t="s">
        <v>82</v>
      </c>
      <c r="E332">
        <v>0</v>
      </c>
      <c r="F332">
        <v>0</v>
      </c>
      <c r="G332">
        <v>0</v>
      </c>
      <c r="I332">
        <v>1.06163</v>
      </c>
      <c r="J332">
        <v>1.01788</v>
      </c>
      <c r="K332">
        <v>1.00313</v>
      </c>
      <c r="L332">
        <v>1.02587</v>
      </c>
      <c r="M332">
        <v>0.88078</v>
      </c>
      <c r="N332">
        <v>0.98084</v>
      </c>
      <c r="O332">
        <v>1</v>
      </c>
      <c r="P332">
        <v>1.06417</v>
      </c>
      <c r="Q332">
        <v>1</v>
      </c>
      <c r="R332">
        <v>1</v>
      </c>
      <c r="S332">
        <v>1.20167</v>
      </c>
      <c r="T332">
        <v>1.04739</v>
      </c>
      <c r="U332">
        <v>0.91796</v>
      </c>
      <c r="V332">
        <v>80.19199999999999</v>
      </c>
      <c r="W332">
        <v>37.484</v>
      </c>
      <c r="X332">
        <v>73.258</v>
      </c>
      <c r="Y332">
        <v>13.334</v>
      </c>
      <c r="Z332">
        <v>64.94799999999999</v>
      </c>
      <c r="AA332">
        <v>269.215</v>
      </c>
      <c r="AB332">
        <v>1.03801</v>
      </c>
      <c r="AC332">
        <v>281</v>
      </c>
      <c r="AD332">
        <v>0</v>
      </c>
      <c r="AE332" t="s">
        <v>314</v>
      </c>
      <c r="AG332">
        <v>79</v>
      </c>
      <c r="AH332">
        <v>47</v>
      </c>
      <c r="AI332">
        <v>67</v>
      </c>
      <c r="AJ332">
        <v>8</v>
      </c>
      <c r="AK332">
        <v>80</v>
      </c>
    </row>
    <row r="333" spans="1:37">
      <c r="A333" t="s">
        <v>815</v>
      </c>
      <c r="B333" t="s">
        <v>1751</v>
      </c>
      <c r="C333">
        <v>20.9</v>
      </c>
      <c r="D333" t="s">
        <v>82</v>
      </c>
      <c r="E333">
        <v>1</v>
      </c>
      <c r="F333">
        <v>0</v>
      </c>
      <c r="G333">
        <v>0</v>
      </c>
      <c r="I333">
        <v>1.06182</v>
      </c>
      <c r="J333">
        <v>1.02201</v>
      </c>
      <c r="K333">
        <v>1.00313</v>
      </c>
      <c r="L333">
        <v>1.02684</v>
      </c>
      <c r="M333">
        <v>0.89702</v>
      </c>
      <c r="N333">
        <v>1.03222</v>
      </c>
      <c r="O333">
        <v>1</v>
      </c>
      <c r="P333">
        <v>1.04144</v>
      </c>
      <c r="Q333">
        <v>1</v>
      </c>
      <c r="R333">
        <v>1</v>
      </c>
      <c r="S333">
        <v>0.9657</v>
      </c>
      <c r="T333">
        <v>1.05362</v>
      </c>
      <c r="U333">
        <v>1</v>
      </c>
      <c r="V333">
        <v>82.27500000000001</v>
      </c>
      <c r="W333">
        <v>37.777</v>
      </c>
      <c r="X333">
        <v>82.11499999999999</v>
      </c>
      <c r="Y333">
        <v>17.293</v>
      </c>
      <c r="Z333">
        <v>29.649</v>
      </c>
      <c r="AA333">
        <v>249.108</v>
      </c>
      <c r="AB333">
        <v>1.13311</v>
      </c>
      <c r="AC333">
        <v>251</v>
      </c>
      <c r="AD333">
        <v>0</v>
      </c>
      <c r="AG333">
        <v>87</v>
      </c>
      <c r="AH333">
        <v>37</v>
      </c>
      <c r="AI333">
        <v>74</v>
      </c>
      <c r="AJ333">
        <v>18</v>
      </c>
      <c r="AK333">
        <v>35</v>
      </c>
    </row>
    <row r="334" spans="1:37">
      <c r="A334" t="s">
        <v>816</v>
      </c>
      <c r="B334" t="s">
        <v>1751</v>
      </c>
      <c r="C334">
        <v>19.9</v>
      </c>
      <c r="D334" t="s">
        <v>82</v>
      </c>
      <c r="E334">
        <v>2</v>
      </c>
      <c r="F334">
        <v>0</v>
      </c>
      <c r="G334">
        <v>0</v>
      </c>
      <c r="I334">
        <v>1.062</v>
      </c>
      <c r="J334">
        <v>1.03129</v>
      </c>
      <c r="K334">
        <v>1.00313</v>
      </c>
      <c r="L334">
        <v>1.02783</v>
      </c>
      <c r="M334">
        <v>0.93553</v>
      </c>
      <c r="N334">
        <v>1.02941</v>
      </c>
      <c r="O334">
        <v>1</v>
      </c>
      <c r="P334">
        <v>1.02854</v>
      </c>
      <c r="Q334">
        <v>1</v>
      </c>
      <c r="R334">
        <v>1</v>
      </c>
      <c r="S334">
        <v>0.9649</v>
      </c>
      <c r="T334">
        <v>1.05187</v>
      </c>
      <c r="U334">
        <v>1</v>
      </c>
      <c r="V334">
        <v>81.039</v>
      </c>
      <c r="W334">
        <v>35.911</v>
      </c>
      <c r="X334">
        <v>90.117</v>
      </c>
      <c r="Y334">
        <v>19.86</v>
      </c>
      <c r="Z334">
        <v>30.521</v>
      </c>
      <c r="AA334">
        <v>257.448</v>
      </c>
      <c r="AB334">
        <v>0.89972</v>
      </c>
      <c r="AC334">
        <v>219</v>
      </c>
      <c r="AD334">
        <v>0</v>
      </c>
      <c r="AG334">
        <v>73</v>
      </c>
      <c r="AH334">
        <v>32</v>
      </c>
      <c r="AI334">
        <v>75</v>
      </c>
      <c r="AJ334">
        <v>20</v>
      </c>
      <c r="AK334">
        <v>19</v>
      </c>
    </row>
    <row r="335" spans="1:37">
      <c r="A335" t="s">
        <v>817</v>
      </c>
      <c r="B335" t="s">
        <v>1752</v>
      </c>
      <c r="C335">
        <v>21.1</v>
      </c>
      <c r="D335" t="s">
        <v>82</v>
      </c>
      <c r="E335">
        <v>3</v>
      </c>
      <c r="F335">
        <v>0</v>
      </c>
      <c r="G335">
        <v>0</v>
      </c>
      <c r="I335">
        <v>1.06219</v>
      </c>
      <c r="J335">
        <v>1.02844</v>
      </c>
      <c r="K335">
        <v>1.00313</v>
      </c>
      <c r="L335">
        <v>1.02885</v>
      </c>
      <c r="M335">
        <v>1.14166</v>
      </c>
      <c r="N335">
        <v>1.04938</v>
      </c>
      <c r="O335">
        <v>1</v>
      </c>
      <c r="P335">
        <v>1.02115</v>
      </c>
      <c r="Q335">
        <v>1</v>
      </c>
      <c r="R335">
        <v>1</v>
      </c>
      <c r="S335">
        <v>0.96127</v>
      </c>
      <c r="T335">
        <v>1.0426</v>
      </c>
      <c r="U335">
        <v>1</v>
      </c>
      <c r="V335">
        <v>75.712</v>
      </c>
      <c r="W335">
        <v>29.999</v>
      </c>
      <c r="X335">
        <v>137.063</v>
      </c>
      <c r="Y335">
        <v>33.82</v>
      </c>
      <c r="Z335">
        <v>36.319</v>
      </c>
      <c r="AA335">
        <v>312.913</v>
      </c>
      <c r="AB335">
        <v>0.97583</v>
      </c>
      <c r="AC335">
        <v>293</v>
      </c>
      <c r="AD335">
        <v>0</v>
      </c>
      <c r="AG335">
        <v>80</v>
      </c>
      <c r="AH335">
        <v>24</v>
      </c>
      <c r="AI335">
        <v>122</v>
      </c>
      <c r="AJ335">
        <v>28</v>
      </c>
      <c r="AK335">
        <v>39</v>
      </c>
    </row>
    <row r="336" spans="1:37">
      <c r="A336" t="s">
        <v>818</v>
      </c>
      <c r="B336" t="s">
        <v>1753</v>
      </c>
      <c r="C336">
        <v>21.4</v>
      </c>
      <c r="D336" t="s">
        <v>82</v>
      </c>
      <c r="E336">
        <v>4</v>
      </c>
      <c r="F336">
        <v>0</v>
      </c>
      <c r="G336">
        <v>0</v>
      </c>
      <c r="I336">
        <v>1.06238</v>
      </c>
      <c r="J336">
        <v>1.01971</v>
      </c>
      <c r="K336">
        <v>0.98083</v>
      </c>
      <c r="L336">
        <v>1.02988</v>
      </c>
      <c r="M336">
        <v>0.91766</v>
      </c>
      <c r="N336">
        <v>1.06618</v>
      </c>
      <c r="O336">
        <v>1</v>
      </c>
      <c r="P336">
        <v>1.01676</v>
      </c>
      <c r="Q336">
        <v>1</v>
      </c>
      <c r="R336">
        <v>1</v>
      </c>
      <c r="S336">
        <v>0.95285</v>
      </c>
      <c r="T336">
        <v>1.01967</v>
      </c>
      <c r="U336">
        <v>1</v>
      </c>
      <c r="V336">
        <v>17.539</v>
      </c>
      <c r="W336">
        <v>12.684</v>
      </c>
      <c r="X336">
        <v>122.97</v>
      </c>
      <c r="Y336">
        <v>51.575</v>
      </c>
      <c r="Z336">
        <v>38.155</v>
      </c>
      <c r="AA336">
        <v>242.924</v>
      </c>
      <c r="AB336">
        <v>0.93948</v>
      </c>
      <c r="AC336">
        <v>239</v>
      </c>
      <c r="AD336">
        <v>0</v>
      </c>
      <c r="AG336">
        <v>16</v>
      </c>
      <c r="AH336">
        <v>16</v>
      </c>
      <c r="AI336">
        <v>119</v>
      </c>
      <c r="AJ336">
        <v>48</v>
      </c>
      <c r="AK336">
        <v>40</v>
      </c>
    </row>
    <row r="337" spans="1:37">
      <c r="A337" t="s">
        <v>819</v>
      </c>
      <c r="B337" t="s">
        <v>1754</v>
      </c>
      <c r="C337">
        <v>20.3</v>
      </c>
      <c r="D337" t="s">
        <v>82</v>
      </c>
      <c r="E337">
        <v>5</v>
      </c>
      <c r="F337">
        <v>0</v>
      </c>
      <c r="G337">
        <v>0</v>
      </c>
      <c r="I337">
        <v>1.06257</v>
      </c>
      <c r="J337">
        <v>1.02321</v>
      </c>
      <c r="K337">
        <v>0.98083</v>
      </c>
      <c r="L337">
        <v>1.03091</v>
      </c>
      <c r="M337">
        <v>0.84965</v>
      </c>
      <c r="N337">
        <v>1.05223</v>
      </c>
      <c r="O337">
        <v>1</v>
      </c>
      <c r="P337">
        <v>1.01071</v>
      </c>
      <c r="Q337">
        <v>1</v>
      </c>
      <c r="R337">
        <v>1</v>
      </c>
      <c r="S337">
        <v>0.9549</v>
      </c>
      <c r="T337">
        <v>1.0245</v>
      </c>
      <c r="U337">
        <v>1</v>
      </c>
      <c r="V337">
        <v>24.001</v>
      </c>
      <c r="W337">
        <v>19.968</v>
      </c>
      <c r="X337">
        <v>103.828</v>
      </c>
      <c r="Y337">
        <v>43.134</v>
      </c>
      <c r="Z337">
        <v>32.981</v>
      </c>
      <c r="AA337">
        <v>223.911</v>
      </c>
      <c r="AB337">
        <v>0.95153</v>
      </c>
      <c r="AC337">
        <v>218</v>
      </c>
      <c r="AD337">
        <v>0</v>
      </c>
      <c r="AG337">
        <v>31</v>
      </c>
      <c r="AH337">
        <v>16</v>
      </c>
      <c r="AI337">
        <v>97</v>
      </c>
      <c r="AJ337">
        <v>46</v>
      </c>
      <c r="AK337">
        <v>28</v>
      </c>
    </row>
    <row r="338" spans="1:37">
      <c r="A338" t="s">
        <v>413</v>
      </c>
      <c r="B338" t="s">
        <v>1751</v>
      </c>
      <c r="C338">
        <v>20.1</v>
      </c>
      <c r="D338" t="s">
        <v>82</v>
      </c>
      <c r="E338">
        <v>6</v>
      </c>
      <c r="F338">
        <v>0</v>
      </c>
      <c r="G338">
        <v>0</v>
      </c>
      <c r="I338">
        <v>1.06275</v>
      </c>
      <c r="J338">
        <v>1.01932</v>
      </c>
      <c r="K338">
        <v>0.98083</v>
      </c>
      <c r="L338">
        <v>1.03193</v>
      </c>
      <c r="M338">
        <v>0.90151</v>
      </c>
      <c r="N338">
        <v>1.02643</v>
      </c>
      <c r="O338">
        <v>1</v>
      </c>
      <c r="P338">
        <v>1.0055</v>
      </c>
      <c r="Q338">
        <v>1</v>
      </c>
      <c r="R338">
        <v>1</v>
      </c>
      <c r="S338">
        <v>0.9670299999999999</v>
      </c>
      <c r="T338">
        <v>1.05839</v>
      </c>
      <c r="U338">
        <v>1</v>
      </c>
      <c r="V338">
        <v>83.738</v>
      </c>
      <c r="W338">
        <v>36.142</v>
      </c>
      <c r="X338">
        <v>73.39700000000001</v>
      </c>
      <c r="Y338">
        <v>16.043</v>
      </c>
      <c r="Z338">
        <v>26.725</v>
      </c>
      <c r="AA338">
        <v>236.045</v>
      </c>
      <c r="AB338">
        <v>1.07381</v>
      </c>
      <c r="AC338">
        <v>269</v>
      </c>
      <c r="AD338">
        <v>0</v>
      </c>
      <c r="AG338">
        <v>80</v>
      </c>
      <c r="AH338">
        <v>50</v>
      </c>
      <c r="AI338">
        <v>85</v>
      </c>
      <c r="AJ338">
        <v>19</v>
      </c>
      <c r="AK338">
        <v>35</v>
      </c>
    </row>
    <row r="339" spans="1:37">
      <c r="A339" t="s">
        <v>820</v>
      </c>
      <c r="B339" t="s">
        <v>1751</v>
      </c>
      <c r="C339">
        <v>17.3</v>
      </c>
      <c r="D339" t="s">
        <v>82</v>
      </c>
      <c r="E339">
        <v>7</v>
      </c>
      <c r="F339">
        <v>0</v>
      </c>
      <c r="G339">
        <v>0</v>
      </c>
      <c r="I339">
        <v>1.06294</v>
      </c>
      <c r="J339">
        <v>1.01185</v>
      </c>
      <c r="K339">
        <v>0.98083</v>
      </c>
      <c r="L339">
        <v>1.03293</v>
      </c>
      <c r="M339">
        <v>0.87683</v>
      </c>
      <c r="N339">
        <v>1.00266</v>
      </c>
      <c r="O339">
        <v>1</v>
      </c>
      <c r="P339">
        <v>1.00366</v>
      </c>
      <c r="Q339">
        <v>1</v>
      </c>
      <c r="R339">
        <v>1</v>
      </c>
      <c r="S339">
        <v>0.96715</v>
      </c>
      <c r="T339">
        <v>1.05903</v>
      </c>
      <c r="U339">
        <v>1</v>
      </c>
      <c r="V339">
        <v>79.245</v>
      </c>
      <c r="W339">
        <v>35.874</v>
      </c>
      <c r="X339">
        <v>67.482</v>
      </c>
      <c r="Y339">
        <v>14.055</v>
      </c>
      <c r="Z339">
        <v>25.357</v>
      </c>
      <c r="AA339">
        <v>222.013</v>
      </c>
      <c r="AB339">
        <v>0.99505</v>
      </c>
      <c r="AC339">
        <v>232</v>
      </c>
      <c r="AD339">
        <v>0</v>
      </c>
      <c r="AG339">
        <v>67</v>
      </c>
      <c r="AH339">
        <v>39</v>
      </c>
      <c r="AI339">
        <v>76</v>
      </c>
      <c r="AJ339">
        <v>15</v>
      </c>
      <c r="AK339">
        <v>35</v>
      </c>
    </row>
    <row r="340" spans="1:37">
      <c r="A340" t="s">
        <v>821</v>
      </c>
      <c r="B340" t="s">
        <v>1751</v>
      </c>
      <c r="C340">
        <v>18.6</v>
      </c>
      <c r="D340" t="s">
        <v>82</v>
      </c>
      <c r="E340">
        <v>8</v>
      </c>
      <c r="F340">
        <v>0</v>
      </c>
      <c r="G340">
        <v>0</v>
      </c>
      <c r="I340">
        <v>1.06313</v>
      </c>
      <c r="J340">
        <v>1.00544</v>
      </c>
      <c r="K340">
        <v>0.98083</v>
      </c>
      <c r="L340">
        <v>1.0339</v>
      </c>
      <c r="M340">
        <v>0.89845</v>
      </c>
      <c r="N340">
        <v>1.01596</v>
      </c>
      <c r="O340">
        <v>1</v>
      </c>
      <c r="P340">
        <v>1.00253</v>
      </c>
      <c r="Q340">
        <v>1</v>
      </c>
      <c r="R340">
        <v>1</v>
      </c>
      <c r="S340">
        <v>1</v>
      </c>
      <c r="T340">
        <v>1.05592</v>
      </c>
      <c r="U340">
        <v>1</v>
      </c>
      <c r="V340">
        <v>78.839</v>
      </c>
      <c r="W340">
        <v>37.145</v>
      </c>
      <c r="X340">
        <v>77.06</v>
      </c>
      <c r="Y340">
        <v>16.178</v>
      </c>
      <c r="Z340">
        <v>28.249</v>
      </c>
      <c r="AA340">
        <v>237.471</v>
      </c>
      <c r="AB340">
        <v>1.01005</v>
      </c>
      <c r="AC340">
        <v>215</v>
      </c>
      <c r="AD340">
        <v>0</v>
      </c>
      <c r="AG340">
        <v>72</v>
      </c>
      <c r="AH340">
        <v>28</v>
      </c>
      <c r="AI340">
        <v>76</v>
      </c>
      <c r="AJ340">
        <v>12</v>
      </c>
      <c r="AK340">
        <v>27</v>
      </c>
    </row>
    <row r="341" spans="1:37">
      <c r="A341" t="s">
        <v>822</v>
      </c>
      <c r="B341" t="s">
        <v>1751</v>
      </c>
      <c r="C341">
        <v>16.2</v>
      </c>
      <c r="D341" t="s">
        <v>82</v>
      </c>
      <c r="E341">
        <v>9</v>
      </c>
      <c r="F341">
        <v>0</v>
      </c>
      <c r="G341">
        <v>0</v>
      </c>
      <c r="I341">
        <v>1.06331</v>
      </c>
      <c r="J341">
        <v>1.00322</v>
      </c>
      <c r="K341">
        <v>0.98083</v>
      </c>
      <c r="L341">
        <v>1.03483</v>
      </c>
      <c r="M341">
        <v>0.93632</v>
      </c>
      <c r="N341">
        <v>0.99169</v>
      </c>
      <c r="O341">
        <v>1</v>
      </c>
      <c r="P341">
        <v>1.00173</v>
      </c>
      <c r="Q341">
        <v>1</v>
      </c>
      <c r="R341">
        <v>1</v>
      </c>
      <c r="S341">
        <v>1</v>
      </c>
      <c r="T341">
        <v>1.05462</v>
      </c>
      <c r="U341">
        <v>1</v>
      </c>
      <c r="V341">
        <v>77.194</v>
      </c>
      <c r="W341">
        <v>35.231</v>
      </c>
      <c r="X341">
        <v>81.337</v>
      </c>
      <c r="Y341">
        <v>18.105</v>
      </c>
      <c r="Z341">
        <v>28.601</v>
      </c>
      <c r="AA341">
        <v>240.468</v>
      </c>
      <c r="AB341">
        <v>1.04722</v>
      </c>
      <c r="AC341">
        <v>249</v>
      </c>
      <c r="AD341">
        <v>0</v>
      </c>
      <c r="AG341">
        <v>91</v>
      </c>
      <c r="AH341">
        <v>39</v>
      </c>
      <c r="AI341">
        <v>87</v>
      </c>
      <c r="AJ341">
        <v>11</v>
      </c>
      <c r="AK341">
        <v>21</v>
      </c>
    </row>
    <row r="342" spans="1:37">
      <c r="A342" t="s">
        <v>823</v>
      </c>
      <c r="B342" t="s">
        <v>1752</v>
      </c>
      <c r="C342">
        <v>15.1</v>
      </c>
      <c r="D342" t="s">
        <v>82</v>
      </c>
      <c r="E342">
        <v>10</v>
      </c>
      <c r="F342">
        <v>0</v>
      </c>
      <c r="G342">
        <v>0</v>
      </c>
      <c r="I342">
        <v>1.0635</v>
      </c>
      <c r="J342">
        <v>0.99931</v>
      </c>
      <c r="K342">
        <v>0.98083</v>
      </c>
      <c r="L342">
        <v>1.0357</v>
      </c>
      <c r="M342">
        <v>1.13065</v>
      </c>
      <c r="N342">
        <v>0.97882</v>
      </c>
      <c r="O342">
        <v>1</v>
      </c>
      <c r="P342">
        <v>1.00127</v>
      </c>
      <c r="Q342">
        <v>1</v>
      </c>
      <c r="R342">
        <v>1</v>
      </c>
      <c r="S342">
        <v>1</v>
      </c>
      <c r="T342">
        <v>1.04563</v>
      </c>
      <c r="U342">
        <v>1</v>
      </c>
      <c r="V342">
        <v>72.286</v>
      </c>
      <c r="W342">
        <v>29.574</v>
      </c>
      <c r="X342">
        <v>120.17</v>
      </c>
      <c r="Y342">
        <v>30.296</v>
      </c>
      <c r="Z342">
        <v>33.181</v>
      </c>
      <c r="AA342">
        <v>285.506</v>
      </c>
      <c r="AB342">
        <v>0.97209</v>
      </c>
      <c r="AC342">
        <v>281</v>
      </c>
      <c r="AD342">
        <v>0</v>
      </c>
      <c r="AG342">
        <v>75</v>
      </c>
      <c r="AH342">
        <v>28</v>
      </c>
      <c r="AI342">
        <v>123</v>
      </c>
      <c r="AJ342">
        <v>29</v>
      </c>
      <c r="AK342">
        <v>26</v>
      </c>
    </row>
    <row r="343" spans="1:37">
      <c r="A343" t="s">
        <v>824</v>
      </c>
      <c r="B343" t="s">
        <v>1753</v>
      </c>
      <c r="C343">
        <v>15.9</v>
      </c>
      <c r="D343" t="s">
        <v>82</v>
      </c>
      <c r="E343">
        <v>11</v>
      </c>
      <c r="F343">
        <v>0</v>
      </c>
      <c r="G343">
        <v>0</v>
      </c>
      <c r="I343">
        <v>1.06369</v>
      </c>
      <c r="J343">
        <v>0.99559</v>
      </c>
      <c r="K343">
        <v>0.98083</v>
      </c>
      <c r="L343">
        <v>1.03652</v>
      </c>
      <c r="M343">
        <v>0.9005300000000001</v>
      </c>
      <c r="N343">
        <v>0.98765</v>
      </c>
      <c r="O343">
        <v>1</v>
      </c>
      <c r="P343">
        <v>1.00102</v>
      </c>
      <c r="Q343">
        <v>1</v>
      </c>
      <c r="R343">
        <v>1</v>
      </c>
      <c r="S343">
        <v>1</v>
      </c>
      <c r="T343">
        <v>1.02082</v>
      </c>
      <c r="U343">
        <v>1</v>
      </c>
      <c r="V343">
        <v>17.245</v>
      </c>
      <c r="W343">
        <v>12.901</v>
      </c>
      <c r="X343">
        <v>113.915</v>
      </c>
      <c r="Y343">
        <v>48.53</v>
      </c>
      <c r="Z343">
        <v>36.422</v>
      </c>
      <c r="AA343">
        <v>229.013</v>
      </c>
      <c r="AB343">
        <v>0.93956</v>
      </c>
      <c r="AC343">
        <v>207</v>
      </c>
      <c r="AD343">
        <v>0</v>
      </c>
      <c r="AG343">
        <v>15</v>
      </c>
      <c r="AH343">
        <v>13</v>
      </c>
      <c r="AI343">
        <v>101</v>
      </c>
      <c r="AJ343">
        <v>40</v>
      </c>
      <c r="AK343">
        <v>38</v>
      </c>
    </row>
    <row r="344" spans="1:37">
      <c r="A344" t="s">
        <v>825</v>
      </c>
      <c r="B344" t="s">
        <v>1754</v>
      </c>
      <c r="C344">
        <v>14.9</v>
      </c>
      <c r="D344" t="s">
        <v>82</v>
      </c>
      <c r="E344">
        <v>12</v>
      </c>
      <c r="F344">
        <v>0</v>
      </c>
      <c r="G344">
        <v>0</v>
      </c>
      <c r="I344">
        <v>1.06388</v>
      </c>
      <c r="J344">
        <v>1.01089</v>
      </c>
      <c r="K344">
        <v>0.98083</v>
      </c>
      <c r="L344">
        <v>1.03727</v>
      </c>
      <c r="M344">
        <v>0.83572</v>
      </c>
      <c r="N344">
        <v>0.9702499999999999</v>
      </c>
      <c r="O344">
        <v>1</v>
      </c>
      <c r="P344">
        <v>1.00065</v>
      </c>
      <c r="Q344">
        <v>1</v>
      </c>
      <c r="R344">
        <v>1</v>
      </c>
      <c r="S344">
        <v>1</v>
      </c>
      <c r="T344">
        <v>1.026</v>
      </c>
      <c r="U344">
        <v>1</v>
      </c>
      <c r="V344">
        <v>23.91</v>
      </c>
      <c r="W344">
        <v>20.602</v>
      </c>
      <c r="X344">
        <v>96.015</v>
      </c>
      <c r="Y344">
        <v>40.749</v>
      </c>
      <c r="Z344">
        <v>32.03</v>
      </c>
      <c r="AA344">
        <v>213.305</v>
      </c>
      <c r="AB344">
        <v>1.06593</v>
      </c>
      <c r="AC344">
        <v>231</v>
      </c>
      <c r="AD344">
        <v>0</v>
      </c>
      <c r="AG344">
        <v>27</v>
      </c>
      <c r="AH344">
        <v>20</v>
      </c>
      <c r="AI344">
        <v>112</v>
      </c>
      <c r="AJ344">
        <v>46</v>
      </c>
      <c r="AK344">
        <v>26</v>
      </c>
    </row>
    <row r="345" spans="1:37">
      <c r="A345" t="s">
        <v>414</v>
      </c>
      <c r="B345" t="s">
        <v>1751</v>
      </c>
      <c r="C345">
        <v>15.8</v>
      </c>
      <c r="D345" t="s">
        <v>82</v>
      </c>
      <c r="E345">
        <v>13</v>
      </c>
      <c r="F345">
        <v>0</v>
      </c>
      <c r="G345">
        <v>0</v>
      </c>
      <c r="I345">
        <v>1.06406</v>
      </c>
      <c r="J345">
        <v>1.02335</v>
      </c>
      <c r="K345">
        <v>0.98083</v>
      </c>
      <c r="L345">
        <v>1.03793</v>
      </c>
      <c r="M345">
        <v>0.90426</v>
      </c>
      <c r="N345">
        <v>0.98699</v>
      </c>
      <c r="O345">
        <v>1</v>
      </c>
      <c r="P345">
        <v>1.00033</v>
      </c>
      <c r="Q345">
        <v>1</v>
      </c>
      <c r="R345">
        <v>1</v>
      </c>
      <c r="S345">
        <v>1</v>
      </c>
      <c r="T345">
        <v>1.06082</v>
      </c>
      <c r="U345">
        <v>1</v>
      </c>
      <c r="V345">
        <v>84.827</v>
      </c>
      <c r="W345">
        <v>37.951</v>
      </c>
      <c r="X345">
        <v>71.03100000000001</v>
      </c>
      <c r="Y345">
        <v>15.741</v>
      </c>
      <c r="Z345">
        <v>26.941</v>
      </c>
      <c r="AA345">
        <v>236.49</v>
      </c>
      <c r="AB345">
        <v>0.99844</v>
      </c>
      <c r="AC345">
        <v>240</v>
      </c>
      <c r="AD345">
        <v>0</v>
      </c>
      <c r="AG345">
        <v>104</v>
      </c>
      <c r="AH345">
        <v>30</v>
      </c>
      <c r="AI345">
        <v>63</v>
      </c>
      <c r="AJ345">
        <v>12</v>
      </c>
      <c r="AK345">
        <v>31</v>
      </c>
    </row>
    <row r="346" spans="1:37">
      <c r="A346" t="s">
        <v>826</v>
      </c>
      <c r="B346" t="s">
        <v>1751</v>
      </c>
      <c r="C346">
        <v>17.1</v>
      </c>
      <c r="D346" t="s">
        <v>82</v>
      </c>
      <c r="E346">
        <v>14</v>
      </c>
      <c r="F346">
        <v>0</v>
      </c>
      <c r="G346">
        <v>0</v>
      </c>
      <c r="I346">
        <v>1.06425</v>
      </c>
      <c r="J346">
        <v>1.0078</v>
      </c>
      <c r="K346">
        <v>0.98083</v>
      </c>
      <c r="L346">
        <v>1.03852</v>
      </c>
      <c r="M346">
        <v>0.87564</v>
      </c>
      <c r="N346">
        <v>1.00027</v>
      </c>
      <c r="O346">
        <v>1</v>
      </c>
      <c r="P346">
        <v>1.00022</v>
      </c>
      <c r="Q346">
        <v>1</v>
      </c>
      <c r="R346">
        <v>1</v>
      </c>
      <c r="S346">
        <v>1</v>
      </c>
      <c r="T346">
        <v>1.05955</v>
      </c>
      <c r="U346">
        <v>1</v>
      </c>
      <c r="V346">
        <v>79.658</v>
      </c>
      <c r="W346">
        <v>37.403</v>
      </c>
      <c r="X346">
        <v>70.58</v>
      </c>
      <c r="Y346">
        <v>14.555</v>
      </c>
      <c r="Z346">
        <v>27.11</v>
      </c>
      <c r="AA346">
        <v>229.306</v>
      </c>
      <c r="AB346">
        <v>1.01763</v>
      </c>
      <c r="AC346">
        <v>246</v>
      </c>
      <c r="AD346">
        <v>1</v>
      </c>
      <c r="AG346">
        <v>84</v>
      </c>
      <c r="AH346">
        <v>38</v>
      </c>
      <c r="AI346">
        <v>80</v>
      </c>
      <c r="AJ346">
        <v>14</v>
      </c>
      <c r="AK346">
        <v>30</v>
      </c>
    </row>
    <row r="347" spans="1:37">
      <c r="A347" t="s">
        <v>827</v>
      </c>
      <c r="B347" t="s">
        <v>1751</v>
      </c>
      <c r="C347">
        <v>15.9</v>
      </c>
      <c r="D347" t="s">
        <v>82</v>
      </c>
      <c r="E347">
        <v>15</v>
      </c>
      <c r="F347">
        <v>0</v>
      </c>
      <c r="G347">
        <v>0</v>
      </c>
      <c r="I347">
        <v>1.06444</v>
      </c>
      <c r="J347">
        <v>1.0219</v>
      </c>
      <c r="K347">
        <v>0.98083</v>
      </c>
      <c r="L347">
        <v>1.03901</v>
      </c>
      <c r="M347">
        <v>0.9010899999999999</v>
      </c>
      <c r="N347">
        <v>0.98782</v>
      </c>
      <c r="O347">
        <v>1</v>
      </c>
      <c r="P347">
        <v>0.9976</v>
      </c>
      <c r="Q347">
        <v>1</v>
      </c>
      <c r="R347">
        <v>1</v>
      </c>
      <c r="S347">
        <v>1</v>
      </c>
      <c r="T347">
        <v>1.0592</v>
      </c>
      <c r="U347">
        <v>1</v>
      </c>
      <c r="V347">
        <v>80.774</v>
      </c>
      <c r="W347">
        <v>37.882</v>
      </c>
      <c r="X347">
        <v>73.542</v>
      </c>
      <c r="Y347">
        <v>15.706</v>
      </c>
      <c r="Z347">
        <v>27.473</v>
      </c>
      <c r="AA347">
        <v>235.377</v>
      </c>
      <c r="AB347">
        <v>0.99799</v>
      </c>
      <c r="AC347">
        <v>253</v>
      </c>
      <c r="AD347">
        <v>0</v>
      </c>
      <c r="AG347">
        <v>86</v>
      </c>
      <c r="AH347">
        <v>34</v>
      </c>
      <c r="AI347">
        <v>84</v>
      </c>
      <c r="AJ347">
        <v>19</v>
      </c>
      <c r="AK347">
        <v>30</v>
      </c>
    </row>
    <row r="348" spans="1:37">
      <c r="A348" t="s">
        <v>828</v>
      </c>
      <c r="B348" t="s">
        <v>1751</v>
      </c>
      <c r="C348">
        <v>16.1</v>
      </c>
      <c r="D348" t="s">
        <v>82</v>
      </c>
      <c r="E348">
        <v>16</v>
      </c>
      <c r="F348">
        <v>0</v>
      </c>
      <c r="G348">
        <v>0</v>
      </c>
      <c r="I348">
        <v>1.06462</v>
      </c>
      <c r="J348">
        <v>1.01959</v>
      </c>
      <c r="K348">
        <v>0.98083</v>
      </c>
      <c r="L348">
        <v>1.03941</v>
      </c>
      <c r="M348">
        <v>0.93651</v>
      </c>
      <c r="N348">
        <v>0.99054</v>
      </c>
      <c r="O348">
        <v>1</v>
      </c>
      <c r="P348">
        <v>0.99485</v>
      </c>
      <c r="Q348">
        <v>1</v>
      </c>
      <c r="R348">
        <v>1</v>
      </c>
      <c r="S348">
        <v>1</v>
      </c>
      <c r="T348">
        <v>1.0566</v>
      </c>
      <c r="U348">
        <v>1</v>
      </c>
      <c r="V348">
        <v>78.973</v>
      </c>
      <c r="W348">
        <v>35.862</v>
      </c>
      <c r="X348">
        <v>82.176</v>
      </c>
      <c r="Y348">
        <v>18.29</v>
      </c>
      <c r="Z348">
        <v>28.9</v>
      </c>
      <c r="AA348">
        <v>244.201</v>
      </c>
      <c r="AB348">
        <v>0.99309</v>
      </c>
      <c r="AC348">
        <v>271</v>
      </c>
      <c r="AD348">
        <v>0</v>
      </c>
      <c r="AG348">
        <v>82</v>
      </c>
      <c r="AH348">
        <v>32</v>
      </c>
      <c r="AI348">
        <v>107</v>
      </c>
      <c r="AJ348">
        <v>25</v>
      </c>
      <c r="AK348">
        <v>25</v>
      </c>
    </row>
    <row r="349" spans="1:37">
      <c r="A349" t="s">
        <v>829</v>
      </c>
      <c r="B349" t="s">
        <v>1752</v>
      </c>
      <c r="C349">
        <v>15.5</v>
      </c>
      <c r="D349" t="s">
        <v>82</v>
      </c>
      <c r="E349">
        <v>17</v>
      </c>
      <c r="F349">
        <v>0</v>
      </c>
      <c r="G349">
        <v>0</v>
      </c>
      <c r="I349">
        <v>1.06481</v>
      </c>
      <c r="J349">
        <v>1.01776</v>
      </c>
      <c r="K349">
        <v>0.98083</v>
      </c>
      <c r="L349">
        <v>1.03971</v>
      </c>
      <c r="M349">
        <v>1.16659</v>
      </c>
      <c r="N349">
        <v>0.98867</v>
      </c>
      <c r="O349">
        <v>1</v>
      </c>
      <c r="P349">
        <v>0.9910099999999999</v>
      </c>
      <c r="Q349">
        <v>1</v>
      </c>
      <c r="R349">
        <v>1</v>
      </c>
      <c r="S349">
        <v>1</v>
      </c>
      <c r="T349">
        <v>1.04181</v>
      </c>
      <c r="U349">
        <v>1.23133</v>
      </c>
      <c r="V349">
        <v>73.991</v>
      </c>
      <c r="W349">
        <v>36.126</v>
      </c>
      <c r="X349">
        <v>184.263</v>
      </c>
      <c r="Y349">
        <v>30.846</v>
      </c>
      <c r="Z349">
        <v>33.753</v>
      </c>
      <c r="AA349">
        <v>358.98</v>
      </c>
      <c r="AB349">
        <v>1.01981</v>
      </c>
      <c r="AC349">
        <v>359</v>
      </c>
      <c r="AD349">
        <v>0</v>
      </c>
      <c r="AE349" t="s">
        <v>315</v>
      </c>
      <c r="AG349">
        <v>85</v>
      </c>
      <c r="AH349">
        <v>28</v>
      </c>
      <c r="AI349">
        <v>189</v>
      </c>
      <c r="AJ349">
        <v>26</v>
      </c>
      <c r="AK349">
        <v>31</v>
      </c>
    </row>
    <row r="350" spans="1:37">
      <c r="A350" t="s">
        <v>830</v>
      </c>
      <c r="B350" t="s">
        <v>1753</v>
      </c>
      <c r="C350">
        <v>15.2</v>
      </c>
      <c r="D350" t="s">
        <v>82</v>
      </c>
      <c r="E350">
        <v>18</v>
      </c>
      <c r="F350">
        <v>0</v>
      </c>
      <c r="G350">
        <v>0</v>
      </c>
      <c r="I350">
        <v>1.065</v>
      </c>
      <c r="J350">
        <v>1.0212</v>
      </c>
      <c r="K350">
        <v>0.98083</v>
      </c>
      <c r="L350">
        <v>1.0399</v>
      </c>
      <c r="M350">
        <v>0.89225</v>
      </c>
      <c r="N350">
        <v>0.97418</v>
      </c>
      <c r="O350">
        <v>1</v>
      </c>
      <c r="P350">
        <v>0.98629</v>
      </c>
      <c r="Q350">
        <v>1</v>
      </c>
      <c r="R350">
        <v>1</v>
      </c>
      <c r="S350">
        <v>1</v>
      </c>
      <c r="T350">
        <v>1.02179</v>
      </c>
      <c r="U350">
        <v>1</v>
      </c>
      <c r="V350">
        <v>17.748</v>
      </c>
      <c r="W350">
        <v>13.197</v>
      </c>
      <c r="X350">
        <v>113.464</v>
      </c>
      <c r="Y350">
        <v>48.562</v>
      </c>
      <c r="Z350">
        <v>36.504</v>
      </c>
      <c r="AA350">
        <v>229.474</v>
      </c>
      <c r="AB350">
        <v>0.98408</v>
      </c>
      <c r="AC350">
        <v>214</v>
      </c>
      <c r="AD350">
        <v>0</v>
      </c>
      <c r="AG350">
        <v>16</v>
      </c>
      <c r="AH350">
        <v>13</v>
      </c>
      <c r="AI350">
        <v>106</v>
      </c>
      <c r="AJ350">
        <v>53</v>
      </c>
      <c r="AK350">
        <v>26</v>
      </c>
    </row>
    <row r="351" spans="1:37">
      <c r="A351" t="s">
        <v>831</v>
      </c>
      <c r="B351" t="s">
        <v>1754</v>
      </c>
      <c r="C351">
        <v>15.8</v>
      </c>
      <c r="D351" t="s">
        <v>82</v>
      </c>
      <c r="E351">
        <v>19</v>
      </c>
      <c r="F351">
        <v>0</v>
      </c>
      <c r="G351">
        <v>0</v>
      </c>
      <c r="I351">
        <v>1.06519</v>
      </c>
      <c r="J351">
        <v>1.02078</v>
      </c>
      <c r="K351">
        <v>0.98083</v>
      </c>
      <c r="L351">
        <v>1.03999</v>
      </c>
      <c r="M351">
        <v>0.8366400000000001</v>
      </c>
      <c r="N351">
        <v>0.9861799999999999</v>
      </c>
      <c r="O351">
        <v>1</v>
      </c>
      <c r="P351">
        <v>0.98363</v>
      </c>
      <c r="Q351">
        <v>1</v>
      </c>
      <c r="R351">
        <v>1</v>
      </c>
      <c r="S351">
        <v>1</v>
      </c>
      <c r="T351">
        <v>1.02682</v>
      </c>
      <c r="U351">
        <v>1</v>
      </c>
      <c r="V351">
        <v>24.182</v>
      </c>
      <c r="W351">
        <v>20.698</v>
      </c>
      <c r="X351">
        <v>97.82299999999999</v>
      </c>
      <c r="Y351">
        <v>41.191</v>
      </c>
      <c r="Z351">
        <v>32.313</v>
      </c>
      <c r="AA351">
        <v>216.206</v>
      </c>
      <c r="AB351">
        <v>0.99825</v>
      </c>
      <c r="AC351">
        <v>217</v>
      </c>
      <c r="AD351">
        <v>0</v>
      </c>
      <c r="AG351">
        <v>22</v>
      </c>
      <c r="AH351">
        <v>19</v>
      </c>
      <c r="AI351">
        <v>90</v>
      </c>
      <c r="AJ351">
        <v>52</v>
      </c>
      <c r="AK351">
        <v>34</v>
      </c>
    </row>
    <row r="352" spans="1:37">
      <c r="A352" t="s">
        <v>415</v>
      </c>
      <c r="B352" t="s">
        <v>1751</v>
      </c>
      <c r="C352">
        <v>14.3</v>
      </c>
      <c r="D352" t="s">
        <v>82</v>
      </c>
      <c r="E352">
        <v>20</v>
      </c>
      <c r="F352">
        <v>0</v>
      </c>
      <c r="G352">
        <v>0</v>
      </c>
      <c r="I352">
        <v>1.06537</v>
      </c>
      <c r="J352">
        <v>1.03144</v>
      </c>
      <c r="K352">
        <v>0.98083</v>
      </c>
      <c r="L352">
        <v>1.03999</v>
      </c>
      <c r="M352">
        <v>0.90728</v>
      </c>
      <c r="N352">
        <v>0.97113</v>
      </c>
      <c r="O352">
        <v>1</v>
      </c>
      <c r="P352">
        <v>0.98511</v>
      </c>
      <c r="Q352">
        <v>1</v>
      </c>
      <c r="R352">
        <v>1</v>
      </c>
      <c r="S352">
        <v>1</v>
      </c>
      <c r="T352">
        <v>1.06383</v>
      </c>
      <c r="U352">
        <v>1</v>
      </c>
      <c r="V352">
        <v>85.477</v>
      </c>
      <c r="W352">
        <v>37.963</v>
      </c>
      <c r="X352">
        <v>67.49299999999999</v>
      </c>
      <c r="Y352">
        <v>15.122</v>
      </c>
      <c r="Z352">
        <v>25.964</v>
      </c>
      <c r="AA352">
        <v>232.019</v>
      </c>
      <c r="AB352">
        <v>0.87766</v>
      </c>
      <c r="AC352">
        <v>220</v>
      </c>
      <c r="AD352">
        <v>0</v>
      </c>
      <c r="AG352">
        <v>83</v>
      </c>
      <c r="AH352">
        <v>33</v>
      </c>
      <c r="AI352">
        <v>66</v>
      </c>
      <c r="AJ352">
        <v>11</v>
      </c>
      <c r="AK352">
        <v>27</v>
      </c>
    </row>
    <row r="353" spans="1:37">
      <c r="A353" t="s">
        <v>832</v>
      </c>
      <c r="B353" t="s">
        <v>1751</v>
      </c>
      <c r="C353">
        <v>12</v>
      </c>
      <c r="D353" t="s">
        <v>82</v>
      </c>
      <c r="E353">
        <v>21</v>
      </c>
      <c r="F353">
        <v>0</v>
      </c>
      <c r="G353">
        <v>0</v>
      </c>
      <c r="I353">
        <v>1.06556</v>
      </c>
      <c r="J353">
        <v>1.02574</v>
      </c>
      <c r="K353">
        <v>0.98083</v>
      </c>
      <c r="L353">
        <v>1.03993</v>
      </c>
      <c r="M353">
        <v>0.88278</v>
      </c>
      <c r="N353">
        <v>0.9484399999999999</v>
      </c>
      <c r="O353">
        <v>1</v>
      </c>
      <c r="P353">
        <v>0.98277</v>
      </c>
      <c r="Q353">
        <v>1</v>
      </c>
      <c r="R353">
        <v>1</v>
      </c>
      <c r="S353">
        <v>1</v>
      </c>
      <c r="T353">
        <v>1.06443</v>
      </c>
      <c r="U353">
        <v>1</v>
      </c>
      <c r="V353">
        <v>80.91</v>
      </c>
      <c r="W353">
        <v>37.69</v>
      </c>
      <c r="X353">
        <v>61.684</v>
      </c>
      <c r="Y353">
        <v>13.21</v>
      </c>
      <c r="Z353">
        <v>24.733</v>
      </c>
      <c r="AA353">
        <v>218.227</v>
      </c>
      <c r="AB353">
        <v>1.01148</v>
      </c>
      <c r="AC353">
        <v>204</v>
      </c>
      <c r="AD353">
        <v>0</v>
      </c>
      <c r="AG353">
        <v>74</v>
      </c>
      <c r="AH353">
        <v>31</v>
      </c>
      <c r="AI353">
        <v>59</v>
      </c>
      <c r="AJ353">
        <v>13</v>
      </c>
      <c r="AK353">
        <v>27</v>
      </c>
    </row>
    <row r="354" spans="1:37">
      <c r="A354" t="s">
        <v>833</v>
      </c>
      <c r="B354" t="s">
        <v>1751</v>
      </c>
      <c r="C354">
        <v>11.8</v>
      </c>
      <c r="D354" t="s">
        <v>82</v>
      </c>
      <c r="E354">
        <v>22</v>
      </c>
      <c r="F354">
        <v>0</v>
      </c>
      <c r="G354">
        <v>0</v>
      </c>
      <c r="I354">
        <v>1.06575</v>
      </c>
      <c r="J354">
        <v>1.02617</v>
      </c>
      <c r="K354">
        <v>0.98083</v>
      </c>
      <c r="L354">
        <v>1.03981</v>
      </c>
      <c r="M354">
        <v>0.90574</v>
      </c>
      <c r="N354">
        <v>0.94593</v>
      </c>
      <c r="O354">
        <v>1</v>
      </c>
      <c r="P354">
        <v>0.98006</v>
      </c>
      <c r="Q354">
        <v>1</v>
      </c>
      <c r="R354">
        <v>1</v>
      </c>
      <c r="S354">
        <v>1</v>
      </c>
      <c r="T354">
        <v>1.06348</v>
      </c>
      <c r="U354">
        <v>1</v>
      </c>
      <c r="V354">
        <v>80.892</v>
      </c>
      <c r="W354">
        <v>37.641</v>
      </c>
      <c r="X354">
        <v>65.044</v>
      </c>
      <c r="Y354">
        <v>14.32</v>
      </c>
      <c r="Z354">
        <v>25.11</v>
      </c>
      <c r="AA354">
        <v>223.006</v>
      </c>
      <c r="AB354">
        <v>1.04125</v>
      </c>
      <c r="AC354">
        <v>248</v>
      </c>
      <c r="AD354">
        <v>0</v>
      </c>
      <c r="AG354">
        <v>84</v>
      </c>
      <c r="AH354">
        <v>44</v>
      </c>
      <c r="AI354">
        <v>79</v>
      </c>
      <c r="AJ354">
        <v>18</v>
      </c>
      <c r="AK354">
        <v>23</v>
      </c>
    </row>
    <row r="355" spans="1:37">
      <c r="A355" t="s">
        <v>834</v>
      </c>
      <c r="B355" t="s">
        <v>1751</v>
      </c>
      <c r="C355">
        <v>13</v>
      </c>
      <c r="D355" t="s">
        <v>82</v>
      </c>
      <c r="E355">
        <v>23</v>
      </c>
      <c r="F355">
        <v>0</v>
      </c>
      <c r="G355">
        <v>0</v>
      </c>
      <c r="I355">
        <v>1.06593</v>
      </c>
      <c r="J355">
        <v>1.03311</v>
      </c>
      <c r="K355">
        <v>0.98083</v>
      </c>
      <c r="L355">
        <v>1.03965</v>
      </c>
      <c r="M355">
        <v>0.93763</v>
      </c>
      <c r="N355">
        <v>0.95516</v>
      </c>
      <c r="O355">
        <v>1</v>
      </c>
      <c r="P355">
        <v>0.9767400000000001</v>
      </c>
      <c r="Q355">
        <v>1</v>
      </c>
      <c r="R355">
        <v>1</v>
      </c>
      <c r="S355">
        <v>1</v>
      </c>
      <c r="T355">
        <v>1.06031</v>
      </c>
      <c r="U355">
        <v>1</v>
      </c>
      <c r="V355">
        <v>79.754</v>
      </c>
      <c r="W355">
        <v>35.936</v>
      </c>
      <c r="X355">
        <v>74.94</v>
      </c>
      <c r="Y355">
        <v>17.074</v>
      </c>
      <c r="Z355">
        <v>27.108</v>
      </c>
      <c r="AA355">
        <v>234.812</v>
      </c>
      <c r="AB355">
        <v>1.00584</v>
      </c>
      <c r="AC355">
        <v>219</v>
      </c>
      <c r="AD355">
        <v>0</v>
      </c>
      <c r="AG355">
        <v>79</v>
      </c>
      <c r="AH355">
        <v>28</v>
      </c>
      <c r="AI355">
        <v>63</v>
      </c>
      <c r="AJ355">
        <v>25</v>
      </c>
      <c r="AK355">
        <v>24</v>
      </c>
    </row>
    <row r="356" spans="1:37">
      <c r="A356" t="s">
        <v>835</v>
      </c>
      <c r="B356" t="s">
        <v>1752</v>
      </c>
      <c r="C356">
        <v>14.4</v>
      </c>
      <c r="D356" t="s">
        <v>82</v>
      </c>
      <c r="E356">
        <v>24</v>
      </c>
      <c r="F356">
        <v>0</v>
      </c>
      <c r="G356">
        <v>0</v>
      </c>
      <c r="I356">
        <v>1.06612</v>
      </c>
      <c r="J356">
        <v>1.0153</v>
      </c>
      <c r="K356">
        <v>0.98083</v>
      </c>
      <c r="L356">
        <v>1.03943</v>
      </c>
      <c r="M356">
        <v>1.12541</v>
      </c>
      <c r="N356">
        <v>0.96892</v>
      </c>
      <c r="O356">
        <v>1</v>
      </c>
      <c r="P356">
        <v>0.97122</v>
      </c>
      <c r="Q356">
        <v>1</v>
      </c>
      <c r="R356">
        <v>1</v>
      </c>
      <c r="S356">
        <v>1</v>
      </c>
      <c r="T356">
        <v>1.04938</v>
      </c>
      <c r="U356">
        <v>1</v>
      </c>
      <c r="V356">
        <v>73.52500000000001</v>
      </c>
      <c r="W356">
        <v>29.686</v>
      </c>
      <c r="X356">
        <v>116.048</v>
      </c>
      <c r="Y356">
        <v>29.372</v>
      </c>
      <c r="Z356">
        <v>32.214</v>
      </c>
      <c r="AA356">
        <v>280.845</v>
      </c>
      <c r="AB356">
        <v>0.97314</v>
      </c>
      <c r="AC356">
        <v>269</v>
      </c>
      <c r="AD356">
        <v>0</v>
      </c>
      <c r="AG356">
        <v>91</v>
      </c>
      <c r="AH356">
        <v>24</v>
      </c>
      <c r="AI356">
        <v>100</v>
      </c>
      <c r="AJ356">
        <v>30</v>
      </c>
      <c r="AK356">
        <v>24</v>
      </c>
    </row>
    <row r="357" spans="1:37">
      <c r="A357" t="s">
        <v>836</v>
      </c>
      <c r="B357" t="s">
        <v>1753</v>
      </c>
      <c r="C357">
        <v>15</v>
      </c>
      <c r="D357" t="s">
        <v>82</v>
      </c>
      <c r="E357">
        <v>25</v>
      </c>
      <c r="F357">
        <v>0</v>
      </c>
      <c r="G357">
        <v>0</v>
      </c>
      <c r="I357">
        <v>1.06631</v>
      </c>
      <c r="J357">
        <v>1.01355</v>
      </c>
      <c r="K357">
        <v>0.98083</v>
      </c>
      <c r="L357">
        <v>1.03917</v>
      </c>
      <c r="M357">
        <v>0.88523</v>
      </c>
      <c r="N357">
        <v>0.9704199999999999</v>
      </c>
      <c r="O357">
        <v>1</v>
      </c>
      <c r="P357">
        <v>0.96216</v>
      </c>
      <c r="Q357">
        <v>1</v>
      </c>
      <c r="R357">
        <v>1</v>
      </c>
      <c r="S357">
        <v>1</v>
      </c>
      <c r="T357">
        <v>1.02267</v>
      </c>
      <c r="U357">
        <v>1</v>
      </c>
      <c r="V357">
        <v>17.537</v>
      </c>
      <c r="W357">
        <v>12.941</v>
      </c>
      <c r="X357">
        <v>109.163</v>
      </c>
      <c r="Y357">
        <v>46.76</v>
      </c>
      <c r="Z357">
        <v>35.165</v>
      </c>
      <c r="AA357">
        <v>221.566</v>
      </c>
      <c r="AB357">
        <v>0.95006</v>
      </c>
      <c r="AC357">
        <v>183</v>
      </c>
      <c r="AD357">
        <v>0</v>
      </c>
      <c r="AG357">
        <v>19</v>
      </c>
      <c r="AH357">
        <v>7</v>
      </c>
      <c r="AI357">
        <v>78</v>
      </c>
      <c r="AJ357">
        <v>44</v>
      </c>
      <c r="AK357">
        <v>35</v>
      </c>
    </row>
    <row r="358" spans="1:37">
      <c r="A358" t="s">
        <v>837</v>
      </c>
      <c r="B358" t="s">
        <v>1754</v>
      </c>
      <c r="C358">
        <v>18</v>
      </c>
      <c r="D358" t="s">
        <v>82</v>
      </c>
      <c r="E358">
        <v>26</v>
      </c>
      <c r="F358">
        <v>0</v>
      </c>
      <c r="G358">
        <v>0</v>
      </c>
      <c r="I358">
        <v>1.0665</v>
      </c>
      <c r="J358">
        <v>1.02243</v>
      </c>
      <c r="K358">
        <v>0.98083</v>
      </c>
      <c r="L358">
        <v>1.03886</v>
      </c>
      <c r="M358">
        <v>0.8418600000000001</v>
      </c>
      <c r="N358">
        <v>1.02315</v>
      </c>
      <c r="O358">
        <v>1</v>
      </c>
      <c r="P358">
        <v>0.96043</v>
      </c>
      <c r="Q358">
        <v>1</v>
      </c>
      <c r="R358">
        <v>1</v>
      </c>
      <c r="S358">
        <v>1</v>
      </c>
      <c r="T358">
        <v>1.0273</v>
      </c>
      <c r="U358">
        <v>1</v>
      </c>
      <c r="V358">
        <v>24.103</v>
      </c>
      <c r="W358">
        <v>20.474</v>
      </c>
      <c r="X358">
        <v>100.674</v>
      </c>
      <c r="Y358">
        <v>41.715</v>
      </c>
      <c r="Z358">
        <v>32.634</v>
      </c>
      <c r="AA358">
        <v>219.599</v>
      </c>
      <c r="AB358">
        <v>0.99222</v>
      </c>
      <c r="AC358">
        <v>229</v>
      </c>
      <c r="AD358">
        <v>0</v>
      </c>
      <c r="AG358">
        <v>30</v>
      </c>
      <c r="AH358">
        <v>21</v>
      </c>
      <c r="AI358">
        <v>101</v>
      </c>
      <c r="AJ358">
        <v>41</v>
      </c>
      <c r="AK358">
        <v>36</v>
      </c>
    </row>
    <row r="359" spans="1:37">
      <c r="A359" t="s">
        <v>416</v>
      </c>
      <c r="B359" t="s">
        <v>1751</v>
      </c>
      <c r="C359">
        <v>18.3</v>
      </c>
      <c r="D359" t="s">
        <v>82</v>
      </c>
      <c r="E359">
        <v>27</v>
      </c>
      <c r="F359">
        <v>0</v>
      </c>
      <c r="G359">
        <v>0</v>
      </c>
      <c r="I359">
        <v>1.06668</v>
      </c>
      <c r="J359">
        <v>1.01682</v>
      </c>
      <c r="K359">
        <v>0.98083</v>
      </c>
      <c r="L359">
        <v>1.03852</v>
      </c>
      <c r="M359">
        <v>0.90334</v>
      </c>
      <c r="N359">
        <v>1.01243</v>
      </c>
      <c r="O359">
        <v>1</v>
      </c>
      <c r="P359">
        <v>0.96957</v>
      </c>
      <c r="Q359">
        <v>1</v>
      </c>
      <c r="R359">
        <v>1</v>
      </c>
      <c r="S359">
        <v>1</v>
      </c>
      <c r="T359">
        <v>1.06359</v>
      </c>
      <c r="U359">
        <v>1</v>
      </c>
      <c r="V359">
        <v>83.91500000000001</v>
      </c>
      <c r="W359">
        <v>37.019</v>
      </c>
      <c r="X359">
        <v>71.831</v>
      </c>
      <c r="Y359">
        <v>15.624</v>
      </c>
      <c r="Z359">
        <v>26.675</v>
      </c>
      <c r="AA359">
        <v>235.065</v>
      </c>
      <c r="AB359">
        <v>1.05156</v>
      </c>
      <c r="AC359">
        <v>214</v>
      </c>
      <c r="AD359">
        <v>0</v>
      </c>
      <c r="AG359">
        <v>70</v>
      </c>
      <c r="AH359">
        <v>30</v>
      </c>
      <c r="AI359">
        <v>75</v>
      </c>
      <c r="AJ359">
        <v>13</v>
      </c>
      <c r="AK359">
        <v>26</v>
      </c>
    </row>
    <row r="360" spans="1:37">
      <c r="A360" t="s">
        <v>838</v>
      </c>
      <c r="B360" t="s">
        <v>1751</v>
      </c>
      <c r="C360">
        <v>16.2</v>
      </c>
      <c r="D360" t="s">
        <v>82</v>
      </c>
      <c r="E360">
        <v>28</v>
      </c>
      <c r="F360">
        <v>0</v>
      </c>
      <c r="G360">
        <v>0</v>
      </c>
      <c r="I360">
        <v>1.06687</v>
      </c>
      <c r="J360">
        <v>1.02689</v>
      </c>
      <c r="K360">
        <v>0.98083</v>
      </c>
      <c r="L360">
        <v>1.03813</v>
      </c>
      <c r="M360">
        <v>0.87859</v>
      </c>
      <c r="N360">
        <v>0.99088</v>
      </c>
      <c r="O360">
        <v>1</v>
      </c>
      <c r="P360">
        <v>0.96979</v>
      </c>
      <c r="Q360">
        <v>1</v>
      </c>
      <c r="R360">
        <v>1</v>
      </c>
      <c r="S360">
        <v>1</v>
      </c>
      <c r="T360">
        <v>1.06396</v>
      </c>
      <c r="U360">
        <v>1</v>
      </c>
      <c r="V360">
        <v>80.724</v>
      </c>
      <c r="W360">
        <v>37.383</v>
      </c>
      <c r="X360">
        <v>67.373</v>
      </c>
      <c r="Y360">
        <v>13.962</v>
      </c>
      <c r="Z360">
        <v>26.047</v>
      </c>
      <c r="AA360">
        <v>225.489</v>
      </c>
      <c r="AB360">
        <v>1.05242</v>
      </c>
      <c r="AC360">
        <v>221</v>
      </c>
      <c r="AD360">
        <v>0</v>
      </c>
      <c r="AG360">
        <v>73</v>
      </c>
      <c r="AH360">
        <v>52</v>
      </c>
      <c r="AI360">
        <v>55</v>
      </c>
      <c r="AJ360">
        <v>18</v>
      </c>
      <c r="AK360">
        <v>23</v>
      </c>
    </row>
    <row r="361" spans="1:37">
      <c r="A361" t="s">
        <v>839</v>
      </c>
      <c r="B361" t="s">
        <v>1751</v>
      </c>
      <c r="C361">
        <v>14.6</v>
      </c>
      <c r="D361" t="s">
        <v>82</v>
      </c>
      <c r="E361">
        <v>29</v>
      </c>
      <c r="F361">
        <v>0</v>
      </c>
      <c r="G361">
        <v>0</v>
      </c>
      <c r="I361">
        <v>1.06706</v>
      </c>
      <c r="J361">
        <v>1.03074</v>
      </c>
      <c r="K361">
        <v>0.98083</v>
      </c>
      <c r="L361">
        <v>1.03771</v>
      </c>
      <c r="M361">
        <v>0.90377</v>
      </c>
      <c r="N361">
        <v>0.97377</v>
      </c>
      <c r="O361">
        <v>1</v>
      </c>
      <c r="P361">
        <v>0.96966</v>
      </c>
      <c r="Q361">
        <v>1</v>
      </c>
      <c r="R361">
        <v>1</v>
      </c>
      <c r="S361">
        <v>1</v>
      </c>
      <c r="T361">
        <v>1.06369</v>
      </c>
      <c r="U361">
        <v>1</v>
      </c>
      <c r="V361">
        <v>81.03700000000001</v>
      </c>
      <c r="W361">
        <v>37.518</v>
      </c>
      <c r="X361">
        <v>68.86799999999999</v>
      </c>
      <c r="Y361">
        <v>14.836</v>
      </c>
      <c r="Z361">
        <v>26.026</v>
      </c>
      <c r="AA361">
        <v>228.285</v>
      </c>
      <c r="AB361">
        <v>0.99505</v>
      </c>
      <c r="AC361">
        <v>240</v>
      </c>
      <c r="AD361">
        <v>0</v>
      </c>
      <c r="AG361">
        <v>90</v>
      </c>
      <c r="AH361">
        <v>43</v>
      </c>
      <c r="AI361">
        <v>63</v>
      </c>
      <c r="AJ361">
        <v>17</v>
      </c>
      <c r="AK361">
        <v>27</v>
      </c>
    </row>
    <row r="362" spans="1:37">
      <c r="A362" t="s">
        <v>840</v>
      </c>
      <c r="B362" t="s">
        <v>1751</v>
      </c>
      <c r="C362">
        <v>16.1</v>
      </c>
      <c r="D362" t="s">
        <v>82</v>
      </c>
      <c r="E362">
        <v>0</v>
      </c>
      <c r="F362">
        <v>0</v>
      </c>
      <c r="G362">
        <v>0</v>
      </c>
      <c r="I362">
        <v>1.06724</v>
      </c>
      <c r="J362">
        <v>1.02069</v>
      </c>
      <c r="K362">
        <v>0.98083</v>
      </c>
      <c r="L362">
        <v>1.03727</v>
      </c>
      <c r="M362">
        <v>0.93564</v>
      </c>
      <c r="N362">
        <v>0.99032</v>
      </c>
      <c r="O362">
        <v>1</v>
      </c>
      <c r="P362">
        <v>1.06303</v>
      </c>
      <c r="Q362">
        <v>1</v>
      </c>
      <c r="R362">
        <v>1</v>
      </c>
      <c r="S362">
        <v>1</v>
      </c>
      <c r="T362">
        <v>1.05761</v>
      </c>
      <c r="U362">
        <v>1</v>
      </c>
      <c r="V362">
        <v>81.878</v>
      </c>
      <c r="W362">
        <v>37.726</v>
      </c>
      <c r="X362">
        <v>90.503</v>
      </c>
      <c r="Y362">
        <v>20.113</v>
      </c>
      <c r="Z362">
        <v>31.781</v>
      </c>
      <c r="AA362">
        <v>262.001</v>
      </c>
      <c r="AB362">
        <v>1.0679</v>
      </c>
      <c r="AC362">
        <v>273</v>
      </c>
      <c r="AD362">
        <v>0</v>
      </c>
      <c r="AG362">
        <v>82</v>
      </c>
      <c r="AH362">
        <v>36</v>
      </c>
      <c r="AI362">
        <v>102</v>
      </c>
      <c r="AJ362">
        <v>16</v>
      </c>
      <c r="AK362">
        <v>37</v>
      </c>
    </row>
    <row r="363" spans="1:37">
      <c r="A363" t="s">
        <v>841</v>
      </c>
      <c r="B363" t="s">
        <v>1752</v>
      </c>
      <c r="C363">
        <v>16</v>
      </c>
      <c r="D363" t="s">
        <v>82</v>
      </c>
      <c r="E363">
        <v>1</v>
      </c>
      <c r="F363">
        <v>0</v>
      </c>
      <c r="G363">
        <v>0</v>
      </c>
      <c r="I363">
        <v>1.06743</v>
      </c>
      <c r="J363">
        <v>1.01943</v>
      </c>
      <c r="K363">
        <v>0.98083</v>
      </c>
      <c r="L363">
        <v>1.0368</v>
      </c>
      <c r="M363">
        <v>1.13675</v>
      </c>
      <c r="N363">
        <v>0.99214</v>
      </c>
      <c r="O363">
        <v>1</v>
      </c>
      <c r="P363">
        <v>1.04663</v>
      </c>
      <c r="Q363">
        <v>1</v>
      </c>
      <c r="R363">
        <v>1</v>
      </c>
      <c r="S363">
        <v>1</v>
      </c>
      <c r="T363">
        <v>1.04797</v>
      </c>
      <c r="U363">
        <v>1</v>
      </c>
      <c r="V363">
        <v>76.10899999999999</v>
      </c>
      <c r="W363">
        <v>31.274</v>
      </c>
      <c r="X363">
        <v>133.836</v>
      </c>
      <c r="Y363">
        <v>33.429</v>
      </c>
      <c r="Z363">
        <v>36.537</v>
      </c>
      <c r="AA363">
        <v>311.185</v>
      </c>
      <c r="AB363">
        <v>1.08674</v>
      </c>
      <c r="AC363">
        <v>341</v>
      </c>
      <c r="AD363">
        <v>0</v>
      </c>
      <c r="AG363">
        <v>85</v>
      </c>
      <c r="AH363">
        <v>31</v>
      </c>
      <c r="AI363">
        <v>153</v>
      </c>
      <c r="AJ363">
        <v>38</v>
      </c>
      <c r="AK363">
        <v>34</v>
      </c>
    </row>
    <row r="364" spans="1:37">
      <c r="A364" t="s">
        <v>842</v>
      </c>
      <c r="B364" t="s">
        <v>1753</v>
      </c>
      <c r="C364">
        <v>15.6</v>
      </c>
      <c r="D364" t="s">
        <v>82</v>
      </c>
      <c r="E364">
        <v>2</v>
      </c>
      <c r="F364">
        <v>0</v>
      </c>
      <c r="G364">
        <v>0</v>
      </c>
      <c r="I364">
        <v>1.06762</v>
      </c>
      <c r="J364">
        <v>1.02958</v>
      </c>
      <c r="K364">
        <v>0.98083</v>
      </c>
      <c r="L364">
        <v>1.03631</v>
      </c>
      <c r="M364">
        <v>0.90398</v>
      </c>
      <c r="N364">
        <v>0.98184</v>
      </c>
      <c r="O364">
        <v>1</v>
      </c>
      <c r="P364">
        <v>1.03713</v>
      </c>
      <c r="Q364">
        <v>1</v>
      </c>
      <c r="R364">
        <v>1</v>
      </c>
      <c r="S364">
        <v>1</v>
      </c>
      <c r="T364">
        <v>1.02261</v>
      </c>
      <c r="U364">
        <v>1</v>
      </c>
      <c r="V364">
        <v>18.274</v>
      </c>
      <c r="W364">
        <v>13.682</v>
      </c>
      <c r="X364">
        <v>122.171</v>
      </c>
      <c r="Y364">
        <v>52.049</v>
      </c>
      <c r="Z364">
        <v>39.09</v>
      </c>
      <c r="AA364">
        <v>245.266</v>
      </c>
      <c r="AB364">
        <v>0.97426</v>
      </c>
      <c r="AC364">
        <v>241</v>
      </c>
      <c r="AD364">
        <v>0</v>
      </c>
      <c r="AG364">
        <v>15</v>
      </c>
      <c r="AH364">
        <v>18</v>
      </c>
      <c r="AI364">
        <v>109</v>
      </c>
      <c r="AJ364">
        <v>49</v>
      </c>
      <c r="AK364">
        <v>50</v>
      </c>
    </row>
    <row r="365" spans="1:37">
      <c r="A365" t="s">
        <v>843</v>
      </c>
      <c r="B365" t="s">
        <v>1754</v>
      </c>
      <c r="C365">
        <v>14.8</v>
      </c>
      <c r="D365" t="s">
        <v>82</v>
      </c>
      <c r="E365">
        <v>3</v>
      </c>
      <c r="F365">
        <v>0</v>
      </c>
      <c r="G365">
        <v>0</v>
      </c>
      <c r="I365">
        <v>1.06781</v>
      </c>
      <c r="J365">
        <v>1.01279</v>
      </c>
      <c r="K365">
        <v>0.98083</v>
      </c>
      <c r="L365">
        <v>1.0358</v>
      </c>
      <c r="M365">
        <v>0.83748</v>
      </c>
      <c r="N365">
        <v>0.96846</v>
      </c>
      <c r="O365">
        <v>1</v>
      </c>
      <c r="P365">
        <v>1.02365</v>
      </c>
      <c r="Q365">
        <v>1</v>
      </c>
      <c r="R365">
        <v>1</v>
      </c>
      <c r="S365">
        <v>1</v>
      </c>
      <c r="T365">
        <v>1.02808</v>
      </c>
      <c r="U365">
        <v>1</v>
      </c>
      <c r="V365">
        <v>24.416</v>
      </c>
      <c r="W365">
        <v>21.007</v>
      </c>
      <c r="X365">
        <v>98.914</v>
      </c>
      <c r="Y365">
        <v>41.918</v>
      </c>
      <c r="Z365">
        <v>32.956</v>
      </c>
      <c r="AA365">
        <v>219.211</v>
      </c>
      <c r="AB365">
        <v>0.89546</v>
      </c>
      <c r="AC365">
        <v>185</v>
      </c>
      <c r="AD365">
        <v>0</v>
      </c>
      <c r="AG365">
        <v>24</v>
      </c>
      <c r="AH365">
        <v>16</v>
      </c>
      <c r="AI365">
        <v>85</v>
      </c>
      <c r="AJ365">
        <v>38</v>
      </c>
      <c r="AK365">
        <v>22</v>
      </c>
    </row>
    <row r="366" spans="1:37">
      <c r="A366" t="s">
        <v>417</v>
      </c>
      <c r="B366" t="s">
        <v>1751</v>
      </c>
      <c r="C366">
        <v>14.2</v>
      </c>
      <c r="D366" t="s">
        <v>82</v>
      </c>
      <c r="E366">
        <v>4</v>
      </c>
      <c r="F366">
        <v>0</v>
      </c>
      <c r="G366">
        <v>0</v>
      </c>
      <c r="I366">
        <v>1.06799</v>
      </c>
      <c r="J366">
        <v>1.02376</v>
      </c>
      <c r="K366">
        <v>0.98083</v>
      </c>
      <c r="L366">
        <v>1.03529</v>
      </c>
      <c r="M366">
        <v>0.90605</v>
      </c>
      <c r="N366">
        <v>0.96975</v>
      </c>
      <c r="O366">
        <v>1</v>
      </c>
      <c r="P366">
        <v>1.01202</v>
      </c>
      <c r="Q366">
        <v>1</v>
      </c>
      <c r="R366">
        <v>1</v>
      </c>
      <c r="S366">
        <v>1</v>
      </c>
      <c r="T366">
        <v>1.0658</v>
      </c>
      <c r="U366">
        <v>1</v>
      </c>
      <c r="V366">
        <v>86.151</v>
      </c>
      <c r="W366">
        <v>38.43</v>
      </c>
      <c r="X366">
        <v>69.547</v>
      </c>
      <c r="Y366">
        <v>15.573</v>
      </c>
      <c r="Z366">
        <v>26.741</v>
      </c>
      <c r="AA366">
        <v>236.443</v>
      </c>
      <c r="AB366">
        <v>1.06473</v>
      </c>
      <c r="AC366">
        <v>260</v>
      </c>
      <c r="AD366">
        <v>0</v>
      </c>
      <c r="AG366">
        <v>95</v>
      </c>
      <c r="AH366">
        <v>40</v>
      </c>
      <c r="AI366">
        <v>84</v>
      </c>
      <c r="AJ366">
        <v>11</v>
      </c>
      <c r="AK366">
        <v>30</v>
      </c>
    </row>
    <row r="367" spans="1:37">
      <c r="A367" t="s">
        <v>844</v>
      </c>
      <c r="B367" t="s">
        <v>1751</v>
      </c>
      <c r="C367">
        <v>15</v>
      </c>
      <c r="D367" t="s">
        <v>82</v>
      </c>
      <c r="E367">
        <v>5</v>
      </c>
      <c r="F367">
        <v>0</v>
      </c>
      <c r="G367">
        <v>0</v>
      </c>
      <c r="I367">
        <v>1.06818</v>
      </c>
      <c r="J367">
        <v>1.00585</v>
      </c>
      <c r="K367">
        <v>1.00023</v>
      </c>
      <c r="L367">
        <v>1.03463</v>
      </c>
      <c r="M367">
        <v>0.87808</v>
      </c>
      <c r="N367">
        <v>0.97767</v>
      </c>
      <c r="O367">
        <v>1</v>
      </c>
      <c r="P367">
        <v>1.00812</v>
      </c>
      <c r="Q367">
        <v>1</v>
      </c>
      <c r="R367">
        <v>1</v>
      </c>
      <c r="S367">
        <v>1</v>
      </c>
      <c r="T367">
        <v>1.06471</v>
      </c>
      <c r="U367">
        <v>1</v>
      </c>
      <c r="V367">
        <v>82.047</v>
      </c>
      <c r="W367">
        <v>38.376</v>
      </c>
      <c r="X367">
        <v>69.003</v>
      </c>
      <c r="Y367">
        <v>14.424</v>
      </c>
      <c r="Z367">
        <v>26.98</v>
      </c>
      <c r="AA367">
        <v>230.83</v>
      </c>
      <c r="AB367">
        <v>1.01561</v>
      </c>
      <c r="AC367">
        <v>220</v>
      </c>
      <c r="AD367">
        <v>0</v>
      </c>
      <c r="AG367">
        <v>76</v>
      </c>
      <c r="AH367">
        <v>44</v>
      </c>
      <c r="AI367">
        <v>59</v>
      </c>
      <c r="AJ367">
        <v>20</v>
      </c>
      <c r="AK367">
        <v>21</v>
      </c>
    </row>
    <row r="368" spans="1:37">
      <c r="A368" t="s">
        <v>845</v>
      </c>
      <c r="B368" t="s">
        <v>1751</v>
      </c>
      <c r="C368">
        <v>16</v>
      </c>
      <c r="D368" t="s">
        <v>82</v>
      </c>
      <c r="E368">
        <v>6</v>
      </c>
      <c r="F368">
        <v>0</v>
      </c>
      <c r="G368">
        <v>0</v>
      </c>
      <c r="I368">
        <v>1.06837</v>
      </c>
      <c r="J368">
        <v>1.00496</v>
      </c>
      <c r="K368">
        <v>1.00023</v>
      </c>
      <c r="L368">
        <v>1.03412</v>
      </c>
      <c r="M368">
        <v>0.9009</v>
      </c>
      <c r="N368">
        <v>0.98896</v>
      </c>
      <c r="O368">
        <v>1</v>
      </c>
      <c r="P368">
        <v>1.00554</v>
      </c>
      <c r="Q368">
        <v>1</v>
      </c>
      <c r="R368">
        <v>1</v>
      </c>
      <c r="S368">
        <v>1</v>
      </c>
      <c r="T368">
        <v>1.06299</v>
      </c>
      <c r="U368">
        <v>1</v>
      </c>
      <c r="V368">
        <v>81.874</v>
      </c>
      <c r="W368">
        <v>38.257</v>
      </c>
      <c r="X368">
        <v>74.899</v>
      </c>
      <c r="Y368">
        <v>15.949</v>
      </c>
      <c r="Z368">
        <v>27.892</v>
      </c>
      <c r="AA368">
        <v>238.87</v>
      </c>
      <c r="AB368">
        <v>0.92565</v>
      </c>
      <c r="AC368">
        <v>229</v>
      </c>
      <c r="AD368">
        <v>0</v>
      </c>
      <c r="AG368">
        <v>65</v>
      </c>
      <c r="AH368">
        <v>38</v>
      </c>
      <c r="AI368">
        <v>83</v>
      </c>
      <c r="AJ368">
        <v>19</v>
      </c>
      <c r="AK368">
        <v>24</v>
      </c>
    </row>
    <row r="369" spans="1:37">
      <c r="A369" t="s">
        <v>846</v>
      </c>
      <c r="B369" t="s">
        <v>1751</v>
      </c>
      <c r="C369">
        <v>18.1</v>
      </c>
      <c r="D369" t="s">
        <v>82</v>
      </c>
      <c r="E369">
        <v>7</v>
      </c>
      <c r="F369">
        <v>0</v>
      </c>
      <c r="G369">
        <v>0</v>
      </c>
      <c r="I369">
        <v>1.06855</v>
      </c>
      <c r="J369">
        <v>1.0159</v>
      </c>
      <c r="K369">
        <v>1.00023</v>
      </c>
      <c r="L369">
        <v>1.03361</v>
      </c>
      <c r="M369">
        <v>0.93603</v>
      </c>
      <c r="N369">
        <v>1.01324</v>
      </c>
      <c r="O369">
        <v>1</v>
      </c>
      <c r="P369">
        <v>1.00387</v>
      </c>
      <c r="Q369">
        <v>1</v>
      </c>
      <c r="R369">
        <v>1</v>
      </c>
      <c r="S369">
        <v>1</v>
      </c>
      <c r="T369">
        <v>1.05914</v>
      </c>
      <c r="U369">
        <v>1</v>
      </c>
      <c r="V369">
        <v>81.04300000000001</v>
      </c>
      <c r="W369">
        <v>36.683</v>
      </c>
      <c r="X369">
        <v>88.72499999999999</v>
      </c>
      <c r="Y369">
        <v>19.438</v>
      </c>
      <c r="Z369">
        <v>30.652</v>
      </c>
      <c r="AA369">
        <v>256.541</v>
      </c>
      <c r="AB369">
        <v>0.97335</v>
      </c>
      <c r="AC369">
        <v>237</v>
      </c>
      <c r="AD369">
        <v>0</v>
      </c>
      <c r="AG369">
        <v>79</v>
      </c>
      <c r="AH369">
        <v>27</v>
      </c>
      <c r="AI369">
        <v>79</v>
      </c>
      <c r="AJ369">
        <v>22</v>
      </c>
      <c r="AK369">
        <v>30</v>
      </c>
    </row>
    <row r="370" spans="1:37">
      <c r="A370" t="s">
        <v>847</v>
      </c>
      <c r="B370" t="s">
        <v>1752</v>
      </c>
      <c r="C370">
        <v>17.2</v>
      </c>
      <c r="D370" t="s">
        <v>82</v>
      </c>
      <c r="E370">
        <v>8</v>
      </c>
      <c r="F370">
        <v>0</v>
      </c>
      <c r="G370">
        <v>0</v>
      </c>
      <c r="I370">
        <v>1.06874</v>
      </c>
      <c r="J370">
        <v>1.01126</v>
      </c>
      <c r="K370">
        <v>1.00023</v>
      </c>
      <c r="L370">
        <v>1.03313</v>
      </c>
      <c r="M370">
        <v>1.1362</v>
      </c>
      <c r="N370">
        <v>1.00964</v>
      </c>
      <c r="O370">
        <v>1</v>
      </c>
      <c r="P370">
        <v>1.00285</v>
      </c>
      <c r="Q370">
        <v>1</v>
      </c>
      <c r="R370">
        <v>1</v>
      </c>
      <c r="S370">
        <v>1</v>
      </c>
      <c r="T370">
        <v>1.04921</v>
      </c>
      <c r="U370">
        <v>1</v>
      </c>
      <c r="V370">
        <v>75.691</v>
      </c>
      <c r="W370">
        <v>30.716</v>
      </c>
      <c r="X370">
        <v>131.851</v>
      </c>
      <c r="Y370">
        <v>32.626</v>
      </c>
      <c r="Z370">
        <v>35.587</v>
      </c>
      <c r="AA370">
        <v>306.472</v>
      </c>
      <c r="AB370">
        <v>0.99681</v>
      </c>
      <c r="AC370">
        <v>347</v>
      </c>
      <c r="AD370">
        <v>0</v>
      </c>
      <c r="AG370">
        <v>93</v>
      </c>
      <c r="AH370">
        <v>41</v>
      </c>
      <c r="AI370">
        <v>144</v>
      </c>
      <c r="AJ370">
        <v>34</v>
      </c>
      <c r="AK370">
        <v>35</v>
      </c>
    </row>
    <row r="371" spans="1:37">
      <c r="A371" t="s">
        <v>848</v>
      </c>
      <c r="B371" t="s">
        <v>1753</v>
      </c>
      <c r="C371">
        <v>18.8</v>
      </c>
      <c r="D371" t="s">
        <v>82</v>
      </c>
      <c r="E371">
        <v>9</v>
      </c>
      <c r="F371">
        <v>0</v>
      </c>
      <c r="G371">
        <v>0</v>
      </c>
      <c r="I371">
        <v>1.06893</v>
      </c>
      <c r="J371">
        <v>1.02207</v>
      </c>
      <c r="K371">
        <v>1.00023</v>
      </c>
      <c r="L371">
        <v>1.03266</v>
      </c>
      <c r="M371">
        <v>0.91513</v>
      </c>
      <c r="N371">
        <v>1.03905</v>
      </c>
      <c r="O371">
        <v>1</v>
      </c>
      <c r="P371">
        <v>1.00227</v>
      </c>
      <c r="Q371">
        <v>1</v>
      </c>
      <c r="R371">
        <v>1</v>
      </c>
      <c r="S371">
        <v>1</v>
      </c>
      <c r="T371">
        <v>1.02288</v>
      </c>
      <c r="U371">
        <v>1</v>
      </c>
      <c r="V371">
        <v>18.287</v>
      </c>
      <c r="W371">
        <v>13.571</v>
      </c>
      <c r="X371">
        <v>128.15</v>
      </c>
      <c r="Y371">
        <v>53.412</v>
      </c>
      <c r="Z371">
        <v>40.035</v>
      </c>
      <c r="AA371">
        <v>253.454</v>
      </c>
      <c r="AB371">
        <v>0.90923</v>
      </c>
      <c r="AC371">
        <v>246</v>
      </c>
      <c r="AD371">
        <v>0</v>
      </c>
      <c r="AG371">
        <v>11</v>
      </c>
      <c r="AH371">
        <v>9</v>
      </c>
      <c r="AI371">
        <v>124</v>
      </c>
      <c r="AJ371">
        <v>68</v>
      </c>
      <c r="AK371">
        <v>34</v>
      </c>
    </row>
    <row r="372" spans="1:37">
      <c r="A372" t="s">
        <v>849</v>
      </c>
      <c r="B372" t="s">
        <v>1754</v>
      </c>
      <c r="C372">
        <v>16.5</v>
      </c>
      <c r="D372" t="s">
        <v>82</v>
      </c>
      <c r="E372">
        <v>10</v>
      </c>
      <c r="F372">
        <v>0</v>
      </c>
      <c r="G372">
        <v>0</v>
      </c>
      <c r="I372">
        <v>1.06912</v>
      </c>
      <c r="J372">
        <v>1.03328</v>
      </c>
      <c r="K372">
        <v>1.00023</v>
      </c>
      <c r="L372">
        <v>1.03222</v>
      </c>
      <c r="M372">
        <v>0.84156</v>
      </c>
      <c r="N372">
        <v>0.99847</v>
      </c>
      <c r="O372">
        <v>1</v>
      </c>
      <c r="P372">
        <v>1.00144</v>
      </c>
      <c r="Q372">
        <v>1</v>
      </c>
      <c r="R372">
        <v>1</v>
      </c>
      <c r="S372">
        <v>1</v>
      </c>
      <c r="T372">
        <v>1.02847</v>
      </c>
      <c r="U372">
        <v>1</v>
      </c>
      <c r="V372">
        <v>25.204</v>
      </c>
      <c r="W372">
        <v>21.547</v>
      </c>
      <c r="X372">
        <v>104.776</v>
      </c>
      <c r="Y372">
        <v>43.795</v>
      </c>
      <c r="Z372">
        <v>34.305</v>
      </c>
      <c r="AA372">
        <v>229.627</v>
      </c>
      <c r="AB372">
        <v>0.9526</v>
      </c>
      <c r="AC372">
        <v>231</v>
      </c>
      <c r="AD372">
        <v>0</v>
      </c>
      <c r="AG372">
        <v>23</v>
      </c>
      <c r="AH372">
        <v>15</v>
      </c>
      <c r="AI372">
        <v>100</v>
      </c>
      <c r="AJ372">
        <v>46</v>
      </c>
      <c r="AK372">
        <v>47</v>
      </c>
    </row>
    <row r="373" spans="1:37">
      <c r="A373" t="s">
        <v>418</v>
      </c>
      <c r="B373" t="s">
        <v>1751</v>
      </c>
      <c r="C373">
        <v>15</v>
      </c>
      <c r="D373" t="s">
        <v>82</v>
      </c>
      <c r="E373">
        <v>11</v>
      </c>
      <c r="F373">
        <v>0</v>
      </c>
      <c r="G373">
        <v>0</v>
      </c>
      <c r="I373">
        <v>1.0693</v>
      </c>
      <c r="J373">
        <v>1.02592</v>
      </c>
      <c r="K373">
        <v>1.00023</v>
      </c>
      <c r="L373">
        <v>1.0318</v>
      </c>
      <c r="M373">
        <v>0.90573</v>
      </c>
      <c r="N373">
        <v>0.97842</v>
      </c>
      <c r="O373">
        <v>1</v>
      </c>
      <c r="P373">
        <v>1.00073</v>
      </c>
      <c r="Q373">
        <v>1</v>
      </c>
      <c r="R373">
        <v>1</v>
      </c>
      <c r="S373">
        <v>1</v>
      </c>
      <c r="T373">
        <v>1.06674</v>
      </c>
      <c r="U373">
        <v>1</v>
      </c>
      <c r="V373">
        <v>87.574</v>
      </c>
      <c r="W373">
        <v>38.882</v>
      </c>
      <c r="X373">
        <v>71.268</v>
      </c>
      <c r="Y373">
        <v>15.847</v>
      </c>
      <c r="Z373">
        <v>27.172</v>
      </c>
      <c r="AA373">
        <v>240.743</v>
      </c>
      <c r="AB373">
        <v>1.01008</v>
      </c>
      <c r="AC373">
        <v>231</v>
      </c>
      <c r="AD373">
        <v>0</v>
      </c>
      <c r="AG373">
        <v>77</v>
      </c>
      <c r="AH373">
        <v>42</v>
      </c>
      <c r="AI373">
        <v>66</v>
      </c>
      <c r="AJ373">
        <v>20</v>
      </c>
      <c r="AK373">
        <v>26</v>
      </c>
    </row>
    <row r="374" spans="1:37">
      <c r="A374" t="s">
        <v>850</v>
      </c>
      <c r="B374" t="s">
        <v>1751</v>
      </c>
      <c r="C374">
        <v>11.5</v>
      </c>
      <c r="D374" t="s">
        <v>82</v>
      </c>
      <c r="E374">
        <v>12</v>
      </c>
      <c r="F374">
        <v>0</v>
      </c>
      <c r="G374">
        <v>0</v>
      </c>
      <c r="I374">
        <v>1.06949</v>
      </c>
      <c r="J374">
        <v>1.03234</v>
      </c>
      <c r="K374">
        <v>1.00023</v>
      </c>
      <c r="L374">
        <v>1.03142</v>
      </c>
      <c r="M374">
        <v>0.89361</v>
      </c>
      <c r="N374">
        <v>0.92936</v>
      </c>
      <c r="O374">
        <v>1</v>
      </c>
      <c r="P374">
        <v>1.00049</v>
      </c>
      <c r="Q374">
        <v>1</v>
      </c>
      <c r="R374">
        <v>1</v>
      </c>
      <c r="S374">
        <v>1</v>
      </c>
      <c r="T374">
        <v>1.06564</v>
      </c>
      <c r="U374">
        <v>0.9076</v>
      </c>
      <c r="V374">
        <v>75.529</v>
      </c>
      <c r="W374">
        <v>31.291</v>
      </c>
      <c r="X374">
        <v>48.164</v>
      </c>
      <c r="Y374">
        <v>9.638999999999999</v>
      </c>
      <c r="Z374">
        <v>41.19</v>
      </c>
      <c r="AA374">
        <v>205.814</v>
      </c>
      <c r="AB374">
        <v>1.04464</v>
      </c>
      <c r="AC374">
        <v>216</v>
      </c>
      <c r="AD374">
        <v>0</v>
      </c>
      <c r="AE374" t="s">
        <v>314</v>
      </c>
      <c r="AG374">
        <v>70</v>
      </c>
      <c r="AH374">
        <v>26</v>
      </c>
      <c r="AI374">
        <v>61</v>
      </c>
      <c r="AJ374">
        <v>16</v>
      </c>
      <c r="AK374">
        <v>43</v>
      </c>
    </row>
    <row r="375" spans="1:37">
      <c r="A375" t="s">
        <v>851</v>
      </c>
      <c r="B375" t="s">
        <v>1751</v>
      </c>
      <c r="C375">
        <v>14.1</v>
      </c>
      <c r="D375" t="s">
        <v>82</v>
      </c>
      <c r="E375">
        <v>13</v>
      </c>
      <c r="F375">
        <v>0</v>
      </c>
      <c r="G375">
        <v>0</v>
      </c>
      <c r="I375">
        <v>1.06968</v>
      </c>
      <c r="J375">
        <v>1.0351</v>
      </c>
      <c r="K375">
        <v>1.00023</v>
      </c>
      <c r="L375">
        <v>1.03108</v>
      </c>
      <c r="M375">
        <v>0.90303</v>
      </c>
      <c r="N375">
        <v>0.968</v>
      </c>
      <c r="O375">
        <v>1</v>
      </c>
      <c r="P375">
        <v>1.00033</v>
      </c>
      <c r="Q375">
        <v>1</v>
      </c>
      <c r="R375">
        <v>1</v>
      </c>
      <c r="S375">
        <v>1</v>
      </c>
      <c r="T375">
        <v>1.06523</v>
      </c>
      <c r="U375">
        <v>1</v>
      </c>
      <c r="V375">
        <v>84.14700000000001</v>
      </c>
      <c r="W375">
        <v>39.211</v>
      </c>
      <c r="X375">
        <v>72.72799999999999</v>
      </c>
      <c r="Y375">
        <v>15.71</v>
      </c>
      <c r="Z375">
        <v>27.581</v>
      </c>
      <c r="AA375">
        <v>239.377</v>
      </c>
      <c r="AB375">
        <v>1.02407</v>
      </c>
      <c r="AC375">
        <v>257</v>
      </c>
      <c r="AD375">
        <v>0</v>
      </c>
      <c r="AG375">
        <v>91</v>
      </c>
      <c r="AH375">
        <v>48</v>
      </c>
      <c r="AI375">
        <v>71</v>
      </c>
      <c r="AJ375">
        <v>15</v>
      </c>
      <c r="AK375">
        <v>32</v>
      </c>
    </row>
    <row r="376" spans="1:37">
      <c r="A376" t="s">
        <v>852</v>
      </c>
      <c r="B376" t="s">
        <v>1751</v>
      </c>
      <c r="C376">
        <v>13.9</v>
      </c>
      <c r="D376" t="s">
        <v>82</v>
      </c>
      <c r="E376">
        <v>14</v>
      </c>
      <c r="F376">
        <v>0</v>
      </c>
      <c r="G376">
        <v>0</v>
      </c>
      <c r="I376">
        <v>1.06986</v>
      </c>
      <c r="J376">
        <v>1.03168</v>
      </c>
      <c r="K376">
        <v>1.00023</v>
      </c>
      <c r="L376">
        <v>1.03078</v>
      </c>
      <c r="M376">
        <v>0.93715</v>
      </c>
      <c r="N376">
        <v>0.9646400000000001</v>
      </c>
      <c r="O376">
        <v>1</v>
      </c>
      <c r="P376">
        <v>1.00023</v>
      </c>
      <c r="Q376">
        <v>1</v>
      </c>
      <c r="R376">
        <v>1</v>
      </c>
      <c r="S376">
        <v>1</v>
      </c>
      <c r="T376">
        <v>1.06249</v>
      </c>
      <c r="U376">
        <v>1</v>
      </c>
      <c r="V376">
        <v>82.19799999999999</v>
      </c>
      <c r="W376">
        <v>37.123</v>
      </c>
      <c r="X376">
        <v>80.58</v>
      </c>
      <c r="Y376">
        <v>18.196</v>
      </c>
      <c r="Z376">
        <v>28.878</v>
      </c>
      <c r="AA376">
        <v>246.975</v>
      </c>
      <c r="AB376">
        <v>1.0166</v>
      </c>
      <c r="AC376">
        <v>235</v>
      </c>
      <c r="AD376">
        <v>1</v>
      </c>
      <c r="AG376">
        <v>76</v>
      </c>
      <c r="AH376">
        <v>38</v>
      </c>
      <c r="AI376">
        <v>66</v>
      </c>
      <c r="AJ376">
        <v>22</v>
      </c>
      <c r="AK376">
        <v>33</v>
      </c>
    </row>
    <row r="377" spans="1:37">
      <c r="A377" t="s">
        <v>853</v>
      </c>
      <c r="B377" t="s">
        <v>1752</v>
      </c>
      <c r="C377">
        <v>14.5</v>
      </c>
      <c r="D377" t="s">
        <v>82</v>
      </c>
      <c r="E377">
        <v>15</v>
      </c>
      <c r="F377">
        <v>0</v>
      </c>
      <c r="G377">
        <v>0</v>
      </c>
      <c r="I377">
        <v>1.07005</v>
      </c>
      <c r="J377">
        <v>1.03649</v>
      </c>
      <c r="K377">
        <v>1.00023</v>
      </c>
      <c r="L377">
        <v>1.03053</v>
      </c>
      <c r="M377">
        <v>1.12785</v>
      </c>
      <c r="N377">
        <v>0.97018</v>
      </c>
      <c r="O377">
        <v>1</v>
      </c>
      <c r="P377">
        <v>0.99729</v>
      </c>
      <c r="Q377">
        <v>1</v>
      </c>
      <c r="R377">
        <v>1</v>
      </c>
      <c r="S377">
        <v>1</v>
      </c>
      <c r="T377">
        <v>1.05154</v>
      </c>
      <c r="U377">
        <v>1</v>
      </c>
      <c r="V377">
        <v>77.44799999999999</v>
      </c>
      <c r="W377">
        <v>31.347</v>
      </c>
      <c r="X377">
        <v>125.036</v>
      </c>
      <c r="Y377">
        <v>31.56</v>
      </c>
      <c r="Z377">
        <v>34.608</v>
      </c>
      <c r="AA377">
        <v>299.999</v>
      </c>
      <c r="AB377">
        <v>0.94693</v>
      </c>
      <c r="AC377">
        <v>263</v>
      </c>
      <c r="AD377">
        <v>0</v>
      </c>
      <c r="AG377">
        <v>68</v>
      </c>
      <c r="AH377">
        <v>32</v>
      </c>
      <c r="AI377">
        <v>112</v>
      </c>
      <c r="AJ377">
        <v>28</v>
      </c>
      <c r="AK377">
        <v>23</v>
      </c>
    </row>
    <row r="378" spans="1:37">
      <c r="A378" t="s">
        <v>854</v>
      </c>
      <c r="B378" t="s">
        <v>1753</v>
      </c>
      <c r="C378">
        <v>14</v>
      </c>
      <c r="D378" t="s">
        <v>82</v>
      </c>
      <c r="E378">
        <v>16</v>
      </c>
      <c r="F378">
        <v>0</v>
      </c>
      <c r="G378">
        <v>0</v>
      </c>
      <c r="I378">
        <v>1.07024</v>
      </c>
      <c r="J378">
        <v>1.03803</v>
      </c>
      <c r="K378">
        <v>1.00023</v>
      </c>
      <c r="L378">
        <v>1.03032</v>
      </c>
      <c r="M378">
        <v>0.88414</v>
      </c>
      <c r="N378">
        <v>0.95158</v>
      </c>
      <c r="O378">
        <v>1</v>
      </c>
      <c r="P378">
        <v>0.99327</v>
      </c>
      <c r="Q378">
        <v>1</v>
      </c>
      <c r="R378">
        <v>1</v>
      </c>
      <c r="S378">
        <v>1</v>
      </c>
      <c r="T378">
        <v>1.02422</v>
      </c>
      <c r="U378">
        <v>1</v>
      </c>
      <c r="V378">
        <v>18.53</v>
      </c>
      <c r="W378">
        <v>13.709</v>
      </c>
      <c r="X378">
        <v>114.634</v>
      </c>
      <c r="Y378">
        <v>49.397</v>
      </c>
      <c r="Z378">
        <v>37.214</v>
      </c>
      <c r="AA378">
        <v>233.484</v>
      </c>
      <c r="AB378">
        <v>1.02382</v>
      </c>
      <c r="AC378">
        <v>237</v>
      </c>
      <c r="AD378">
        <v>0</v>
      </c>
      <c r="AG378">
        <v>25</v>
      </c>
      <c r="AH378">
        <v>14</v>
      </c>
      <c r="AI378">
        <v>112</v>
      </c>
      <c r="AJ378">
        <v>58</v>
      </c>
      <c r="AK378">
        <v>28</v>
      </c>
    </row>
    <row r="379" spans="1:37">
      <c r="A379" t="s">
        <v>855</v>
      </c>
      <c r="B379" t="s">
        <v>1754</v>
      </c>
      <c r="C379">
        <v>13.5</v>
      </c>
      <c r="D379" t="s">
        <v>82</v>
      </c>
      <c r="E379">
        <v>17</v>
      </c>
      <c r="F379">
        <v>0</v>
      </c>
      <c r="G379">
        <v>0</v>
      </c>
      <c r="I379">
        <v>1.07043</v>
      </c>
      <c r="J379">
        <v>1.03246</v>
      </c>
      <c r="K379">
        <v>1.00023</v>
      </c>
      <c r="L379">
        <v>1.03017</v>
      </c>
      <c r="M379">
        <v>0.82574</v>
      </c>
      <c r="N379">
        <v>0.94672</v>
      </c>
      <c r="O379">
        <v>1</v>
      </c>
      <c r="P379">
        <v>0.99031</v>
      </c>
      <c r="Q379">
        <v>1</v>
      </c>
      <c r="R379">
        <v>1</v>
      </c>
      <c r="S379">
        <v>1</v>
      </c>
      <c r="T379">
        <v>1.0299</v>
      </c>
      <c r="U379">
        <v>1</v>
      </c>
      <c r="V379">
        <v>25.11</v>
      </c>
      <c r="W379">
        <v>21.389</v>
      </c>
      <c r="X379">
        <v>95.53400000000001</v>
      </c>
      <c r="Y379">
        <v>40.851</v>
      </c>
      <c r="Z379">
        <v>32.176</v>
      </c>
      <c r="AA379">
        <v>215.059</v>
      </c>
      <c r="AB379">
        <v>1.11554</v>
      </c>
      <c r="AC379">
        <v>213</v>
      </c>
      <c r="AD379">
        <v>0</v>
      </c>
      <c r="AG379">
        <v>21</v>
      </c>
      <c r="AH379">
        <v>22</v>
      </c>
      <c r="AI379">
        <v>96</v>
      </c>
      <c r="AJ379">
        <v>43</v>
      </c>
      <c r="AK379">
        <v>31</v>
      </c>
    </row>
    <row r="380" spans="1:37">
      <c r="A380" t="s">
        <v>419</v>
      </c>
      <c r="B380" t="s">
        <v>1751</v>
      </c>
      <c r="C380">
        <v>14.6</v>
      </c>
      <c r="D380" t="s">
        <v>82</v>
      </c>
      <c r="E380">
        <v>18</v>
      </c>
      <c r="F380">
        <v>0</v>
      </c>
      <c r="G380">
        <v>0</v>
      </c>
      <c r="I380">
        <v>1.07061</v>
      </c>
      <c r="J380">
        <v>1.02243</v>
      </c>
      <c r="K380">
        <v>1.00023</v>
      </c>
      <c r="L380">
        <v>1.03006</v>
      </c>
      <c r="M380">
        <v>0.90695</v>
      </c>
      <c r="N380">
        <v>0.9743000000000001</v>
      </c>
      <c r="O380">
        <v>1</v>
      </c>
      <c r="P380">
        <v>0.9901</v>
      </c>
      <c r="Q380">
        <v>1</v>
      </c>
      <c r="R380">
        <v>1</v>
      </c>
      <c r="S380">
        <v>1</v>
      </c>
      <c r="T380">
        <v>1.06822</v>
      </c>
      <c r="U380">
        <v>1</v>
      </c>
      <c r="V380">
        <v>86.95699999999999</v>
      </c>
      <c r="W380">
        <v>38.444</v>
      </c>
      <c r="X380">
        <v>69.157</v>
      </c>
      <c r="Y380">
        <v>15.417</v>
      </c>
      <c r="Z380">
        <v>26.457</v>
      </c>
      <c r="AA380">
        <v>236.433</v>
      </c>
      <c r="AB380">
        <v>1.00569</v>
      </c>
      <c r="AC380">
        <v>266</v>
      </c>
      <c r="AD380">
        <v>0</v>
      </c>
      <c r="AG380">
        <v>95</v>
      </c>
      <c r="AH380">
        <v>48</v>
      </c>
      <c r="AI380">
        <v>74</v>
      </c>
      <c r="AJ380">
        <v>19</v>
      </c>
      <c r="AK380">
        <v>30</v>
      </c>
    </row>
    <row r="381" spans="1:37">
      <c r="A381" t="s">
        <v>856</v>
      </c>
      <c r="B381" t="s">
        <v>1751</v>
      </c>
      <c r="C381">
        <v>15.1</v>
      </c>
      <c r="D381" t="s">
        <v>82</v>
      </c>
      <c r="E381">
        <v>19</v>
      </c>
      <c r="F381">
        <v>0</v>
      </c>
      <c r="G381">
        <v>0</v>
      </c>
      <c r="I381">
        <v>1.0708</v>
      </c>
      <c r="J381">
        <v>1.03142</v>
      </c>
      <c r="K381">
        <v>1.00023</v>
      </c>
      <c r="L381">
        <v>1.03001</v>
      </c>
      <c r="M381">
        <v>0.87918</v>
      </c>
      <c r="N381">
        <v>0.979</v>
      </c>
      <c r="O381">
        <v>1</v>
      </c>
      <c r="P381">
        <v>0.98753</v>
      </c>
      <c r="Q381">
        <v>1</v>
      </c>
      <c r="R381">
        <v>1</v>
      </c>
      <c r="S381">
        <v>1</v>
      </c>
      <c r="T381">
        <v>1.06719</v>
      </c>
      <c r="U381">
        <v>1</v>
      </c>
      <c r="V381">
        <v>83.477</v>
      </c>
      <c r="W381">
        <v>38.716</v>
      </c>
      <c r="X381">
        <v>68.724</v>
      </c>
      <c r="Y381">
        <v>14.337</v>
      </c>
      <c r="Z381">
        <v>26.812</v>
      </c>
      <c r="AA381">
        <v>232.067</v>
      </c>
      <c r="AB381">
        <v>0.97659</v>
      </c>
      <c r="AC381">
        <v>207</v>
      </c>
      <c r="AD381">
        <v>0</v>
      </c>
      <c r="AG381">
        <v>67</v>
      </c>
      <c r="AH381">
        <v>34</v>
      </c>
      <c r="AI381">
        <v>67</v>
      </c>
      <c r="AJ381">
        <v>20</v>
      </c>
      <c r="AK381">
        <v>19</v>
      </c>
    </row>
    <row r="382" spans="1:37">
      <c r="A382" t="s">
        <v>857</v>
      </c>
      <c r="B382" t="s">
        <v>1751</v>
      </c>
      <c r="C382">
        <v>16</v>
      </c>
      <c r="D382" t="s">
        <v>82</v>
      </c>
      <c r="E382">
        <v>20</v>
      </c>
      <c r="F382">
        <v>0</v>
      </c>
      <c r="G382">
        <v>0</v>
      </c>
      <c r="I382">
        <v>1.07099</v>
      </c>
      <c r="J382">
        <v>1.03462</v>
      </c>
      <c r="K382">
        <v>1.00023</v>
      </c>
      <c r="L382">
        <v>1.02999</v>
      </c>
      <c r="M382">
        <v>0.90189</v>
      </c>
      <c r="N382">
        <v>0.98909</v>
      </c>
      <c r="O382">
        <v>1</v>
      </c>
      <c r="P382">
        <v>0.98475</v>
      </c>
      <c r="Q382">
        <v>1</v>
      </c>
      <c r="R382">
        <v>1</v>
      </c>
      <c r="S382">
        <v>1</v>
      </c>
      <c r="T382">
        <v>1.06545</v>
      </c>
      <c r="U382">
        <v>1</v>
      </c>
      <c r="V382">
        <v>83.672</v>
      </c>
      <c r="W382">
        <v>38.772</v>
      </c>
      <c r="X382">
        <v>74.73999999999999</v>
      </c>
      <c r="Y382">
        <v>15.896</v>
      </c>
      <c r="Z382">
        <v>27.799</v>
      </c>
      <c r="AA382">
        <v>240.879</v>
      </c>
      <c r="AB382">
        <v>1.06672</v>
      </c>
      <c r="AC382">
        <v>222</v>
      </c>
      <c r="AD382">
        <v>0</v>
      </c>
      <c r="AG382">
        <v>84</v>
      </c>
      <c r="AH382">
        <v>39</v>
      </c>
      <c r="AI382">
        <v>55</v>
      </c>
      <c r="AJ382">
        <v>9</v>
      </c>
      <c r="AK382">
        <v>35</v>
      </c>
    </row>
    <row r="383" spans="1:37">
      <c r="A383" t="s">
        <v>858</v>
      </c>
      <c r="B383" t="s">
        <v>1751</v>
      </c>
      <c r="C383">
        <v>14.8</v>
      </c>
      <c r="D383" t="s">
        <v>82</v>
      </c>
      <c r="E383">
        <v>21</v>
      </c>
      <c r="F383">
        <v>0</v>
      </c>
      <c r="G383">
        <v>0</v>
      </c>
      <c r="I383">
        <v>1.07117</v>
      </c>
      <c r="J383">
        <v>1.05194</v>
      </c>
      <c r="K383">
        <v>1.00023</v>
      </c>
      <c r="L383">
        <v>1.02994</v>
      </c>
      <c r="M383">
        <v>0.9372200000000001</v>
      </c>
      <c r="N383">
        <v>0.97528</v>
      </c>
      <c r="O383">
        <v>1</v>
      </c>
      <c r="P383">
        <v>0.98177</v>
      </c>
      <c r="Q383">
        <v>1</v>
      </c>
      <c r="R383">
        <v>1</v>
      </c>
      <c r="S383">
        <v>1</v>
      </c>
      <c r="T383">
        <v>1.06332</v>
      </c>
      <c r="U383">
        <v>1</v>
      </c>
      <c r="V383">
        <v>83.303</v>
      </c>
      <c r="W383">
        <v>37.386</v>
      </c>
      <c r="X383">
        <v>81.97499999999999</v>
      </c>
      <c r="Y383">
        <v>18.37</v>
      </c>
      <c r="Z383">
        <v>29.11</v>
      </c>
      <c r="AA383">
        <v>250.144</v>
      </c>
      <c r="AB383">
        <v>0.95383</v>
      </c>
      <c r="AC383">
        <v>264</v>
      </c>
      <c r="AD383">
        <v>0</v>
      </c>
      <c r="AG383">
        <v>90</v>
      </c>
      <c r="AH383">
        <v>38</v>
      </c>
      <c r="AI383">
        <v>87</v>
      </c>
      <c r="AJ383">
        <v>16</v>
      </c>
      <c r="AK383">
        <v>33</v>
      </c>
    </row>
    <row r="384" spans="1:37">
      <c r="A384" t="s">
        <v>859</v>
      </c>
      <c r="B384" t="s">
        <v>1752</v>
      </c>
      <c r="C384">
        <v>16.8</v>
      </c>
      <c r="D384" t="s">
        <v>82</v>
      </c>
      <c r="E384">
        <v>22</v>
      </c>
      <c r="F384">
        <v>0</v>
      </c>
      <c r="G384">
        <v>0</v>
      </c>
      <c r="I384">
        <v>1.07136</v>
      </c>
      <c r="J384">
        <v>1.0583</v>
      </c>
      <c r="K384">
        <v>1.00023</v>
      </c>
      <c r="L384">
        <v>1.02983</v>
      </c>
      <c r="M384">
        <v>1.13257</v>
      </c>
      <c r="N384">
        <v>1.00394</v>
      </c>
      <c r="O384">
        <v>1</v>
      </c>
      <c r="P384">
        <v>0.97676</v>
      </c>
      <c r="Q384">
        <v>1</v>
      </c>
      <c r="R384">
        <v>1</v>
      </c>
      <c r="S384">
        <v>1</v>
      </c>
      <c r="T384">
        <v>1.0515</v>
      </c>
      <c r="U384">
        <v>1</v>
      </c>
      <c r="V384">
        <v>78.607</v>
      </c>
      <c r="W384">
        <v>31.618</v>
      </c>
      <c r="X384">
        <v>132.124</v>
      </c>
      <c r="Y384">
        <v>32.747</v>
      </c>
      <c r="Z384">
        <v>35.737</v>
      </c>
      <c r="AA384">
        <v>310.833</v>
      </c>
      <c r="AB384">
        <v>1.04474</v>
      </c>
      <c r="AC384">
        <v>309</v>
      </c>
      <c r="AD384">
        <v>0</v>
      </c>
      <c r="AG384">
        <v>77</v>
      </c>
      <c r="AH384">
        <v>33</v>
      </c>
      <c r="AI384">
        <v>125</v>
      </c>
      <c r="AJ384">
        <v>39</v>
      </c>
      <c r="AK384">
        <v>35</v>
      </c>
    </row>
    <row r="385" spans="1:37">
      <c r="A385" t="s">
        <v>860</v>
      </c>
      <c r="B385" t="s">
        <v>1753</v>
      </c>
      <c r="C385">
        <v>16.7</v>
      </c>
      <c r="D385" t="s">
        <v>82</v>
      </c>
      <c r="E385">
        <v>23</v>
      </c>
      <c r="F385">
        <v>0</v>
      </c>
      <c r="G385">
        <v>0</v>
      </c>
      <c r="I385">
        <v>1.07155</v>
      </c>
      <c r="J385">
        <v>1.05502</v>
      </c>
      <c r="K385">
        <v>1.00023</v>
      </c>
      <c r="L385">
        <v>1.02968</v>
      </c>
      <c r="M385">
        <v>0.89618</v>
      </c>
      <c r="N385">
        <v>1.00301</v>
      </c>
      <c r="O385">
        <v>1</v>
      </c>
      <c r="P385">
        <v>0.96897</v>
      </c>
      <c r="Q385">
        <v>1</v>
      </c>
      <c r="R385">
        <v>1</v>
      </c>
      <c r="S385">
        <v>1</v>
      </c>
      <c r="T385">
        <v>1.02434</v>
      </c>
      <c r="U385">
        <v>1</v>
      </c>
      <c r="V385">
        <v>18.722</v>
      </c>
      <c r="W385">
        <v>13.765</v>
      </c>
      <c r="X385">
        <v>121.865</v>
      </c>
      <c r="Y385">
        <v>51.399</v>
      </c>
      <c r="Z385">
        <v>38.513</v>
      </c>
      <c r="AA385">
        <v>244.264</v>
      </c>
      <c r="AB385">
        <v>0.91876</v>
      </c>
      <c r="AC385">
        <v>219</v>
      </c>
      <c r="AD385">
        <v>0</v>
      </c>
      <c r="AG385">
        <v>18</v>
      </c>
      <c r="AH385">
        <v>12</v>
      </c>
      <c r="AI385">
        <v>121</v>
      </c>
      <c r="AJ385">
        <v>38</v>
      </c>
      <c r="AK385">
        <v>30</v>
      </c>
    </row>
    <row r="386" spans="1:37">
      <c r="A386" t="s">
        <v>861</v>
      </c>
      <c r="B386" t="s">
        <v>1754</v>
      </c>
      <c r="C386">
        <v>15.8</v>
      </c>
      <c r="D386" t="s">
        <v>82</v>
      </c>
      <c r="E386">
        <v>24</v>
      </c>
      <c r="F386">
        <v>0</v>
      </c>
      <c r="G386">
        <v>0</v>
      </c>
      <c r="I386">
        <v>1.07174</v>
      </c>
      <c r="J386">
        <v>1.05843</v>
      </c>
      <c r="K386">
        <v>1.00023</v>
      </c>
      <c r="L386">
        <v>1.02947</v>
      </c>
      <c r="M386">
        <v>0.8324</v>
      </c>
      <c r="N386">
        <v>0.98627</v>
      </c>
      <c r="O386">
        <v>1</v>
      </c>
      <c r="P386">
        <v>0.96721</v>
      </c>
      <c r="Q386">
        <v>1</v>
      </c>
      <c r="R386">
        <v>1</v>
      </c>
      <c r="S386">
        <v>1</v>
      </c>
      <c r="T386">
        <v>1.03002</v>
      </c>
      <c r="U386">
        <v>1</v>
      </c>
      <c r="V386">
        <v>25.587</v>
      </c>
      <c r="W386">
        <v>21.66</v>
      </c>
      <c r="X386">
        <v>101.374</v>
      </c>
      <c r="Y386">
        <v>42.549</v>
      </c>
      <c r="Z386">
        <v>33.378</v>
      </c>
      <c r="AA386">
        <v>224.549</v>
      </c>
      <c r="AB386">
        <v>1.02541</v>
      </c>
      <c r="AC386">
        <v>267</v>
      </c>
      <c r="AD386">
        <v>0</v>
      </c>
      <c r="AG386">
        <v>27</v>
      </c>
      <c r="AH386">
        <v>19</v>
      </c>
      <c r="AI386">
        <v>118</v>
      </c>
      <c r="AJ386">
        <v>54</v>
      </c>
      <c r="AK386">
        <v>49</v>
      </c>
    </row>
    <row r="387" spans="1:37">
      <c r="A387" t="s">
        <v>420</v>
      </c>
      <c r="B387" t="s">
        <v>1751</v>
      </c>
      <c r="C387">
        <v>14.1</v>
      </c>
      <c r="D387" t="s">
        <v>82</v>
      </c>
      <c r="E387">
        <v>25</v>
      </c>
      <c r="F387">
        <v>0</v>
      </c>
      <c r="G387">
        <v>0</v>
      </c>
      <c r="I387">
        <v>1.07192</v>
      </c>
      <c r="J387">
        <v>1.06857</v>
      </c>
      <c r="K387">
        <v>1.00023</v>
      </c>
      <c r="L387">
        <v>1.02922</v>
      </c>
      <c r="M387">
        <v>0.90872</v>
      </c>
      <c r="N387">
        <v>0.96939</v>
      </c>
      <c r="O387">
        <v>1</v>
      </c>
      <c r="P387">
        <v>0.97274</v>
      </c>
      <c r="Q387">
        <v>1</v>
      </c>
      <c r="R387">
        <v>1</v>
      </c>
      <c r="S387">
        <v>1</v>
      </c>
      <c r="T387">
        <v>1.06988</v>
      </c>
      <c r="U387">
        <v>1</v>
      </c>
      <c r="V387">
        <v>90.31999999999999</v>
      </c>
      <c r="W387">
        <v>39.684</v>
      </c>
      <c r="X387">
        <v>69.494</v>
      </c>
      <c r="Y387">
        <v>15.546</v>
      </c>
      <c r="Z387">
        <v>26.699</v>
      </c>
      <c r="AA387">
        <v>241.743</v>
      </c>
      <c r="AB387">
        <v>1.03864</v>
      </c>
      <c r="AC387">
        <v>260</v>
      </c>
      <c r="AD387">
        <v>0</v>
      </c>
      <c r="AG387">
        <v>79</v>
      </c>
      <c r="AH387">
        <v>48</v>
      </c>
      <c r="AI387">
        <v>87</v>
      </c>
      <c r="AJ387">
        <v>12</v>
      </c>
      <c r="AK387">
        <v>34</v>
      </c>
    </row>
    <row r="388" spans="1:37">
      <c r="A388" t="s">
        <v>862</v>
      </c>
      <c r="B388" t="s">
        <v>1751</v>
      </c>
      <c r="C388">
        <v>14.8</v>
      </c>
      <c r="D388" t="s">
        <v>82</v>
      </c>
      <c r="E388">
        <v>26</v>
      </c>
      <c r="F388">
        <v>0</v>
      </c>
      <c r="G388">
        <v>0</v>
      </c>
      <c r="I388">
        <v>1.07211</v>
      </c>
      <c r="J388">
        <v>1.06373</v>
      </c>
      <c r="K388">
        <v>1.00023</v>
      </c>
      <c r="L388">
        <v>1.02892</v>
      </c>
      <c r="M388">
        <v>0.88059</v>
      </c>
      <c r="N388">
        <v>0.97603</v>
      </c>
      <c r="O388">
        <v>1</v>
      </c>
      <c r="P388">
        <v>0.97005</v>
      </c>
      <c r="Q388">
        <v>1</v>
      </c>
      <c r="R388">
        <v>1</v>
      </c>
      <c r="S388">
        <v>1</v>
      </c>
      <c r="T388">
        <v>1.06869</v>
      </c>
      <c r="U388">
        <v>1</v>
      </c>
      <c r="V388">
        <v>85.53700000000001</v>
      </c>
      <c r="W388">
        <v>39.426</v>
      </c>
      <c r="X388">
        <v>68.477</v>
      </c>
      <c r="Y388">
        <v>14.312</v>
      </c>
      <c r="Z388">
        <v>26.782</v>
      </c>
      <c r="AA388">
        <v>234.534</v>
      </c>
      <c r="AB388">
        <v>1.02386</v>
      </c>
      <c r="AC388">
        <v>213</v>
      </c>
      <c r="AD388">
        <v>0</v>
      </c>
      <c r="AG388">
        <v>83</v>
      </c>
      <c r="AH388">
        <v>36</v>
      </c>
      <c r="AI388">
        <v>53</v>
      </c>
      <c r="AJ388">
        <v>17</v>
      </c>
      <c r="AK388">
        <v>24</v>
      </c>
    </row>
    <row r="389" spans="1:37">
      <c r="A389" t="s">
        <v>863</v>
      </c>
      <c r="B389" t="s">
        <v>1751</v>
      </c>
      <c r="C389">
        <v>13.4</v>
      </c>
      <c r="D389" t="s">
        <v>82</v>
      </c>
      <c r="E389">
        <v>27</v>
      </c>
      <c r="F389">
        <v>0</v>
      </c>
      <c r="G389">
        <v>0</v>
      </c>
      <c r="I389">
        <v>1.0723</v>
      </c>
      <c r="J389">
        <v>1.06795</v>
      </c>
      <c r="K389">
        <v>1.00023</v>
      </c>
      <c r="L389">
        <v>1.02858</v>
      </c>
      <c r="M389">
        <v>0.90512</v>
      </c>
      <c r="N389">
        <v>0.96131</v>
      </c>
      <c r="O389">
        <v>1</v>
      </c>
      <c r="P389">
        <v>0.96989</v>
      </c>
      <c r="Q389">
        <v>1</v>
      </c>
      <c r="R389">
        <v>1</v>
      </c>
      <c r="S389">
        <v>1</v>
      </c>
      <c r="T389">
        <v>1.06819</v>
      </c>
      <c r="U389">
        <v>1</v>
      </c>
      <c r="V389">
        <v>85.878</v>
      </c>
      <c r="W389">
        <v>39.579</v>
      </c>
      <c r="X389">
        <v>70.43000000000001</v>
      </c>
      <c r="Y389">
        <v>15.28</v>
      </c>
      <c r="Z389">
        <v>26.843</v>
      </c>
      <c r="AA389">
        <v>238.01</v>
      </c>
      <c r="AB389">
        <v>0.9368300000000001</v>
      </c>
      <c r="AC389">
        <v>216</v>
      </c>
      <c r="AD389">
        <v>0</v>
      </c>
      <c r="AG389">
        <v>84</v>
      </c>
      <c r="AH389">
        <v>36</v>
      </c>
      <c r="AI389">
        <v>57</v>
      </c>
      <c r="AJ389">
        <v>13</v>
      </c>
      <c r="AK389">
        <v>26</v>
      </c>
    </row>
    <row r="390" spans="1:37">
      <c r="A390" t="s">
        <v>864</v>
      </c>
      <c r="B390" t="s">
        <v>1751</v>
      </c>
      <c r="C390">
        <v>14.7</v>
      </c>
      <c r="D390" t="s">
        <v>82</v>
      </c>
      <c r="E390">
        <v>28</v>
      </c>
      <c r="F390">
        <v>0</v>
      </c>
      <c r="G390">
        <v>0</v>
      </c>
      <c r="I390">
        <v>1.07249</v>
      </c>
      <c r="J390">
        <v>1.05725</v>
      </c>
      <c r="K390">
        <v>1.00023</v>
      </c>
      <c r="L390">
        <v>1.0282</v>
      </c>
      <c r="M390">
        <v>0.93748</v>
      </c>
      <c r="N390">
        <v>0.97428</v>
      </c>
      <c r="O390">
        <v>1</v>
      </c>
      <c r="P390">
        <v>0.96875</v>
      </c>
      <c r="Q390">
        <v>1</v>
      </c>
      <c r="R390">
        <v>1</v>
      </c>
      <c r="S390">
        <v>1</v>
      </c>
      <c r="T390">
        <v>1.06449</v>
      </c>
      <c r="U390">
        <v>1</v>
      </c>
      <c r="V390">
        <v>83.31399999999999</v>
      </c>
      <c r="W390">
        <v>37.219</v>
      </c>
      <c r="X390">
        <v>80.59</v>
      </c>
      <c r="Y390">
        <v>18.064</v>
      </c>
      <c r="Z390">
        <v>28.632</v>
      </c>
      <c r="AA390">
        <v>247.819</v>
      </c>
      <c r="AB390">
        <v>0.9686399999999999</v>
      </c>
      <c r="AC390">
        <v>217</v>
      </c>
      <c r="AD390">
        <v>0</v>
      </c>
      <c r="AG390">
        <v>67</v>
      </c>
      <c r="AH390">
        <v>33</v>
      </c>
      <c r="AI390">
        <v>64</v>
      </c>
      <c r="AJ390">
        <v>23</v>
      </c>
      <c r="AK390">
        <v>30</v>
      </c>
    </row>
    <row r="391" spans="1:37">
      <c r="A391" t="s">
        <v>865</v>
      </c>
      <c r="B391" t="s">
        <v>1752</v>
      </c>
      <c r="C391">
        <v>14.3</v>
      </c>
      <c r="D391" t="s">
        <v>82</v>
      </c>
      <c r="E391">
        <v>0</v>
      </c>
      <c r="F391">
        <v>0</v>
      </c>
      <c r="G391">
        <v>0</v>
      </c>
      <c r="I391">
        <v>1.07267</v>
      </c>
      <c r="J391">
        <v>1.05175</v>
      </c>
      <c r="K391">
        <v>1.00023</v>
      </c>
      <c r="L391">
        <v>1.02778</v>
      </c>
      <c r="M391">
        <v>1.13334</v>
      </c>
      <c r="N391">
        <v>0.96669</v>
      </c>
      <c r="O391">
        <v>1</v>
      </c>
      <c r="P391">
        <v>1.06898</v>
      </c>
      <c r="Q391">
        <v>1</v>
      </c>
      <c r="R391">
        <v>1</v>
      </c>
      <c r="S391">
        <v>1</v>
      </c>
      <c r="T391">
        <v>1.0514</v>
      </c>
      <c r="U391">
        <v>1</v>
      </c>
      <c r="V391">
        <v>80.996</v>
      </c>
      <c r="W391">
        <v>33.327</v>
      </c>
      <c r="X391">
        <v>138.174</v>
      </c>
      <c r="Y391">
        <v>34.894</v>
      </c>
      <c r="Z391">
        <v>38.276</v>
      </c>
      <c r="AA391">
        <v>325.668</v>
      </c>
      <c r="AB391">
        <v>1.03486</v>
      </c>
      <c r="AC391">
        <v>315</v>
      </c>
      <c r="AD391">
        <v>0</v>
      </c>
      <c r="AG391">
        <v>85</v>
      </c>
      <c r="AH391">
        <v>28</v>
      </c>
      <c r="AI391">
        <v>119</v>
      </c>
      <c r="AJ391">
        <v>44</v>
      </c>
      <c r="AK391">
        <v>39</v>
      </c>
    </row>
    <row r="392" spans="1:37">
      <c r="A392" t="s">
        <v>866</v>
      </c>
      <c r="B392" t="s">
        <v>1753</v>
      </c>
      <c r="C392">
        <v>15.3</v>
      </c>
      <c r="D392" t="s">
        <v>82</v>
      </c>
      <c r="E392">
        <v>1</v>
      </c>
      <c r="F392">
        <v>0</v>
      </c>
      <c r="G392">
        <v>0</v>
      </c>
      <c r="I392">
        <v>1.07286</v>
      </c>
      <c r="J392">
        <v>1.05325</v>
      </c>
      <c r="K392">
        <v>1.00023</v>
      </c>
      <c r="L392">
        <v>1.02734</v>
      </c>
      <c r="M392">
        <v>0.90432</v>
      </c>
      <c r="N392">
        <v>0.97604</v>
      </c>
      <c r="O392">
        <v>1</v>
      </c>
      <c r="P392">
        <v>1.05535</v>
      </c>
      <c r="Q392">
        <v>1</v>
      </c>
      <c r="R392">
        <v>1</v>
      </c>
      <c r="S392">
        <v>1</v>
      </c>
      <c r="T392">
        <v>1.02434</v>
      </c>
      <c r="U392">
        <v>1</v>
      </c>
      <c r="V392">
        <v>19.226</v>
      </c>
      <c r="W392">
        <v>14.392</v>
      </c>
      <c r="X392">
        <v>128.667</v>
      </c>
      <c r="Y392">
        <v>54.818</v>
      </c>
      <c r="Z392">
        <v>41.198</v>
      </c>
      <c r="AA392">
        <v>258.301</v>
      </c>
      <c r="AB392">
        <v>0.99396</v>
      </c>
      <c r="AC392">
        <v>241</v>
      </c>
      <c r="AD392">
        <v>0</v>
      </c>
      <c r="AG392">
        <v>15</v>
      </c>
      <c r="AH392">
        <v>10</v>
      </c>
      <c r="AI392">
        <v>138</v>
      </c>
      <c r="AJ392">
        <v>40</v>
      </c>
      <c r="AK392">
        <v>38</v>
      </c>
    </row>
    <row r="393" spans="1:37">
      <c r="A393" t="s">
        <v>867</v>
      </c>
      <c r="B393" t="s">
        <v>1754</v>
      </c>
      <c r="C393">
        <v>15.2</v>
      </c>
      <c r="D393" t="s">
        <v>82</v>
      </c>
      <c r="E393">
        <v>2</v>
      </c>
      <c r="F393">
        <v>0</v>
      </c>
      <c r="G393">
        <v>0</v>
      </c>
      <c r="I393">
        <v>1.07305</v>
      </c>
      <c r="J393">
        <v>1.07378</v>
      </c>
      <c r="K393">
        <v>1.00023</v>
      </c>
      <c r="L393">
        <v>1.02687</v>
      </c>
      <c r="M393">
        <v>0.84019</v>
      </c>
      <c r="N393">
        <v>0.9755</v>
      </c>
      <c r="O393">
        <v>1</v>
      </c>
      <c r="P393">
        <v>1.0353</v>
      </c>
      <c r="Q393">
        <v>1</v>
      </c>
      <c r="R393">
        <v>1</v>
      </c>
      <c r="S393">
        <v>1</v>
      </c>
      <c r="T393">
        <v>1.02986</v>
      </c>
      <c r="U393">
        <v>1</v>
      </c>
      <c r="V393">
        <v>26.569</v>
      </c>
      <c r="W393">
        <v>22.829</v>
      </c>
      <c r="X393">
        <v>109.331</v>
      </c>
      <c r="Y393">
        <v>46.081</v>
      </c>
      <c r="Z393">
        <v>36.198</v>
      </c>
      <c r="AA393">
        <v>241.007</v>
      </c>
      <c r="AB393">
        <v>0.89772</v>
      </c>
      <c r="AC393">
        <v>195</v>
      </c>
      <c r="AD393">
        <v>0</v>
      </c>
      <c r="AG393">
        <v>22</v>
      </c>
      <c r="AH393">
        <v>21</v>
      </c>
      <c r="AI393">
        <v>87</v>
      </c>
      <c r="AJ393">
        <v>35</v>
      </c>
      <c r="AK393">
        <v>30</v>
      </c>
    </row>
    <row r="394" spans="1:37">
      <c r="A394" t="s">
        <v>421</v>
      </c>
      <c r="B394" t="s">
        <v>1751</v>
      </c>
      <c r="C394">
        <v>17.6</v>
      </c>
      <c r="D394" t="s">
        <v>82</v>
      </c>
      <c r="E394">
        <v>3</v>
      </c>
      <c r="F394">
        <v>0</v>
      </c>
      <c r="G394">
        <v>0</v>
      </c>
      <c r="I394">
        <v>1.07323</v>
      </c>
      <c r="J394">
        <v>1.05937</v>
      </c>
      <c r="K394">
        <v>1.00023</v>
      </c>
      <c r="L394">
        <v>1.02639</v>
      </c>
      <c r="M394">
        <v>0.90163</v>
      </c>
      <c r="N394">
        <v>1.00602</v>
      </c>
      <c r="O394">
        <v>1</v>
      </c>
      <c r="P394">
        <v>1.01825</v>
      </c>
      <c r="Q394">
        <v>1</v>
      </c>
      <c r="R394">
        <v>1</v>
      </c>
      <c r="S394">
        <v>1</v>
      </c>
      <c r="T394">
        <v>1.06712</v>
      </c>
      <c r="U394">
        <v>1</v>
      </c>
      <c r="V394">
        <v>91.367</v>
      </c>
      <c r="W394">
        <v>40.673</v>
      </c>
      <c r="X394">
        <v>80.64400000000001</v>
      </c>
      <c r="Y394">
        <v>17.564</v>
      </c>
      <c r="Z394">
        <v>29.977</v>
      </c>
      <c r="AA394">
        <v>260.225</v>
      </c>
      <c r="AB394">
        <v>0.95113</v>
      </c>
      <c r="AC394">
        <v>250</v>
      </c>
      <c r="AD394">
        <v>0</v>
      </c>
      <c r="AG394">
        <v>95</v>
      </c>
      <c r="AH394">
        <v>43</v>
      </c>
      <c r="AI394">
        <v>75</v>
      </c>
      <c r="AJ394">
        <v>13</v>
      </c>
      <c r="AK394">
        <v>24</v>
      </c>
    </row>
    <row r="395" spans="1:37">
      <c r="A395" t="s">
        <v>868</v>
      </c>
      <c r="B395" t="s">
        <v>1751</v>
      </c>
      <c r="C395">
        <v>18.4</v>
      </c>
      <c r="D395" t="s">
        <v>82</v>
      </c>
      <c r="E395">
        <v>4</v>
      </c>
      <c r="F395">
        <v>0</v>
      </c>
      <c r="G395">
        <v>0</v>
      </c>
      <c r="I395">
        <v>1.07342</v>
      </c>
      <c r="J395">
        <v>1.063</v>
      </c>
      <c r="K395">
        <v>1.00023</v>
      </c>
      <c r="L395">
        <v>1.02588</v>
      </c>
      <c r="M395">
        <v>0.87418</v>
      </c>
      <c r="N395">
        <v>1.01306</v>
      </c>
      <c r="O395">
        <v>1</v>
      </c>
      <c r="P395">
        <v>1.01232</v>
      </c>
      <c r="Q395">
        <v>1</v>
      </c>
      <c r="R395">
        <v>1</v>
      </c>
      <c r="S395">
        <v>1</v>
      </c>
      <c r="T395">
        <v>1.06608</v>
      </c>
      <c r="U395">
        <v>1</v>
      </c>
      <c r="V395">
        <v>87.06699999999999</v>
      </c>
      <c r="W395">
        <v>40.622</v>
      </c>
      <c r="X395">
        <v>79.577</v>
      </c>
      <c r="Y395">
        <v>16.205</v>
      </c>
      <c r="Z395">
        <v>30.187</v>
      </c>
      <c r="AA395">
        <v>253.659</v>
      </c>
      <c r="AB395">
        <v>1.01927</v>
      </c>
      <c r="AC395">
        <v>248</v>
      </c>
      <c r="AD395">
        <v>0</v>
      </c>
      <c r="AG395">
        <v>92</v>
      </c>
      <c r="AH395">
        <v>42</v>
      </c>
      <c r="AI395">
        <v>66</v>
      </c>
      <c r="AJ395">
        <v>14</v>
      </c>
      <c r="AK395">
        <v>34</v>
      </c>
    </row>
    <row r="396" spans="1:37">
      <c r="A396" t="s">
        <v>869</v>
      </c>
      <c r="B396" t="s">
        <v>1751</v>
      </c>
      <c r="C396">
        <v>19.4</v>
      </c>
      <c r="D396" t="s">
        <v>82</v>
      </c>
      <c r="E396">
        <v>5</v>
      </c>
      <c r="F396">
        <v>0</v>
      </c>
      <c r="G396">
        <v>0</v>
      </c>
      <c r="I396">
        <v>1.07361</v>
      </c>
      <c r="J396">
        <v>1.07068</v>
      </c>
      <c r="K396">
        <v>1.00023</v>
      </c>
      <c r="L396">
        <v>1.02537</v>
      </c>
      <c r="M396">
        <v>0.89825</v>
      </c>
      <c r="N396">
        <v>1.02269</v>
      </c>
      <c r="O396">
        <v>1</v>
      </c>
      <c r="P396">
        <v>1.00839</v>
      </c>
      <c r="Q396">
        <v>1</v>
      </c>
      <c r="R396">
        <v>1</v>
      </c>
      <c r="S396">
        <v>1</v>
      </c>
      <c r="T396">
        <v>1.06444</v>
      </c>
      <c r="U396">
        <v>1</v>
      </c>
      <c r="V396">
        <v>87.524</v>
      </c>
      <c r="W396">
        <v>40.784</v>
      </c>
      <c r="X396">
        <v>86.128</v>
      </c>
      <c r="Y396">
        <v>17.92</v>
      </c>
      <c r="Z396">
        <v>31.372</v>
      </c>
      <c r="AA396">
        <v>263.728</v>
      </c>
      <c r="AB396">
        <v>0.96296</v>
      </c>
      <c r="AC396">
        <v>243</v>
      </c>
      <c r="AD396">
        <v>0</v>
      </c>
      <c r="AG396">
        <v>82</v>
      </c>
      <c r="AH396">
        <v>35</v>
      </c>
      <c r="AI396">
        <v>80</v>
      </c>
      <c r="AJ396">
        <v>17</v>
      </c>
      <c r="AK396">
        <v>29</v>
      </c>
    </row>
    <row r="397" spans="1:37">
      <c r="A397" t="s">
        <v>870</v>
      </c>
      <c r="B397" t="s">
        <v>1751</v>
      </c>
      <c r="C397">
        <v>20</v>
      </c>
      <c r="D397" t="s">
        <v>82</v>
      </c>
      <c r="E397">
        <v>6</v>
      </c>
      <c r="F397">
        <v>0</v>
      </c>
      <c r="G397">
        <v>0</v>
      </c>
      <c r="I397">
        <v>1.0738</v>
      </c>
      <c r="J397">
        <v>1.05967</v>
      </c>
      <c r="K397">
        <v>1.00023</v>
      </c>
      <c r="L397">
        <v>1.02486</v>
      </c>
      <c r="M397">
        <v>0.93581</v>
      </c>
      <c r="N397">
        <v>1.02991</v>
      </c>
      <c r="O397">
        <v>1</v>
      </c>
      <c r="P397">
        <v>1.0058</v>
      </c>
      <c r="Q397">
        <v>1</v>
      </c>
      <c r="R397">
        <v>1</v>
      </c>
      <c r="S397">
        <v>1</v>
      </c>
      <c r="T397">
        <v>1.06134</v>
      </c>
      <c r="U397">
        <v>1</v>
      </c>
      <c r="V397">
        <v>84.774</v>
      </c>
      <c r="W397">
        <v>38.259</v>
      </c>
      <c r="X397">
        <v>95.64</v>
      </c>
      <c r="Y397">
        <v>20.724</v>
      </c>
      <c r="Z397">
        <v>32.898</v>
      </c>
      <c r="AA397">
        <v>272.295</v>
      </c>
      <c r="AB397">
        <v>1.05501</v>
      </c>
      <c r="AC397">
        <v>279</v>
      </c>
      <c r="AD397">
        <v>0</v>
      </c>
      <c r="AG397">
        <v>91</v>
      </c>
      <c r="AH397">
        <v>45</v>
      </c>
      <c r="AI397">
        <v>87</v>
      </c>
      <c r="AJ397">
        <v>22</v>
      </c>
      <c r="AK397">
        <v>34</v>
      </c>
    </row>
    <row r="398" spans="1:37">
      <c r="A398" t="s">
        <v>871</v>
      </c>
      <c r="B398" t="s">
        <v>1752</v>
      </c>
      <c r="C398">
        <v>19.4</v>
      </c>
      <c r="D398" t="s">
        <v>82</v>
      </c>
      <c r="E398">
        <v>7</v>
      </c>
      <c r="F398">
        <v>0</v>
      </c>
      <c r="G398">
        <v>0</v>
      </c>
      <c r="I398">
        <v>1.07398</v>
      </c>
      <c r="J398">
        <v>1.05919</v>
      </c>
      <c r="K398">
        <v>0.98639</v>
      </c>
      <c r="L398">
        <v>1.02434</v>
      </c>
      <c r="M398">
        <v>1.14097</v>
      </c>
      <c r="N398">
        <v>1.03659</v>
      </c>
      <c r="O398">
        <v>1</v>
      </c>
      <c r="P398">
        <v>1.00428</v>
      </c>
      <c r="Q398">
        <v>1</v>
      </c>
      <c r="R398">
        <v>1</v>
      </c>
      <c r="S398">
        <v>1</v>
      </c>
      <c r="T398">
        <v>1.05088</v>
      </c>
      <c r="U398">
        <v>1</v>
      </c>
      <c r="V398">
        <v>78.369</v>
      </c>
      <c r="W398">
        <v>31.708</v>
      </c>
      <c r="X398">
        <v>142.312</v>
      </c>
      <c r="Y398">
        <v>34.71</v>
      </c>
      <c r="Z398">
        <v>37.979</v>
      </c>
      <c r="AA398">
        <v>325.078</v>
      </c>
      <c r="AB398">
        <v>0.98085</v>
      </c>
      <c r="AC398">
        <v>319</v>
      </c>
      <c r="AD398">
        <v>0</v>
      </c>
      <c r="AG398">
        <v>63</v>
      </c>
      <c r="AH398">
        <v>34</v>
      </c>
      <c r="AI398">
        <v>150</v>
      </c>
      <c r="AJ398">
        <v>39</v>
      </c>
      <c r="AK398">
        <v>33</v>
      </c>
    </row>
    <row r="399" spans="1:37">
      <c r="A399" t="s">
        <v>872</v>
      </c>
      <c r="B399" t="s">
        <v>1753</v>
      </c>
      <c r="C399">
        <v>18.6</v>
      </c>
      <c r="D399" t="s">
        <v>82</v>
      </c>
      <c r="E399">
        <v>8</v>
      </c>
      <c r="F399">
        <v>0</v>
      </c>
      <c r="G399">
        <v>0</v>
      </c>
      <c r="I399">
        <v>1.07417</v>
      </c>
      <c r="J399">
        <v>1.0669</v>
      </c>
      <c r="K399">
        <v>0.98639</v>
      </c>
      <c r="L399">
        <v>1.02383</v>
      </c>
      <c r="M399">
        <v>0.91344</v>
      </c>
      <c r="N399">
        <v>1.03607</v>
      </c>
      <c r="O399">
        <v>1</v>
      </c>
      <c r="P399">
        <v>1.00338</v>
      </c>
      <c r="Q399">
        <v>1</v>
      </c>
      <c r="R399">
        <v>1</v>
      </c>
      <c r="S399">
        <v>1</v>
      </c>
      <c r="T399">
        <v>1.02452</v>
      </c>
      <c r="U399">
        <v>1</v>
      </c>
      <c r="V399">
        <v>18.863</v>
      </c>
      <c r="W399">
        <v>13.957</v>
      </c>
      <c r="X399">
        <v>131.391</v>
      </c>
      <c r="Y399">
        <v>54.702</v>
      </c>
      <c r="Z399">
        <v>40.982</v>
      </c>
      <c r="AA399">
        <v>259.894</v>
      </c>
      <c r="AB399">
        <v>0.9413</v>
      </c>
      <c r="AC399">
        <v>242</v>
      </c>
      <c r="AD399">
        <v>0</v>
      </c>
      <c r="AG399">
        <v>24</v>
      </c>
      <c r="AH399">
        <v>9</v>
      </c>
      <c r="AI399">
        <v>121</v>
      </c>
      <c r="AJ399">
        <v>58</v>
      </c>
      <c r="AK399">
        <v>30</v>
      </c>
    </row>
    <row r="400" spans="1:37">
      <c r="A400" t="s">
        <v>873</v>
      </c>
      <c r="B400" t="s">
        <v>1754</v>
      </c>
      <c r="C400">
        <v>18.4</v>
      </c>
      <c r="D400" t="s">
        <v>82</v>
      </c>
      <c r="E400">
        <v>9</v>
      </c>
      <c r="F400">
        <v>0</v>
      </c>
      <c r="G400">
        <v>0</v>
      </c>
      <c r="I400">
        <v>1.07436</v>
      </c>
      <c r="J400">
        <v>1.06799</v>
      </c>
      <c r="K400">
        <v>0.98639</v>
      </c>
      <c r="L400">
        <v>1.02334</v>
      </c>
      <c r="M400">
        <v>0.84865</v>
      </c>
      <c r="N400">
        <v>1.02932</v>
      </c>
      <c r="O400">
        <v>1</v>
      </c>
      <c r="P400">
        <v>1.00216</v>
      </c>
      <c r="Q400">
        <v>1</v>
      </c>
      <c r="R400">
        <v>1</v>
      </c>
      <c r="S400">
        <v>1</v>
      </c>
      <c r="T400">
        <v>1.02981</v>
      </c>
      <c r="U400">
        <v>1</v>
      </c>
      <c r="V400">
        <v>25.735</v>
      </c>
      <c r="W400">
        <v>21.936</v>
      </c>
      <c r="X400">
        <v>111.448</v>
      </c>
      <c r="Y400">
        <v>45.914</v>
      </c>
      <c r="Z400">
        <v>35.934</v>
      </c>
      <c r="AA400">
        <v>240.967</v>
      </c>
      <c r="AB400">
        <v>0.86781</v>
      </c>
      <c r="AC400">
        <v>213</v>
      </c>
      <c r="AD400">
        <v>0</v>
      </c>
      <c r="AG400">
        <v>19</v>
      </c>
      <c r="AH400">
        <v>16</v>
      </c>
      <c r="AI400">
        <v>94</v>
      </c>
      <c r="AJ400">
        <v>40</v>
      </c>
      <c r="AK400">
        <v>44</v>
      </c>
    </row>
    <row r="401" spans="1:37">
      <c r="A401" t="s">
        <v>422</v>
      </c>
      <c r="B401" t="s">
        <v>1751</v>
      </c>
      <c r="C401">
        <v>17.4</v>
      </c>
      <c r="D401" t="s">
        <v>82</v>
      </c>
      <c r="E401">
        <v>10</v>
      </c>
      <c r="F401">
        <v>0</v>
      </c>
      <c r="G401">
        <v>0</v>
      </c>
      <c r="I401">
        <v>1.07454</v>
      </c>
      <c r="J401">
        <v>1.05542</v>
      </c>
      <c r="K401">
        <v>0.98639</v>
      </c>
      <c r="L401">
        <v>1.02286</v>
      </c>
      <c r="M401">
        <v>0.90285</v>
      </c>
      <c r="N401">
        <v>1.00398</v>
      </c>
      <c r="O401">
        <v>1</v>
      </c>
      <c r="P401">
        <v>1.00111</v>
      </c>
      <c r="Q401">
        <v>1</v>
      </c>
      <c r="R401">
        <v>1</v>
      </c>
      <c r="S401">
        <v>1</v>
      </c>
      <c r="T401">
        <v>1.06834</v>
      </c>
      <c r="U401">
        <v>1</v>
      </c>
      <c r="V401">
        <v>88.976</v>
      </c>
      <c r="W401">
        <v>39.389</v>
      </c>
      <c r="X401">
        <v>76.779</v>
      </c>
      <c r="Y401">
        <v>16.736</v>
      </c>
      <c r="Z401">
        <v>28.568</v>
      </c>
      <c r="AA401">
        <v>250.448</v>
      </c>
      <c r="AB401">
        <v>1.01843</v>
      </c>
      <c r="AC401">
        <v>250</v>
      </c>
      <c r="AD401">
        <v>0</v>
      </c>
      <c r="AG401">
        <v>101</v>
      </c>
      <c r="AH401">
        <v>40</v>
      </c>
      <c r="AI401">
        <v>69</v>
      </c>
      <c r="AJ401">
        <v>13</v>
      </c>
      <c r="AK401">
        <v>27</v>
      </c>
    </row>
    <row r="402" spans="1:37">
      <c r="A402" t="s">
        <v>874</v>
      </c>
      <c r="B402" t="s">
        <v>1751</v>
      </c>
      <c r="C402">
        <v>15.7</v>
      </c>
      <c r="D402" t="s">
        <v>82</v>
      </c>
      <c r="E402">
        <v>11</v>
      </c>
      <c r="F402">
        <v>0</v>
      </c>
      <c r="G402">
        <v>0</v>
      </c>
      <c r="I402">
        <v>1.07473</v>
      </c>
      <c r="J402">
        <v>1.05391</v>
      </c>
      <c r="K402">
        <v>0.98639</v>
      </c>
      <c r="L402">
        <v>1.02241</v>
      </c>
      <c r="M402">
        <v>0.87784</v>
      </c>
      <c r="N402">
        <v>0.9854000000000001</v>
      </c>
      <c r="O402">
        <v>1</v>
      </c>
      <c r="P402">
        <v>1.00074</v>
      </c>
      <c r="Q402">
        <v>1</v>
      </c>
      <c r="R402">
        <v>1</v>
      </c>
      <c r="S402">
        <v>1</v>
      </c>
      <c r="T402">
        <v>1.06847</v>
      </c>
      <c r="U402">
        <v>1</v>
      </c>
      <c r="V402">
        <v>84.592</v>
      </c>
      <c r="W402">
        <v>39.314</v>
      </c>
      <c r="X402">
        <v>71.622</v>
      </c>
      <c r="Y402">
        <v>14.85</v>
      </c>
      <c r="Z402">
        <v>27.733</v>
      </c>
      <c r="AA402">
        <v>238.11</v>
      </c>
      <c r="AB402">
        <v>1.0745</v>
      </c>
      <c r="AC402">
        <v>266</v>
      </c>
      <c r="AD402">
        <v>0</v>
      </c>
      <c r="AG402">
        <v>102</v>
      </c>
      <c r="AH402">
        <v>35</v>
      </c>
      <c r="AI402">
        <v>83</v>
      </c>
      <c r="AJ402">
        <v>17</v>
      </c>
      <c r="AK402">
        <v>29</v>
      </c>
    </row>
    <row r="403" spans="1:37">
      <c r="A403" t="s">
        <v>875</v>
      </c>
      <c r="B403" t="s">
        <v>1751</v>
      </c>
      <c r="C403">
        <v>17</v>
      </c>
      <c r="D403" t="s">
        <v>82</v>
      </c>
      <c r="E403">
        <v>12</v>
      </c>
      <c r="F403">
        <v>0</v>
      </c>
      <c r="G403">
        <v>0</v>
      </c>
      <c r="I403">
        <v>1.07492</v>
      </c>
      <c r="J403">
        <v>1.03962</v>
      </c>
      <c r="K403">
        <v>0.98639</v>
      </c>
      <c r="L403">
        <v>1.02198</v>
      </c>
      <c r="M403">
        <v>0.90038</v>
      </c>
      <c r="N403">
        <v>1.00001</v>
      </c>
      <c r="O403">
        <v>1</v>
      </c>
      <c r="P403">
        <v>1.00051</v>
      </c>
      <c r="Q403">
        <v>1</v>
      </c>
      <c r="R403">
        <v>1</v>
      </c>
      <c r="S403">
        <v>1</v>
      </c>
      <c r="T403">
        <v>1.06637</v>
      </c>
      <c r="U403">
        <v>1</v>
      </c>
      <c r="V403">
        <v>83.426</v>
      </c>
      <c r="W403">
        <v>38.767</v>
      </c>
      <c r="X403">
        <v>77.55500000000001</v>
      </c>
      <c r="Y403">
        <v>16.351</v>
      </c>
      <c r="Z403">
        <v>28.542</v>
      </c>
      <c r="AA403">
        <v>244.639</v>
      </c>
      <c r="AB403">
        <v>0.9204599999999999</v>
      </c>
      <c r="AC403">
        <v>227</v>
      </c>
      <c r="AD403">
        <v>0</v>
      </c>
      <c r="AG403">
        <v>88</v>
      </c>
      <c r="AH403">
        <v>41</v>
      </c>
      <c r="AI403">
        <v>64</v>
      </c>
      <c r="AJ403">
        <v>12</v>
      </c>
      <c r="AK403">
        <v>22</v>
      </c>
    </row>
    <row r="404" spans="1:37">
      <c r="A404" t="s">
        <v>876</v>
      </c>
      <c r="B404" t="s">
        <v>1751</v>
      </c>
      <c r="C404">
        <v>17.9</v>
      </c>
      <c r="D404" t="s">
        <v>82</v>
      </c>
      <c r="E404">
        <v>13</v>
      </c>
      <c r="F404">
        <v>0</v>
      </c>
      <c r="G404">
        <v>0</v>
      </c>
      <c r="I404">
        <v>1.07511</v>
      </c>
      <c r="J404">
        <v>1.05577</v>
      </c>
      <c r="K404">
        <v>0.98639</v>
      </c>
      <c r="L404">
        <v>1.02159</v>
      </c>
      <c r="M404">
        <v>0.9362200000000001</v>
      </c>
      <c r="N404">
        <v>1.01114</v>
      </c>
      <c r="O404">
        <v>1</v>
      </c>
      <c r="P404">
        <v>1.00035</v>
      </c>
      <c r="Q404">
        <v>1</v>
      </c>
      <c r="R404">
        <v>1</v>
      </c>
      <c r="S404">
        <v>1</v>
      </c>
      <c r="T404">
        <v>1.06291</v>
      </c>
      <c r="U404">
        <v>1</v>
      </c>
      <c r="V404">
        <v>83.014</v>
      </c>
      <c r="W404">
        <v>37.391</v>
      </c>
      <c r="X404">
        <v>89.83199999999999</v>
      </c>
      <c r="Y404">
        <v>19.652</v>
      </c>
      <c r="Z404">
        <v>30.987</v>
      </c>
      <c r="AA404">
        <v>260.876</v>
      </c>
      <c r="AB404">
        <v>1.04472</v>
      </c>
      <c r="AC404">
        <v>282</v>
      </c>
      <c r="AD404">
        <v>0</v>
      </c>
      <c r="AG404">
        <v>90</v>
      </c>
      <c r="AH404">
        <v>40</v>
      </c>
      <c r="AI404">
        <v>98</v>
      </c>
      <c r="AJ404">
        <v>24</v>
      </c>
      <c r="AK404">
        <v>30</v>
      </c>
    </row>
    <row r="405" spans="1:37">
      <c r="A405" t="s">
        <v>877</v>
      </c>
      <c r="B405" t="s">
        <v>1752</v>
      </c>
      <c r="C405">
        <v>17.8</v>
      </c>
      <c r="D405" t="s">
        <v>82</v>
      </c>
      <c r="E405">
        <v>14</v>
      </c>
      <c r="F405">
        <v>0</v>
      </c>
      <c r="G405">
        <v>0</v>
      </c>
      <c r="I405">
        <v>1.07529</v>
      </c>
      <c r="J405">
        <v>1.05345</v>
      </c>
      <c r="K405">
        <v>0.98639</v>
      </c>
      <c r="L405">
        <v>1.02123</v>
      </c>
      <c r="M405">
        <v>1.16629</v>
      </c>
      <c r="N405">
        <v>1.02376</v>
      </c>
      <c r="O405">
        <v>1</v>
      </c>
      <c r="P405">
        <v>1.00027</v>
      </c>
      <c r="Q405">
        <v>1</v>
      </c>
      <c r="R405">
        <v>1</v>
      </c>
      <c r="S405">
        <v>1</v>
      </c>
      <c r="T405">
        <v>1.50478</v>
      </c>
      <c r="U405">
        <v>1</v>
      </c>
      <c r="V405">
        <v>77.752</v>
      </c>
      <c r="W405">
        <v>50.887</v>
      </c>
      <c r="X405">
        <v>221.091</v>
      </c>
      <c r="Y405">
        <v>54.354</v>
      </c>
      <c r="Z405">
        <v>47.562</v>
      </c>
      <c r="AA405">
        <v>451.645</v>
      </c>
      <c r="AB405">
        <v>1.00735</v>
      </c>
      <c r="AC405">
        <v>481</v>
      </c>
      <c r="AD405">
        <v>0</v>
      </c>
      <c r="AF405" t="s">
        <v>1763</v>
      </c>
      <c r="AG405">
        <v>79</v>
      </c>
      <c r="AH405">
        <v>62</v>
      </c>
      <c r="AI405">
        <v>251</v>
      </c>
      <c r="AJ405">
        <v>42</v>
      </c>
      <c r="AK405">
        <v>47</v>
      </c>
    </row>
    <row r="406" spans="1:37">
      <c r="A406" t="s">
        <v>878</v>
      </c>
      <c r="B406" t="s">
        <v>1753</v>
      </c>
      <c r="C406">
        <v>17</v>
      </c>
      <c r="D406" t="s">
        <v>82</v>
      </c>
      <c r="E406">
        <v>15</v>
      </c>
      <c r="F406">
        <v>0</v>
      </c>
      <c r="G406">
        <v>0</v>
      </c>
      <c r="I406">
        <v>1.07548</v>
      </c>
      <c r="J406">
        <v>1.05004</v>
      </c>
      <c r="K406">
        <v>0.98639</v>
      </c>
      <c r="L406">
        <v>1.02091</v>
      </c>
      <c r="M406">
        <v>0.97202</v>
      </c>
      <c r="N406">
        <v>1.01319</v>
      </c>
      <c r="O406">
        <v>1</v>
      </c>
      <c r="P406">
        <v>0.99671</v>
      </c>
      <c r="Q406">
        <v>1</v>
      </c>
      <c r="R406">
        <v>1</v>
      </c>
      <c r="S406">
        <v>1</v>
      </c>
      <c r="T406">
        <v>1.43198</v>
      </c>
      <c r="U406">
        <v>1</v>
      </c>
      <c r="V406">
        <v>18.511</v>
      </c>
      <c r="W406">
        <v>20.108</v>
      </c>
      <c r="X406">
        <v>182.15</v>
      </c>
      <c r="Y406">
        <v>76.553</v>
      </c>
      <c r="Z406">
        <v>47.769</v>
      </c>
      <c r="AA406">
        <v>345.091</v>
      </c>
      <c r="AB406">
        <v>1.0987</v>
      </c>
      <c r="AC406">
        <v>403</v>
      </c>
      <c r="AD406">
        <v>0</v>
      </c>
      <c r="AG406">
        <v>21</v>
      </c>
      <c r="AH406">
        <v>23</v>
      </c>
      <c r="AI406">
        <v>218</v>
      </c>
      <c r="AJ406">
        <v>82</v>
      </c>
      <c r="AK406">
        <v>59</v>
      </c>
    </row>
    <row r="407" spans="1:37">
      <c r="A407" t="s">
        <v>879</v>
      </c>
      <c r="B407" t="s">
        <v>1754</v>
      </c>
      <c r="C407">
        <v>17.2</v>
      </c>
      <c r="D407" t="s">
        <v>82</v>
      </c>
      <c r="E407">
        <v>16</v>
      </c>
      <c r="F407">
        <v>0</v>
      </c>
      <c r="G407">
        <v>0</v>
      </c>
      <c r="I407">
        <v>1.07567</v>
      </c>
      <c r="J407">
        <v>1.05415</v>
      </c>
      <c r="K407">
        <v>0.98639</v>
      </c>
      <c r="L407">
        <v>1.02064</v>
      </c>
      <c r="M407">
        <v>0.88674</v>
      </c>
      <c r="N407">
        <v>1.01415</v>
      </c>
      <c r="O407">
        <v>1</v>
      </c>
      <c r="P407">
        <v>0.99344</v>
      </c>
      <c r="Q407">
        <v>1</v>
      </c>
      <c r="R407">
        <v>1</v>
      </c>
      <c r="S407">
        <v>1</v>
      </c>
      <c r="T407">
        <v>1.33076</v>
      </c>
      <c r="U407">
        <v>1</v>
      </c>
      <c r="V407">
        <v>25.312</v>
      </c>
      <c r="W407">
        <v>29.248</v>
      </c>
      <c r="X407">
        <v>144.038</v>
      </c>
      <c r="Y407">
        <v>59.757</v>
      </c>
      <c r="Z407">
        <v>40.242</v>
      </c>
      <c r="AA407">
        <v>298.597</v>
      </c>
      <c r="AB407">
        <v>0.9524</v>
      </c>
      <c r="AC407">
        <v>290</v>
      </c>
      <c r="AD407">
        <v>0</v>
      </c>
      <c r="AG407">
        <v>25</v>
      </c>
      <c r="AH407">
        <v>22</v>
      </c>
      <c r="AI407">
        <v>140</v>
      </c>
      <c r="AJ407">
        <v>68</v>
      </c>
      <c r="AK407">
        <v>35</v>
      </c>
    </row>
    <row r="408" spans="1:37">
      <c r="A408" t="s">
        <v>423</v>
      </c>
      <c r="B408" t="s">
        <v>1751</v>
      </c>
      <c r="C408">
        <v>17.2</v>
      </c>
      <c r="D408" t="s">
        <v>1474</v>
      </c>
      <c r="E408">
        <v>17</v>
      </c>
      <c r="F408">
        <v>0</v>
      </c>
      <c r="G408">
        <v>0</v>
      </c>
      <c r="I408">
        <v>1.07585</v>
      </c>
      <c r="J408">
        <v>1.0493</v>
      </c>
      <c r="K408">
        <v>0.98639</v>
      </c>
      <c r="L408">
        <v>1.02041</v>
      </c>
      <c r="M408">
        <v>0.89633</v>
      </c>
      <c r="N408">
        <v>1.00395</v>
      </c>
      <c r="O408">
        <v>1.01371</v>
      </c>
      <c r="P408">
        <v>0.99226</v>
      </c>
      <c r="Q408">
        <v>1</v>
      </c>
      <c r="R408">
        <v>1</v>
      </c>
      <c r="S408">
        <v>1</v>
      </c>
      <c r="T408">
        <v>1.2409</v>
      </c>
      <c r="U408">
        <v>1</v>
      </c>
      <c r="V408">
        <v>88.09</v>
      </c>
      <c r="W408">
        <v>54.514</v>
      </c>
      <c r="X408">
        <v>95.53100000000001</v>
      </c>
      <c r="Y408">
        <v>19.8</v>
      </c>
      <c r="Z408">
        <v>31.471</v>
      </c>
      <c r="AA408">
        <v>289.406</v>
      </c>
      <c r="AB408">
        <v>1.01205</v>
      </c>
      <c r="AC408">
        <v>292</v>
      </c>
      <c r="AD408">
        <v>1</v>
      </c>
      <c r="AG408">
        <v>91</v>
      </c>
      <c r="AH408">
        <v>43</v>
      </c>
      <c r="AI408">
        <v>96</v>
      </c>
      <c r="AJ408">
        <v>24</v>
      </c>
      <c r="AK408">
        <v>38</v>
      </c>
    </row>
    <row r="409" spans="1:37">
      <c r="A409" t="s">
        <v>880</v>
      </c>
      <c r="B409" t="s">
        <v>1751</v>
      </c>
      <c r="C409">
        <v>17</v>
      </c>
      <c r="D409" t="s">
        <v>1474</v>
      </c>
      <c r="E409">
        <v>18</v>
      </c>
      <c r="F409">
        <v>0</v>
      </c>
      <c r="G409">
        <v>0</v>
      </c>
      <c r="I409">
        <v>1.07604</v>
      </c>
      <c r="J409">
        <v>1.04669</v>
      </c>
      <c r="K409">
        <v>0.98639</v>
      </c>
      <c r="L409">
        <v>1.02023</v>
      </c>
      <c r="M409">
        <v>0.87317</v>
      </c>
      <c r="N409">
        <v>1.00082</v>
      </c>
      <c r="O409">
        <v>1.01423</v>
      </c>
      <c r="P409">
        <v>0.9897</v>
      </c>
      <c r="Q409">
        <v>1</v>
      </c>
      <c r="R409">
        <v>1</v>
      </c>
      <c r="S409">
        <v>1</v>
      </c>
      <c r="T409">
        <v>1.20102</v>
      </c>
      <c r="U409">
        <v>1</v>
      </c>
      <c r="V409">
        <v>83.59999999999999</v>
      </c>
      <c r="W409">
        <v>51.584</v>
      </c>
      <c r="X409">
        <v>87.599</v>
      </c>
      <c r="Y409">
        <v>17.082</v>
      </c>
      <c r="Z409">
        <v>30.298</v>
      </c>
      <c r="AA409">
        <v>270.163</v>
      </c>
      <c r="AB409">
        <v>0.98666</v>
      </c>
      <c r="AC409">
        <v>252</v>
      </c>
      <c r="AD409">
        <v>1</v>
      </c>
      <c r="AG409">
        <v>82</v>
      </c>
      <c r="AH409">
        <v>39</v>
      </c>
      <c r="AI409">
        <v>90</v>
      </c>
      <c r="AJ409">
        <v>13</v>
      </c>
      <c r="AK409">
        <v>28</v>
      </c>
    </row>
    <row r="410" spans="1:37">
      <c r="A410" t="s">
        <v>881</v>
      </c>
      <c r="B410" t="s">
        <v>1751</v>
      </c>
      <c r="C410">
        <v>18.3</v>
      </c>
      <c r="D410" t="s">
        <v>1474</v>
      </c>
      <c r="E410">
        <v>19</v>
      </c>
      <c r="F410">
        <v>0</v>
      </c>
      <c r="G410">
        <v>0</v>
      </c>
      <c r="I410">
        <v>1.07623</v>
      </c>
      <c r="J410">
        <v>1.03216</v>
      </c>
      <c r="K410">
        <v>0.98639</v>
      </c>
      <c r="L410">
        <v>1.0201</v>
      </c>
      <c r="M410">
        <v>0.8982599999999999</v>
      </c>
      <c r="N410">
        <v>1.0147</v>
      </c>
      <c r="O410">
        <v>1.0131</v>
      </c>
      <c r="P410">
        <v>0.98694</v>
      </c>
      <c r="Q410">
        <v>1</v>
      </c>
      <c r="R410">
        <v>1</v>
      </c>
      <c r="S410">
        <v>1</v>
      </c>
      <c r="T410">
        <v>1.17097</v>
      </c>
      <c r="U410">
        <v>1</v>
      </c>
      <c r="V410">
        <v>82.358</v>
      </c>
      <c r="W410">
        <v>48.783</v>
      </c>
      <c r="X410">
        <v>90.43899999999999</v>
      </c>
      <c r="Y410">
        <v>17.957</v>
      </c>
      <c r="Z410">
        <v>30.385</v>
      </c>
      <c r="AA410">
        <v>269.923</v>
      </c>
      <c r="AB410">
        <v>1.0055</v>
      </c>
      <c r="AC410">
        <v>277</v>
      </c>
      <c r="AD410">
        <v>0</v>
      </c>
      <c r="AG410">
        <v>84</v>
      </c>
      <c r="AH410">
        <v>40</v>
      </c>
      <c r="AI410">
        <v>95</v>
      </c>
      <c r="AJ410">
        <v>24</v>
      </c>
      <c r="AK410">
        <v>34</v>
      </c>
    </row>
    <row r="411" spans="1:37">
      <c r="A411" t="s">
        <v>882</v>
      </c>
      <c r="B411" t="s">
        <v>1751</v>
      </c>
      <c r="C411">
        <v>18.6</v>
      </c>
      <c r="D411" t="s">
        <v>1474</v>
      </c>
      <c r="E411">
        <v>20</v>
      </c>
      <c r="F411">
        <v>0</v>
      </c>
      <c r="G411">
        <v>0</v>
      </c>
      <c r="I411">
        <v>1.07642</v>
      </c>
      <c r="J411">
        <v>1.02118</v>
      </c>
      <c r="K411">
        <v>0.98639</v>
      </c>
      <c r="L411">
        <v>1.02002</v>
      </c>
      <c r="M411">
        <v>0.9359499999999999</v>
      </c>
      <c r="N411">
        <v>1.01942</v>
      </c>
      <c r="O411">
        <v>1.01104</v>
      </c>
      <c r="P411">
        <v>0.98391</v>
      </c>
      <c r="Q411">
        <v>1</v>
      </c>
      <c r="R411">
        <v>1</v>
      </c>
      <c r="S411">
        <v>1</v>
      </c>
      <c r="T411">
        <v>1.14713</v>
      </c>
      <c r="U411">
        <v>1</v>
      </c>
      <c r="V411">
        <v>79.779</v>
      </c>
      <c r="W411">
        <v>44.366</v>
      </c>
      <c r="X411">
        <v>97.142</v>
      </c>
      <c r="Y411">
        <v>20.1</v>
      </c>
      <c r="Z411">
        <v>31.197</v>
      </c>
      <c r="AA411">
        <v>272.585</v>
      </c>
      <c r="AB411">
        <v>1.06773</v>
      </c>
      <c r="AC411">
        <v>328</v>
      </c>
      <c r="AD411">
        <v>0</v>
      </c>
      <c r="AG411">
        <v>103</v>
      </c>
      <c r="AH411">
        <v>51</v>
      </c>
      <c r="AI411">
        <v>104</v>
      </c>
      <c r="AJ411">
        <v>27</v>
      </c>
      <c r="AK411">
        <v>43</v>
      </c>
    </row>
    <row r="412" spans="1:37">
      <c r="A412" t="s">
        <v>883</v>
      </c>
      <c r="B412" t="s">
        <v>1752</v>
      </c>
      <c r="C412">
        <v>17</v>
      </c>
      <c r="D412" t="s">
        <v>1474</v>
      </c>
      <c r="E412">
        <v>21</v>
      </c>
      <c r="F412">
        <v>0</v>
      </c>
      <c r="G412">
        <v>0</v>
      </c>
      <c r="I412">
        <v>1.0766</v>
      </c>
      <c r="J412">
        <v>1.02345</v>
      </c>
      <c r="K412">
        <v>0.98639</v>
      </c>
      <c r="L412">
        <v>1.02</v>
      </c>
      <c r="M412">
        <v>1.13413</v>
      </c>
      <c r="N412">
        <v>1.00768</v>
      </c>
      <c r="O412">
        <v>1.00501</v>
      </c>
      <c r="P412">
        <v>0.97951</v>
      </c>
      <c r="Q412">
        <v>1</v>
      </c>
      <c r="R412">
        <v>1</v>
      </c>
      <c r="S412">
        <v>1</v>
      </c>
      <c r="T412">
        <v>1.12595</v>
      </c>
      <c r="U412">
        <v>1</v>
      </c>
      <c r="V412">
        <v>74.994</v>
      </c>
      <c r="W412">
        <v>36.49</v>
      </c>
      <c r="X412">
        <v>139.579</v>
      </c>
      <c r="Y412">
        <v>32.758</v>
      </c>
      <c r="Z412">
        <v>35.55</v>
      </c>
      <c r="AA412">
        <v>319.371</v>
      </c>
      <c r="AB412">
        <v>1.09753</v>
      </c>
      <c r="AC412">
        <v>337</v>
      </c>
      <c r="AD412">
        <v>0</v>
      </c>
      <c r="AG412">
        <v>72</v>
      </c>
      <c r="AH412">
        <v>33</v>
      </c>
      <c r="AI412">
        <v>160</v>
      </c>
      <c r="AJ412">
        <v>37</v>
      </c>
      <c r="AK412">
        <v>35</v>
      </c>
    </row>
    <row r="413" spans="1:37">
      <c r="A413" t="s">
        <v>884</v>
      </c>
      <c r="B413" t="s">
        <v>1753</v>
      </c>
      <c r="C413">
        <v>18</v>
      </c>
      <c r="D413" t="s">
        <v>1474</v>
      </c>
      <c r="E413">
        <v>22</v>
      </c>
      <c r="F413">
        <v>0</v>
      </c>
      <c r="G413">
        <v>0</v>
      </c>
      <c r="I413">
        <v>1.07679</v>
      </c>
      <c r="J413">
        <v>1.01392</v>
      </c>
      <c r="K413">
        <v>0.98639</v>
      </c>
      <c r="L413">
        <v>1.01994</v>
      </c>
      <c r="M413">
        <v>0.90487</v>
      </c>
      <c r="N413">
        <v>1.02714</v>
      </c>
      <c r="O413">
        <v>0.99494</v>
      </c>
      <c r="P413">
        <v>0.97238</v>
      </c>
      <c r="Q413">
        <v>1</v>
      </c>
      <c r="R413">
        <v>1</v>
      </c>
      <c r="S413">
        <v>1</v>
      </c>
      <c r="T413">
        <v>1.09438</v>
      </c>
      <c r="U413">
        <v>1</v>
      </c>
      <c r="V413">
        <v>17.75</v>
      </c>
      <c r="W413">
        <v>15.499</v>
      </c>
      <c r="X413">
        <v>128.828</v>
      </c>
      <c r="Y413">
        <v>51.082</v>
      </c>
      <c r="Z413">
        <v>38.373</v>
      </c>
      <c r="AA413">
        <v>251.533</v>
      </c>
      <c r="AB413">
        <v>0.95488</v>
      </c>
      <c r="AC413">
        <v>238</v>
      </c>
      <c r="AD413">
        <v>0</v>
      </c>
      <c r="AG413">
        <v>12</v>
      </c>
      <c r="AH413">
        <v>11</v>
      </c>
      <c r="AI413">
        <v>117</v>
      </c>
      <c r="AJ413">
        <v>55</v>
      </c>
      <c r="AK413">
        <v>43</v>
      </c>
    </row>
    <row r="414" spans="1:37">
      <c r="A414" t="s">
        <v>885</v>
      </c>
      <c r="B414" t="s">
        <v>1754</v>
      </c>
      <c r="C414">
        <v>16.7</v>
      </c>
      <c r="D414" t="s">
        <v>1474</v>
      </c>
      <c r="E414">
        <v>23</v>
      </c>
      <c r="F414">
        <v>0</v>
      </c>
      <c r="G414">
        <v>0</v>
      </c>
      <c r="I414">
        <v>1.07698</v>
      </c>
      <c r="J414">
        <v>1.01092</v>
      </c>
      <c r="K414">
        <v>0.98639</v>
      </c>
      <c r="L414">
        <v>1.01977</v>
      </c>
      <c r="M414">
        <v>0.83778</v>
      </c>
      <c r="N414">
        <v>1.00252</v>
      </c>
      <c r="O414">
        <v>1.00001</v>
      </c>
      <c r="P414">
        <v>0.97049</v>
      </c>
      <c r="Q414">
        <v>1</v>
      </c>
      <c r="R414">
        <v>1</v>
      </c>
      <c r="S414">
        <v>1</v>
      </c>
      <c r="T414">
        <v>1.08519</v>
      </c>
      <c r="U414">
        <v>1</v>
      </c>
      <c r="V414">
        <v>24.108</v>
      </c>
      <c r="W414">
        <v>23.899</v>
      </c>
      <c r="X414">
        <v>104.271</v>
      </c>
      <c r="Y414">
        <v>41.223</v>
      </c>
      <c r="Z414">
        <v>32.609</v>
      </c>
      <c r="AA414">
        <v>226.111</v>
      </c>
      <c r="AB414">
        <v>0.88341</v>
      </c>
      <c r="AC414">
        <v>208</v>
      </c>
      <c r="AD414">
        <v>0</v>
      </c>
      <c r="AG414">
        <v>19</v>
      </c>
      <c r="AH414">
        <v>25</v>
      </c>
      <c r="AI414">
        <v>93</v>
      </c>
      <c r="AJ414">
        <v>35</v>
      </c>
      <c r="AK414">
        <v>36</v>
      </c>
    </row>
    <row r="415" spans="1:37">
      <c r="A415" t="s">
        <v>424</v>
      </c>
      <c r="B415" t="s">
        <v>1751</v>
      </c>
      <c r="C415">
        <v>15.9</v>
      </c>
      <c r="D415" t="s">
        <v>1474</v>
      </c>
      <c r="E415">
        <v>24</v>
      </c>
      <c r="F415">
        <v>0</v>
      </c>
      <c r="G415">
        <v>0</v>
      </c>
      <c r="I415">
        <v>1.07717</v>
      </c>
      <c r="J415">
        <v>1.01964</v>
      </c>
      <c r="K415">
        <v>0.98639</v>
      </c>
      <c r="L415">
        <v>1.01951</v>
      </c>
      <c r="M415">
        <v>0.90688</v>
      </c>
      <c r="N415">
        <v>0.9888</v>
      </c>
      <c r="O415">
        <v>1.01313</v>
      </c>
      <c r="P415">
        <v>0.97492</v>
      </c>
      <c r="Q415">
        <v>1</v>
      </c>
      <c r="R415">
        <v>1</v>
      </c>
      <c r="S415">
        <v>1</v>
      </c>
      <c r="T415">
        <v>1.10333</v>
      </c>
      <c r="U415">
        <v>1</v>
      </c>
      <c r="V415">
        <v>85.01000000000001</v>
      </c>
      <c r="W415">
        <v>43.275</v>
      </c>
      <c r="X415">
        <v>72.39700000000001</v>
      </c>
      <c r="Y415">
        <v>15.142</v>
      </c>
      <c r="Z415">
        <v>26.311</v>
      </c>
      <c r="AA415">
        <v>242.135</v>
      </c>
      <c r="AB415">
        <v>0.93211</v>
      </c>
      <c r="AC415">
        <v>262</v>
      </c>
      <c r="AD415">
        <v>0</v>
      </c>
      <c r="AG415">
        <v>103</v>
      </c>
      <c r="AH415">
        <v>42</v>
      </c>
      <c r="AI415">
        <v>68</v>
      </c>
      <c r="AJ415">
        <v>22</v>
      </c>
      <c r="AK415">
        <v>27</v>
      </c>
    </row>
    <row r="416" spans="1:37">
      <c r="A416" t="s">
        <v>886</v>
      </c>
      <c r="B416" t="s">
        <v>1751</v>
      </c>
      <c r="C416">
        <v>15.8</v>
      </c>
      <c r="D416" t="s">
        <v>1474</v>
      </c>
      <c r="E416">
        <v>25</v>
      </c>
      <c r="F416">
        <v>0</v>
      </c>
      <c r="G416">
        <v>0</v>
      </c>
      <c r="I416">
        <v>1.07735</v>
      </c>
      <c r="J416">
        <v>1.00496</v>
      </c>
      <c r="K416">
        <v>0.98639</v>
      </c>
      <c r="L416">
        <v>1.01913</v>
      </c>
      <c r="M416">
        <v>0.88095</v>
      </c>
      <c r="N416">
        <v>0.98713</v>
      </c>
      <c r="O416">
        <v>1.01381</v>
      </c>
      <c r="P416">
        <v>0.97238</v>
      </c>
      <c r="Q416">
        <v>1</v>
      </c>
      <c r="R416">
        <v>1</v>
      </c>
      <c r="S416">
        <v>1</v>
      </c>
      <c r="T416">
        <v>1.09737</v>
      </c>
      <c r="U416">
        <v>1</v>
      </c>
      <c r="V416">
        <v>79.69799999999999</v>
      </c>
      <c r="W416">
        <v>42.219</v>
      </c>
      <c r="X416">
        <v>68.59099999999999</v>
      </c>
      <c r="Y416">
        <v>13.489</v>
      </c>
      <c r="Z416">
        <v>25.676</v>
      </c>
      <c r="AA416">
        <v>229.672</v>
      </c>
      <c r="AB416">
        <v>1.00342</v>
      </c>
      <c r="AC416">
        <v>238</v>
      </c>
      <c r="AD416">
        <v>0</v>
      </c>
      <c r="AG416">
        <v>106</v>
      </c>
      <c r="AH416">
        <v>31</v>
      </c>
      <c r="AI416">
        <v>61</v>
      </c>
      <c r="AJ416">
        <v>18</v>
      </c>
      <c r="AK416">
        <v>22</v>
      </c>
    </row>
    <row r="417" spans="1:37">
      <c r="A417" t="s">
        <v>887</v>
      </c>
      <c r="B417" t="s">
        <v>1751</v>
      </c>
      <c r="C417">
        <v>17.7</v>
      </c>
      <c r="D417" t="s">
        <v>1474</v>
      </c>
      <c r="E417">
        <v>26</v>
      </c>
      <c r="F417">
        <v>0</v>
      </c>
      <c r="G417">
        <v>0</v>
      </c>
      <c r="I417">
        <v>1.07754</v>
      </c>
      <c r="J417">
        <v>1.01541</v>
      </c>
      <c r="K417">
        <v>0.98639</v>
      </c>
      <c r="L417">
        <v>1.01867</v>
      </c>
      <c r="M417">
        <v>0.90285</v>
      </c>
      <c r="N417">
        <v>1.0075</v>
      </c>
      <c r="O417">
        <v>1.01277</v>
      </c>
      <c r="P417">
        <v>0.96922</v>
      </c>
      <c r="Q417">
        <v>1</v>
      </c>
      <c r="R417">
        <v>1</v>
      </c>
      <c r="S417">
        <v>1</v>
      </c>
      <c r="T417">
        <v>1.09161</v>
      </c>
      <c r="U417">
        <v>1</v>
      </c>
      <c r="V417">
        <v>80.42</v>
      </c>
      <c r="W417">
        <v>42.304</v>
      </c>
      <c r="X417">
        <v>76.375</v>
      </c>
      <c r="Y417">
        <v>15.214</v>
      </c>
      <c r="Z417">
        <v>27.141</v>
      </c>
      <c r="AA417">
        <v>241.453</v>
      </c>
      <c r="AB417">
        <v>0.99073</v>
      </c>
      <c r="AC417">
        <v>259</v>
      </c>
      <c r="AD417">
        <v>1</v>
      </c>
      <c r="AG417">
        <v>87</v>
      </c>
      <c r="AH417">
        <v>54</v>
      </c>
      <c r="AI417">
        <v>78</v>
      </c>
      <c r="AJ417">
        <v>12</v>
      </c>
      <c r="AK417">
        <v>28</v>
      </c>
    </row>
    <row r="418" spans="1:37">
      <c r="A418" t="s">
        <v>888</v>
      </c>
      <c r="B418" t="s">
        <v>1751</v>
      </c>
      <c r="C418">
        <v>19.2</v>
      </c>
      <c r="D418" t="s">
        <v>1474</v>
      </c>
      <c r="E418">
        <v>27</v>
      </c>
      <c r="F418">
        <v>0</v>
      </c>
      <c r="G418">
        <v>0</v>
      </c>
      <c r="I418">
        <v>1.07773</v>
      </c>
      <c r="J418">
        <v>1.02205</v>
      </c>
      <c r="K418">
        <v>0.98639</v>
      </c>
      <c r="L418">
        <v>1.01811</v>
      </c>
      <c r="M418">
        <v>0.93762</v>
      </c>
      <c r="N418">
        <v>1.02443</v>
      </c>
      <c r="O418">
        <v>1.01104</v>
      </c>
      <c r="P418">
        <v>0.96796</v>
      </c>
      <c r="Q418">
        <v>1</v>
      </c>
      <c r="R418">
        <v>1</v>
      </c>
      <c r="S418">
        <v>1.02356</v>
      </c>
      <c r="T418">
        <v>1.08501</v>
      </c>
      <c r="U418">
        <v>1</v>
      </c>
      <c r="V418">
        <v>79.304</v>
      </c>
      <c r="W418">
        <v>41.86</v>
      </c>
      <c r="X418">
        <v>92.41</v>
      </c>
      <c r="Y418">
        <v>18.151</v>
      </c>
      <c r="Z418">
        <v>29.406</v>
      </c>
      <c r="AA418">
        <v>261.131</v>
      </c>
      <c r="AB418">
        <v>0.91912</v>
      </c>
      <c r="AC418">
        <v>261</v>
      </c>
      <c r="AD418">
        <v>0</v>
      </c>
      <c r="AG418">
        <v>60</v>
      </c>
      <c r="AH418">
        <v>36</v>
      </c>
      <c r="AI418">
        <v>107</v>
      </c>
      <c r="AJ418">
        <v>15</v>
      </c>
      <c r="AK418">
        <v>43</v>
      </c>
    </row>
    <row r="419" spans="1:37">
      <c r="A419" t="s">
        <v>889</v>
      </c>
      <c r="B419" t="s">
        <v>1755</v>
      </c>
      <c r="C419">
        <v>17.4</v>
      </c>
      <c r="D419" t="s">
        <v>1474</v>
      </c>
      <c r="E419">
        <v>28</v>
      </c>
      <c r="F419">
        <v>0</v>
      </c>
      <c r="G419">
        <v>0</v>
      </c>
      <c r="I419">
        <v>1.07791</v>
      </c>
      <c r="J419">
        <v>1.02098</v>
      </c>
      <c r="K419">
        <v>0.98639</v>
      </c>
      <c r="L419">
        <v>1.01746</v>
      </c>
      <c r="M419">
        <v>0.88828</v>
      </c>
      <c r="N419">
        <v>1.01857</v>
      </c>
      <c r="O419">
        <v>0.9955000000000001</v>
      </c>
      <c r="P419">
        <v>0.95929</v>
      </c>
      <c r="Q419">
        <v>1</v>
      </c>
      <c r="R419">
        <v>1.08534</v>
      </c>
      <c r="S419">
        <v>1.02776</v>
      </c>
      <c r="T419">
        <v>1.0552</v>
      </c>
      <c r="U419">
        <v>1</v>
      </c>
      <c r="V419">
        <v>24.242</v>
      </c>
      <c r="W419">
        <v>14.469</v>
      </c>
      <c r="X419">
        <v>128.868</v>
      </c>
      <c r="Y419">
        <v>46.263</v>
      </c>
      <c r="Z419">
        <v>33.926</v>
      </c>
      <c r="AA419">
        <v>247.768</v>
      </c>
      <c r="AB419">
        <v>0.96989</v>
      </c>
      <c r="AC419">
        <v>240</v>
      </c>
      <c r="AD419">
        <v>0</v>
      </c>
      <c r="AG419">
        <v>27</v>
      </c>
      <c r="AH419">
        <v>18</v>
      </c>
      <c r="AI419">
        <v>116</v>
      </c>
      <c r="AJ419">
        <v>41</v>
      </c>
      <c r="AK419">
        <v>38</v>
      </c>
    </row>
    <row r="420" spans="1:37">
      <c r="A420" t="s">
        <v>890</v>
      </c>
      <c r="B420" t="s">
        <v>1753</v>
      </c>
      <c r="C420">
        <v>16.3</v>
      </c>
      <c r="D420" t="s">
        <v>1475</v>
      </c>
      <c r="E420">
        <v>29</v>
      </c>
      <c r="F420">
        <v>0</v>
      </c>
      <c r="G420">
        <v>0</v>
      </c>
      <c r="I420">
        <v>1.0781</v>
      </c>
      <c r="J420">
        <v>1.00226</v>
      </c>
      <c r="K420">
        <v>0.98639</v>
      </c>
      <c r="L420">
        <v>1.01674</v>
      </c>
      <c r="M420">
        <v>0.9839</v>
      </c>
      <c r="N420">
        <v>0.99814</v>
      </c>
      <c r="O420">
        <v>1.00795</v>
      </c>
      <c r="P420">
        <v>0.95767</v>
      </c>
      <c r="Q420">
        <v>1</v>
      </c>
      <c r="R420">
        <v>1</v>
      </c>
      <c r="S420">
        <v>1.02683</v>
      </c>
      <c r="T420">
        <v>1.04791</v>
      </c>
      <c r="U420">
        <v>1</v>
      </c>
      <c r="V420">
        <v>16.223</v>
      </c>
      <c r="W420">
        <v>6.143</v>
      </c>
      <c r="X420">
        <v>124.88</v>
      </c>
      <c r="Y420">
        <v>54.06</v>
      </c>
      <c r="Z420">
        <v>35.345</v>
      </c>
      <c r="AA420">
        <v>236.652</v>
      </c>
      <c r="AB420">
        <v>1.07585</v>
      </c>
      <c r="AC420">
        <v>249</v>
      </c>
      <c r="AD420">
        <v>0</v>
      </c>
      <c r="AG420">
        <v>16</v>
      </c>
      <c r="AH420">
        <v>5</v>
      </c>
      <c r="AI420">
        <v>124</v>
      </c>
      <c r="AJ420">
        <v>58</v>
      </c>
      <c r="AK420">
        <v>46</v>
      </c>
    </row>
    <row r="421" spans="1:37">
      <c r="A421" t="s">
        <v>891</v>
      </c>
      <c r="B421" t="s">
        <v>1754</v>
      </c>
      <c r="C421">
        <v>16.3</v>
      </c>
      <c r="D421" t="s">
        <v>1475</v>
      </c>
      <c r="E421">
        <v>30</v>
      </c>
      <c r="F421">
        <v>0</v>
      </c>
      <c r="G421">
        <v>0</v>
      </c>
      <c r="I421">
        <v>1.07829</v>
      </c>
      <c r="J421">
        <v>1.01137</v>
      </c>
      <c r="K421">
        <v>0.98639</v>
      </c>
      <c r="L421">
        <v>1.01594</v>
      </c>
      <c r="M421">
        <v>0.8888</v>
      </c>
      <c r="N421">
        <v>0.9967200000000001</v>
      </c>
      <c r="O421">
        <v>0.98016</v>
      </c>
      <c r="P421">
        <v>0.95922</v>
      </c>
      <c r="Q421">
        <v>1</v>
      </c>
      <c r="R421">
        <v>1</v>
      </c>
      <c r="S421">
        <v>1</v>
      </c>
      <c r="T421">
        <v>1.05063</v>
      </c>
      <c r="U421">
        <v>1</v>
      </c>
      <c r="V421">
        <v>22.311</v>
      </c>
      <c r="W421">
        <v>9.343</v>
      </c>
      <c r="X421">
        <v>101.974</v>
      </c>
      <c r="Y421">
        <v>45.818</v>
      </c>
      <c r="Z421">
        <v>31.335</v>
      </c>
      <c r="AA421">
        <v>210.782</v>
      </c>
      <c r="AB421">
        <v>0.8953100000000001</v>
      </c>
      <c r="AC421">
        <v>193</v>
      </c>
      <c r="AD421">
        <v>0</v>
      </c>
      <c r="AG421">
        <v>30</v>
      </c>
      <c r="AH421">
        <v>6</v>
      </c>
      <c r="AI421">
        <v>93</v>
      </c>
      <c r="AJ421">
        <v>31</v>
      </c>
      <c r="AK421">
        <v>33</v>
      </c>
    </row>
    <row r="422" spans="1:37">
      <c r="A422" t="s">
        <v>425</v>
      </c>
      <c r="B422" t="s">
        <v>1751</v>
      </c>
      <c r="C422">
        <v>17.9</v>
      </c>
      <c r="D422" t="s">
        <v>1475</v>
      </c>
      <c r="E422">
        <v>31</v>
      </c>
      <c r="F422">
        <v>0</v>
      </c>
      <c r="G422">
        <v>0</v>
      </c>
      <c r="I422">
        <v>1.07848</v>
      </c>
      <c r="J422">
        <v>1.02701</v>
      </c>
      <c r="K422">
        <v>0.98639</v>
      </c>
      <c r="L422">
        <v>1.01508</v>
      </c>
      <c r="M422">
        <v>0.88627</v>
      </c>
      <c r="N422">
        <v>1.01155</v>
      </c>
      <c r="O422">
        <v>0.90763</v>
      </c>
      <c r="P422">
        <v>0.96802</v>
      </c>
      <c r="Q422">
        <v>1</v>
      </c>
      <c r="R422">
        <v>1</v>
      </c>
      <c r="S422">
        <v>1</v>
      </c>
      <c r="T422">
        <v>1.0847</v>
      </c>
      <c r="U422">
        <v>1</v>
      </c>
      <c r="V422">
        <v>79.25</v>
      </c>
      <c r="W422">
        <v>17.213</v>
      </c>
      <c r="X422">
        <v>76.55</v>
      </c>
      <c r="Y422">
        <v>17.891</v>
      </c>
      <c r="Z422">
        <v>26.671</v>
      </c>
      <c r="AA422">
        <v>217.576</v>
      </c>
      <c r="AB422">
        <v>1.09044</v>
      </c>
      <c r="AC422">
        <v>243</v>
      </c>
      <c r="AD422">
        <v>0</v>
      </c>
      <c r="AG422">
        <v>78</v>
      </c>
      <c r="AH422">
        <v>22</v>
      </c>
      <c r="AI422">
        <v>90</v>
      </c>
      <c r="AJ422">
        <v>25</v>
      </c>
      <c r="AK422">
        <v>28</v>
      </c>
    </row>
    <row r="423" spans="1:37">
      <c r="A423" t="s">
        <v>892</v>
      </c>
      <c r="B423" t="s">
        <v>1751</v>
      </c>
      <c r="C423">
        <v>19.4</v>
      </c>
      <c r="D423" t="s">
        <v>1475</v>
      </c>
      <c r="E423">
        <v>32</v>
      </c>
      <c r="F423">
        <v>0</v>
      </c>
      <c r="G423">
        <v>0</v>
      </c>
      <c r="I423">
        <v>1.07866</v>
      </c>
      <c r="J423">
        <v>1.02527</v>
      </c>
      <c r="K423">
        <v>0.98639</v>
      </c>
      <c r="L423">
        <v>1.01416</v>
      </c>
      <c r="M423">
        <v>0.85605</v>
      </c>
      <c r="N423">
        <v>1.02565</v>
      </c>
      <c r="O423">
        <v>0.9067</v>
      </c>
      <c r="P423">
        <v>0.96773</v>
      </c>
      <c r="Q423">
        <v>1</v>
      </c>
      <c r="R423">
        <v>1</v>
      </c>
      <c r="S423">
        <v>1</v>
      </c>
      <c r="T423">
        <v>1.08256</v>
      </c>
      <c r="U423">
        <v>1</v>
      </c>
      <c r="V423">
        <v>75.3</v>
      </c>
      <c r="W423">
        <v>17.153</v>
      </c>
      <c r="X423">
        <v>76.518</v>
      </c>
      <c r="Y423">
        <v>16.672</v>
      </c>
      <c r="Z423">
        <v>27.221</v>
      </c>
      <c r="AA423">
        <v>212.864</v>
      </c>
      <c r="AB423">
        <v>0.91627</v>
      </c>
      <c r="AC423">
        <v>180</v>
      </c>
      <c r="AD423">
        <v>0</v>
      </c>
      <c r="AG423">
        <v>51</v>
      </c>
      <c r="AH423">
        <v>16</v>
      </c>
      <c r="AI423">
        <v>81</v>
      </c>
      <c r="AJ423">
        <v>16</v>
      </c>
      <c r="AK423">
        <v>16</v>
      </c>
    </row>
    <row r="424" spans="1:37">
      <c r="A424" t="s">
        <v>893</v>
      </c>
      <c r="B424" t="s">
        <v>1751</v>
      </c>
      <c r="C424">
        <v>17.2</v>
      </c>
      <c r="D424" t="s">
        <v>1475</v>
      </c>
      <c r="E424">
        <v>0</v>
      </c>
      <c r="F424">
        <v>0</v>
      </c>
      <c r="G424">
        <v>0</v>
      </c>
      <c r="I424">
        <v>1.07885</v>
      </c>
      <c r="J424">
        <v>1.02999</v>
      </c>
      <c r="K424">
        <v>0.98639</v>
      </c>
      <c r="L424">
        <v>1.0132</v>
      </c>
      <c r="M424">
        <v>0.88159</v>
      </c>
      <c r="N424">
        <v>1.00399</v>
      </c>
      <c r="O424">
        <v>0.9122400000000001</v>
      </c>
      <c r="P424">
        <v>1.06477</v>
      </c>
      <c r="Q424">
        <v>1</v>
      </c>
      <c r="R424">
        <v>1</v>
      </c>
      <c r="S424">
        <v>1</v>
      </c>
      <c r="T424">
        <v>1.07908</v>
      </c>
      <c r="U424">
        <v>1</v>
      </c>
      <c r="V424">
        <v>78.69799999999999</v>
      </c>
      <c r="W424">
        <v>18.393</v>
      </c>
      <c r="X424">
        <v>89.096</v>
      </c>
      <c r="Y424">
        <v>20.177</v>
      </c>
      <c r="Z424">
        <v>30.785</v>
      </c>
      <c r="AA424">
        <v>237.15</v>
      </c>
      <c r="AB424">
        <v>0.96811</v>
      </c>
      <c r="AC424">
        <v>188</v>
      </c>
      <c r="AD424">
        <v>0</v>
      </c>
      <c r="AG424">
        <v>63</v>
      </c>
      <c r="AH424">
        <v>14</v>
      </c>
      <c r="AI424">
        <v>65</v>
      </c>
      <c r="AJ424">
        <v>21</v>
      </c>
      <c r="AK424">
        <v>25</v>
      </c>
    </row>
    <row r="425" spans="1:37">
      <c r="A425" t="s">
        <v>894</v>
      </c>
      <c r="B425" t="s">
        <v>1751</v>
      </c>
      <c r="C425">
        <v>17.8</v>
      </c>
      <c r="D425" t="s">
        <v>1475</v>
      </c>
      <c r="E425">
        <v>1</v>
      </c>
      <c r="F425">
        <v>0</v>
      </c>
      <c r="G425">
        <v>0</v>
      </c>
      <c r="I425">
        <v>1.07904</v>
      </c>
      <c r="J425">
        <v>1.0269</v>
      </c>
      <c r="K425">
        <v>0.98639</v>
      </c>
      <c r="L425">
        <v>1.01221</v>
      </c>
      <c r="M425">
        <v>0.93019</v>
      </c>
      <c r="N425">
        <v>1.01314</v>
      </c>
      <c r="O425">
        <v>0.92315</v>
      </c>
      <c r="P425">
        <v>1.04477</v>
      </c>
      <c r="Q425">
        <v>1</v>
      </c>
      <c r="R425">
        <v>1</v>
      </c>
      <c r="S425">
        <v>1</v>
      </c>
      <c r="T425">
        <v>1.07579</v>
      </c>
      <c r="U425">
        <v>1</v>
      </c>
      <c r="V425">
        <v>76.17</v>
      </c>
      <c r="W425">
        <v>17.15</v>
      </c>
      <c r="X425">
        <v>97.77500000000001</v>
      </c>
      <c r="Y425">
        <v>23.023</v>
      </c>
      <c r="Z425">
        <v>31.746</v>
      </c>
      <c r="AA425">
        <v>245.863</v>
      </c>
      <c r="AB425">
        <v>1.06269</v>
      </c>
      <c r="AC425">
        <v>257</v>
      </c>
      <c r="AD425">
        <v>0</v>
      </c>
      <c r="AG425">
        <v>70</v>
      </c>
      <c r="AH425">
        <v>18</v>
      </c>
      <c r="AI425">
        <v>114</v>
      </c>
      <c r="AJ425">
        <v>26</v>
      </c>
      <c r="AK425">
        <v>29</v>
      </c>
    </row>
    <row r="426" spans="1:37">
      <c r="A426" t="s">
        <v>895</v>
      </c>
      <c r="B426" t="s">
        <v>1752</v>
      </c>
      <c r="C426">
        <v>18.2</v>
      </c>
      <c r="D426" t="s">
        <v>1475</v>
      </c>
      <c r="E426">
        <v>2</v>
      </c>
      <c r="F426">
        <v>0</v>
      </c>
      <c r="G426">
        <v>0</v>
      </c>
      <c r="I426">
        <v>1.07922</v>
      </c>
      <c r="J426">
        <v>1.02006</v>
      </c>
      <c r="K426">
        <v>0.98639</v>
      </c>
      <c r="L426">
        <v>1.01119</v>
      </c>
      <c r="M426">
        <v>1.18109</v>
      </c>
      <c r="N426">
        <v>1.02694</v>
      </c>
      <c r="O426">
        <v>0.95972</v>
      </c>
      <c r="P426">
        <v>1.03285</v>
      </c>
      <c r="Q426">
        <v>1</v>
      </c>
      <c r="R426">
        <v>1</v>
      </c>
      <c r="S426">
        <v>1</v>
      </c>
      <c r="T426">
        <v>1.06537</v>
      </c>
      <c r="U426">
        <v>1</v>
      </c>
      <c r="V426">
        <v>70.56100000000001</v>
      </c>
      <c r="W426">
        <v>14.189</v>
      </c>
      <c r="X426">
        <v>146.514</v>
      </c>
      <c r="Y426">
        <v>38.654</v>
      </c>
      <c r="Z426">
        <v>36.877</v>
      </c>
      <c r="AA426">
        <v>306.794</v>
      </c>
      <c r="AB426">
        <v>0.92532</v>
      </c>
      <c r="AC426">
        <v>292</v>
      </c>
      <c r="AD426">
        <v>0</v>
      </c>
      <c r="AG426">
        <v>79</v>
      </c>
      <c r="AH426">
        <v>12</v>
      </c>
      <c r="AI426">
        <v>149</v>
      </c>
      <c r="AJ426">
        <v>20</v>
      </c>
      <c r="AK426">
        <v>32</v>
      </c>
    </row>
    <row r="427" spans="1:37">
      <c r="A427" t="s">
        <v>896</v>
      </c>
      <c r="B427" t="s">
        <v>1753</v>
      </c>
      <c r="C427">
        <v>17.5</v>
      </c>
      <c r="D427" t="s">
        <v>1475</v>
      </c>
      <c r="E427">
        <v>3</v>
      </c>
      <c r="F427">
        <v>0</v>
      </c>
      <c r="G427">
        <v>0</v>
      </c>
      <c r="I427">
        <v>1.07941</v>
      </c>
      <c r="J427">
        <v>1.00865</v>
      </c>
      <c r="K427">
        <v>1.01135</v>
      </c>
      <c r="L427">
        <v>1.01017</v>
      </c>
      <c r="M427">
        <v>0.99787</v>
      </c>
      <c r="N427">
        <v>1.02064</v>
      </c>
      <c r="O427">
        <v>1.01073</v>
      </c>
      <c r="P427">
        <v>1.0255</v>
      </c>
      <c r="Q427">
        <v>1</v>
      </c>
      <c r="R427">
        <v>1</v>
      </c>
      <c r="S427">
        <v>1</v>
      </c>
      <c r="T427">
        <v>1.04119</v>
      </c>
      <c r="U427">
        <v>1</v>
      </c>
      <c r="V427">
        <v>17.026</v>
      </c>
      <c r="W427">
        <v>6.245</v>
      </c>
      <c r="X427">
        <v>134.308</v>
      </c>
      <c r="Y427">
        <v>60.516</v>
      </c>
      <c r="Z427">
        <v>39.635</v>
      </c>
      <c r="AA427">
        <v>257.73</v>
      </c>
      <c r="AB427">
        <v>1.04138</v>
      </c>
      <c r="AC427">
        <v>265</v>
      </c>
      <c r="AD427">
        <v>0</v>
      </c>
      <c r="AG427">
        <v>22</v>
      </c>
      <c r="AH427">
        <v>8</v>
      </c>
      <c r="AI427">
        <v>145</v>
      </c>
      <c r="AJ427">
        <v>64</v>
      </c>
      <c r="AK427">
        <v>26</v>
      </c>
    </row>
    <row r="428" spans="1:37">
      <c r="A428" t="s">
        <v>897</v>
      </c>
      <c r="B428" t="s">
        <v>1754</v>
      </c>
      <c r="C428">
        <v>20</v>
      </c>
      <c r="D428" t="s">
        <v>1475</v>
      </c>
      <c r="E428">
        <v>4</v>
      </c>
      <c r="F428">
        <v>0</v>
      </c>
      <c r="G428">
        <v>0</v>
      </c>
      <c r="I428">
        <v>1.0796</v>
      </c>
      <c r="J428">
        <v>1.01728</v>
      </c>
      <c r="K428">
        <v>1.01135</v>
      </c>
      <c r="L428">
        <v>1.00913</v>
      </c>
      <c r="M428">
        <v>0.90988</v>
      </c>
      <c r="N428">
        <v>1.05476</v>
      </c>
      <c r="O428">
        <v>0.98547</v>
      </c>
      <c r="P428">
        <v>1.01655</v>
      </c>
      <c r="Q428">
        <v>1</v>
      </c>
      <c r="R428">
        <v>1</v>
      </c>
      <c r="S428">
        <v>1</v>
      </c>
      <c r="T428">
        <v>1.04516</v>
      </c>
      <c r="U428">
        <v>1</v>
      </c>
      <c r="V428">
        <v>23.336</v>
      </c>
      <c r="W428">
        <v>9.843999999999999</v>
      </c>
      <c r="X428">
        <v>119.495</v>
      </c>
      <c r="Y428">
        <v>52.56</v>
      </c>
      <c r="Z428">
        <v>36.221</v>
      </c>
      <c r="AA428">
        <v>241.455</v>
      </c>
      <c r="AB428">
        <v>1.04299</v>
      </c>
      <c r="AC428">
        <v>242</v>
      </c>
      <c r="AD428">
        <v>0</v>
      </c>
      <c r="AG428">
        <v>35</v>
      </c>
      <c r="AH428">
        <v>7</v>
      </c>
      <c r="AI428">
        <v>105</v>
      </c>
      <c r="AJ428">
        <v>50</v>
      </c>
      <c r="AK428">
        <v>45</v>
      </c>
    </row>
    <row r="429" spans="1:37">
      <c r="A429" t="s">
        <v>426</v>
      </c>
      <c r="B429" t="s">
        <v>1751</v>
      </c>
      <c r="C429">
        <v>19.8</v>
      </c>
      <c r="D429" t="s">
        <v>82</v>
      </c>
      <c r="E429">
        <v>5</v>
      </c>
      <c r="F429">
        <v>0</v>
      </c>
      <c r="G429">
        <v>0</v>
      </c>
      <c r="I429">
        <v>1.07979</v>
      </c>
      <c r="J429">
        <v>0.9978900000000001</v>
      </c>
      <c r="K429">
        <v>1.01135</v>
      </c>
      <c r="L429">
        <v>1.00811</v>
      </c>
      <c r="M429">
        <v>0.89942</v>
      </c>
      <c r="N429">
        <v>1.02514</v>
      </c>
      <c r="O429">
        <v>1</v>
      </c>
      <c r="P429">
        <v>1.00829</v>
      </c>
      <c r="Q429">
        <v>1</v>
      </c>
      <c r="R429">
        <v>1</v>
      </c>
      <c r="S429">
        <v>1</v>
      </c>
      <c r="T429">
        <v>1.08067</v>
      </c>
      <c r="U429">
        <v>1</v>
      </c>
      <c r="V429">
        <v>85.929</v>
      </c>
      <c r="W429">
        <v>38.86</v>
      </c>
      <c r="X429">
        <v>79.61499999999999</v>
      </c>
      <c r="Y429">
        <v>17.113</v>
      </c>
      <c r="Z429">
        <v>28.784</v>
      </c>
      <c r="AA429">
        <v>250.301</v>
      </c>
      <c r="AB429">
        <v>0.9545</v>
      </c>
      <c r="AC429">
        <v>264</v>
      </c>
      <c r="AD429">
        <v>0</v>
      </c>
      <c r="AG429">
        <v>84</v>
      </c>
      <c r="AH429">
        <v>49</v>
      </c>
      <c r="AI429">
        <v>80</v>
      </c>
      <c r="AJ429">
        <v>19</v>
      </c>
      <c r="AK429">
        <v>32</v>
      </c>
    </row>
    <row r="430" spans="1:37">
      <c r="A430" t="s">
        <v>898</v>
      </c>
      <c r="B430" t="s">
        <v>1751</v>
      </c>
      <c r="C430">
        <v>20.7</v>
      </c>
      <c r="D430" t="s">
        <v>82</v>
      </c>
      <c r="E430">
        <v>6</v>
      </c>
      <c r="F430">
        <v>0</v>
      </c>
      <c r="G430">
        <v>0</v>
      </c>
      <c r="I430">
        <v>1.07997</v>
      </c>
      <c r="J430">
        <v>0.98891</v>
      </c>
      <c r="K430">
        <v>1.01135</v>
      </c>
      <c r="L430">
        <v>1.00711</v>
      </c>
      <c r="M430">
        <v>0.87234</v>
      </c>
      <c r="N430">
        <v>1.02984</v>
      </c>
      <c r="O430">
        <v>1</v>
      </c>
      <c r="P430">
        <v>1.00559</v>
      </c>
      <c r="Q430">
        <v>1</v>
      </c>
      <c r="R430">
        <v>1</v>
      </c>
      <c r="S430">
        <v>1</v>
      </c>
      <c r="T430">
        <v>1.07956</v>
      </c>
      <c r="U430">
        <v>1</v>
      </c>
      <c r="V430">
        <v>80.943</v>
      </c>
      <c r="W430">
        <v>38.398</v>
      </c>
      <c r="X430">
        <v>77.324</v>
      </c>
      <c r="Y430">
        <v>15.575</v>
      </c>
      <c r="Z430">
        <v>28.778</v>
      </c>
      <c r="AA430">
        <v>241.018</v>
      </c>
      <c r="AB430">
        <v>0.97979</v>
      </c>
      <c r="AC430">
        <v>244</v>
      </c>
      <c r="AD430">
        <v>0</v>
      </c>
      <c r="AG430">
        <v>89</v>
      </c>
      <c r="AH430">
        <v>39</v>
      </c>
      <c r="AI430">
        <v>81</v>
      </c>
      <c r="AJ430">
        <v>12</v>
      </c>
      <c r="AK430">
        <v>23</v>
      </c>
    </row>
    <row r="431" spans="1:37">
      <c r="A431" t="s">
        <v>899</v>
      </c>
      <c r="B431" t="s">
        <v>1751</v>
      </c>
      <c r="C431">
        <v>22.8</v>
      </c>
      <c r="D431" t="s">
        <v>82</v>
      </c>
      <c r="E431">
        <v>7</v>
      </c>
      <c r="F431">
        <v>0</v>
      </c>
      <c r="G431">
        <v>0</v>
      </c>
      <c r="I431">
        <v>1.08016</v>
      </c>
      <c r="J431">
        <v>0.99171</v>
      </c>
      <c r="K431">
        <v>1.01135</v>
      </c>
      <c r="L431">
        <v>1.00614</v>
      </c>
      <c r="M431">
        <v>0.8973100000000001</v>
      </c>
      <c r="N431">
        <v>1.03653</v>
      </c>
      <c r="O431">
        <v>1</v>
      </c>
      <c r="P431">
        <v>1.0038</v>
      </c>
      <c r="Q431">
        <v>1</v>
      </c>
      <c r="R431">
        <v>1</v>
      </c>
      <c r="S431">
        <v>1</v>
      </c>
      <c r="T431">
        <v>1.07799</v>
      </c>
      <c r="U431">
        <v>1</v>
      </c>
      <c r="V431">
        <v>81.048</v>
      </c>
      <c r="W431">
        <v>38.422</v>
      </c>
      <c r="X431">
        <v>82.36199999999999</v>
      </c>
      <c r="Y431">
        <v>17.017</v>
      </c>
      <c r="Z431">
        <v>30.33</v>
      </c>
      <c r="AA431">
        <v>249.179</v>
      </c>
      <c r="AB431">
        <v>0.99869</v>
      </c>
      <c r="AC431">
        <v>255</v>
      </c>
      <c r="AD431">
        <v>0</v>
      </c>
      <c r="AG431">
        <v>82</v>
      </c>
      <c r="AH431">
        <v>39</v>
      </c>
      <c r="AI431">
        <v>89</v>
      </c>
      <c r="AJ431">
        <v>14</v>
      </c>
      <c r="AK431">
        <v>31</v>
      </c>
    </row>
    <row r="432" spans="1:37">
      <c r="A432" t="s">
        <v>900</v>
      </c>
      <c r="B432" t="s">
        <v>1751</v>
      </c>
      <c r="C432">
        <v>22.1</v>
      </c>
      <c r="D432" t="s">
        <v>82</v>
      </c>
      <c r="E432">
        <v>8</v>
      </c>
      <c r="F432">
        <v>0</v>
      </c>
      <c r="G432">
        <v>0</v>
      </c>
      <c r="I432">
        <v>1.08035</v>
      </c>
      <c r="J432">
        <v>1.00821</v>
      </c>
      <c r="K432">
        <v>1.01135</v>
      </c>
      <c r="L432">
        <v>1.00521</v>
      </c>
      <c r="M432">
        <v>0.93555</v>
      </c>
      <c r="N432">
        <v>1.03944</v>
      </c>
      <c r="O432">
        <v>1</v>
      </c>
      <c r="P432">
        <v>1.00262</v>
      </c>
      <c r="Q432">
        <v>1</v>
      </c>
      <c r="R432">
        <v>1</v>
      </c>
      <c r="S432">
        <v>1</v>
      </c>
      <c r="T432">
        <v>1.07535</v>
      </c>
      <c r="U432">
        <v>1</v>
      </c>
      <c r="V432">
        <v>80.65000000000001</v>
      </c>
      <c r="W432">
        <v>37.045</v>
      </c>
      <c r="X432">
        <v>93.523</v>
      </c>
      <c r="Y432">
        <v>20.159</v>
      </c>
      <c r="Z432">
        <v>32.094</v>
      </c>
      <c r="AA432">
        <v>263.471</v>
      </c>
      <c r="AB432">
        <v>0.92222</v>
      </c>
      <c r="AC432">
        <v>252</v>
      </c>
      <c r="AD432">
        <v>1</v>
      </c>
      <c r="AG432">
        <v>89</v>
      </c>
      <c r="AH432">
        <v>32</v>
      </c>
      <c r="AI432">
        <v>86</v>
      </c>
      <c r="AJ432">
        <v>17</v>
      </c>
      <c r="AK432">
        <v>28</v>
      </c>
    </row>
    <row r="433" spans="1:37">
      <c r="A433" t="s">
        <v>901</v>
      </c>
      <c r="B433" t="s">
        <v>1752</v>
      </c>
      <c r="C433">
        <v>20.7</v>
      </c>
      <c r="D433" t="s">
        <v>82</v>
      </c>
      <c r="E433">
        <v>9</v>
      </c>
      <c r="F433">
        <v>0</v>
      </c>
      <c r="G433">
        <v>0</v>
      </c>
      <c r="I433">
        <v>1.08053</v>
      </c>
      <c r="J433">
        <v>1.00294</v>
      </c>
      <c r="K433">
        <v>1.01135</v>
      </c>
      <c r="L433">
        <v>1.00433</v>
      </c>
      <c r="M433">
        <v>1.14363</v>
      </c>
      <c r="N433">
        <v>1.04764</v>
      </c>
      <c r="O433">
        <v>1</v>
      </c>
      <c r="P433">
        <v>1.00193</v>
      </c>
      <c r="Q433">
        <v>1</v>
      </c>
      <c r="R433">
        <v>1</v>
      </c>
      <c r="S433">
        <v>1</v>
      </c>
      <c r="T433">
        <v>1.06618</v>
      </c>
      <c r="U433">
        <v>1</v>
      </c>
      <c r="V433">
        <v>75.241</v>
      </c>
      <c r="W433">
        <v>30.992</v>
      </c>
      <c r="X433">
        <v>140.998</v>
      </c>
      <c r="Y433">
        <v>34.182</v>
      </c>
      <c r="Z433">
        <v>36.994</v>
      </c>
      <c r="AA433">
        <v>318.408</v>
      </c>
      <c r="AB433">
        <v>0.98093</v>
      </c>
      <c r="AC433">
        <v>295</v>
      </c>
      <c r="AD433">
        <v>0</v>
      </c>
      <c r="AG433">
        <v>80</v>
      </c>
      <c r="AH433">
        <v>24</v>
      </c>
      <c r="AI433">
        <v>122</v>
      </c>
      <c r="AJ433">
        <v>32</v>
      </c>
      <c r="AK433">
        <v>37</v>
      </c>
    </row>
    <row r="434" spans="1:37">
      <c r="A434" t="s">
        <v>902</v>
      </c>
      <c r="B434" t="s">
        <v>1753</v>
      </c>
      <c r="C434">
        <v>19.5</v>
      </c>
      <c r="D434" t="s">
        <v>82</v>
      </c>
      <c r="E434">
        <v>10</v>
      </c>
      <c r="F434">
        <v>0</v>
      </c>
      <c r="G434">
        <v>0</v>
      </c>
      <c r="I434">
        <v>1.08072</v>
      </c>
      <c r="J434">
        <v>1.00398</v>
      </c>
      <c r="K434">
        <v>1.01135</v>
      </c>
      <c r="L434">
        <v>1.00351</v>
      </c>
      <c r="M434">
        <v>0.91978</v>
      </c>
      <c r="N434">
        <v>1.0493</v>
      </c>
      <c r="O434">
        <v>1</v>
      </c>
      <c r="P434">
        <v>1.00152</v>
      </c>
      <c r="Q434">
        <v>1</v>
      </c>
      <c r="R434">
        <v>1</v>
      </c>
      <c r="S434">
        <v>1</v>
      </c>
      <c r="T434">
        <v>1.04168</v>
      </c>
      <c r="U434">
        <v>1</v>
      </c>
      <c r="V434">
        <v>17.996</v>
      </c>
      <c r="W434">
        <v>13.559</v>
      </c>
      <c r="X434">
        <v>129.452</v>
      </c>
      <c r="Y434">
        <v>53.568</v>
      </c>
      <c r="Z434">
        <v>39.464</v>
      </c>
      <c r="AA434">
        <v>254.04</v>
      </c>
      <c r="AB434">
        <v>0.95272</v>
      </c>
      <c r="AC434">
        <v>250</v>
      </c>
      <c r="AD434">
        <v>0</v>
      </c>
      <c r="AG434">
        <v>22</v>
      </c>
      <c r="AH434">
        <v>18</v>
      </c>
      <c r="AI434">
        <v>116</v>
      </c>
      <c r="AJ434">
        <v>50</v>
      </c>
      <c r="AK434">
        <v>44</v>
      </c>
    </row>
    <row r="435" spans="1:37">
      <c r="A435" t="s">
        <v>903</v>
      </c>
      <c r="B435" t="s">
        <v>1754</v>
      </c>
      <c r="C435">
        <v>19.1</v>
      </c>
      <c r="D435" t="s">
        <v>82</v>
      </c>
      <c r="E435">
        <v>11</v>
      </c>
      <c r="F435">
        <v>0</v>
      </c>
      <c r="G435">
        <v>0</v>
      </c>
      <c r="I435">
        <v>1.08091</v>
      </c>
      <c r="J435">
        <v>1.01209</v>
      </c>
      <c r="K435">
        <v>1.01135</v>
      </c>
      <c r="L435">
        <v>1.00276</v>
      </c>
      <c r="M435">
        <v>0.85307</v>
      </c>
      <c r="N435">
        <v>1.03945</v>
      </c>
      <c r="O435">
        <v>1</v>
      </c>
      <c r="P435">
        <v>1.00097</v>
      </c>
      <c r="Q435">
        <v>1</v>
      </c>
      <c r="R435">
        <v>1</v>
      </c>
      <c r="S435">
        <v>1</v>
      </c>
      <c r="T435">
        <v>1.04656</v>
      </c>
      <c r="U435">
        <v>1</v>
      </c>
      <c r="V435">
        <v>24.722</v>
      </c>
      <c r="W435">
        <v>21.461</v>
      </c>
      <c r="X435">
        <v>110.351</v>
      </c>
      <c r="Y435">
        <v>45.218</v>
      </c>
      <c r="Z435">
        <v>34.754</v>
      </c>
      <c r="AA435">
        <v>236.505</v>
      </c>
      <c r="AB435">
        <v>1.10284</v>
      </c>
      <c r="AC435">
        <v>244</v>
      </c>
      <c r="AD435">
        <v>0</v>
      </c>
      <c r="AG435">
        <v>17</v>
      </c>
      <c r="AH435">
        <v>22</v>
      </c>
      <c r="AI435">
        <v>129</v>
      </c>
      <c r="AJ435">
        <v>51</v>
      </c>
      <c r="AK435">
        <v>25</v>
      </c>
    </row>
    <row r="436" spans="1:37">
      <c r="A436" t="s">
        <v>427</v>
      </c>
      <c r="B436" t="s">
        <v>1751</v>
      </c>
      <c r="C436">
        <v>20</v>
      </c>
      <c r="D436" t="s">
        <v>82</v>
      </c>
      <c r="E436">
        <v>12</v>
      </c>
      <c r="F436">
        <v>0</v>
      </c>
      <c r="G436">
        <v>0</v>
      </c>
      <c r="I436">
        <v>1.0811</v>
      </c>
      <c r="J436">
        <v>1.03016</v>
      </c>
      <c r="K436">
        <v>1.01135</v>
      </c>
      <c r="L436">
        <v>1.00209</v>
      </c>
      <c r="M436">
        <v>0.893</v>
      </c>
      <c r="N436">
        <v>1.0294</v>
      </c>
      <c r="O436">
        <v>1</v>
      </c>
      <c r="P436">
        <v>1.00052</v>
      </c>
      <c r="Q436">
        <v>1</v>
      </c>
      <c r="R436">
        <v>1.06014</v>
      </c>
      <c r="S436">
        <v>1</v>
      </c>
      <c r="T436">
        <v>1.07834</v>
      </c>
      <c r="U436">
        <v>1</v>
      </c>
      <c r="V436">
        <v>88.024</v>
      </c>
      <c r="W436">
        <v>39.69</v>
      </c>
      <c r="X436">
        <v>93.21599999999999</v>
      </c>
      <c r="Y436">
        <v>19.146</v>
      </c>
      <c r="Z436">
        <v>30.787</v>
      </c>
      <c r="AA436">
        <v>270.862</v>
      </c>
      <c r="AB436">
        <v>1.01968</v>
      </c>
      <c r="AC436">
        <v>293</v>
      </c>
      <c r="AD436">
        <v>0</v>
      </c>
      <c r="AG436">
        <v>92</v>
      </c>
      <c r="AH436">
        <v>27</v>
      </c>
      <c r="AI436">
        <v>117</v>
      </c>
      <c r="AJ436">
        <v>23</v>
      </c>
      <c r="AK436">
        <v>34</v>
      </c>
    </row>
    <row r="437" spans="1:37">
      <c r="A437" t="s">
        <v>904</v>
      </c>
      <c r="B437" t="s">
        <v>1756</v>
      </c>
      <c r="C437">
        <v>19</v>
      </c>
      <c r="D437" t="s">
        <v>82</v>
      </c>
      <c r="E437">
        <v>13</v>
      </c>
      <c r="F437">
        <v>1</v>
      </c>
      <c r="G437">
        <v>0</v>
      </c>
      <c r="I437">
        <v>1.08128</v>
      </c>
      <c r="J437">
        <v>1.03837</v>
      </c>
      <c r="K437">
        <v>1.01135</v>
      </c>
      <c r="L437">
        <v>1.0015</v>
      </c>
      <c r="M437">
        <v>0.91951</v>
      </c>
      <c r="N437">
        <v>1.03065</v>
      </c>
      <c r="O437">
        <v>1</v>
      </c>
      <c r="P437">
        <v>1.00044</v>
      </c>
      <c r="Q437">
        <v>0.77868</v>
      </c>
      <c r="R437">
        <v>1</v>
      </c>
      <c r="S437">
        <v>1</v>
      </c>
      <c r="T437">
        <v>1.0461</v>
      </c>
      <c r="U437">
        <v>1</v>
      </c>
      <c r="V437">
        <v>21.539</v>
      </c>
      <c r="W437">
        <v>15.295</v>
      </c>
      <c r="X437">
        <v>106.813</v>
      </c>
      <c r="Y437">
        <v>24.187</v>
      </c>
      <c r="Z437">
        <v>40.817</v>
      </c>
      <c r="AA437">
        <v>208.651</v>
      </c>
      <c r="AB437">
        <v>0.98167</v>
      </c>
      <c r="AC437">
        <v>221</v>
      </c>
      <c r="AD437">
        <v>0</v>
      </c>
      <c r="AG437">
        <v>25</v>
      </c>
      <c r="AH437">
        <v>10</v>
      </c>
      <c r="AI437">
        <v>116</v>
      </c>
      <c r="AJ437">
        <v>27</v>
      </c>
      <c r="AK437">
        <v>43</v>
      </c>
    </row>
    <row r="438" spans="1:37">
      <c r="A438" t="s">
        <v>905</v>
      </c>
      <c r="B438" t="s">
        <v>1756</v>
      </c>
      <c r="C438">
        <v>19.6</v>
      </c>
      <c r="D438" t="s">
        <v>82</v>
      </c>
      <c r="E438">
        <v>14</v>
      </c>
      <c r="F438">
        <v>2</v>
      </c>
      <c r="G438">
        <v>0</v>
      </c>
      <c r="I438">
        <v>1.08147</v>
      </c>
      <c r="J438">
        <v>1.04057</v>
      </c>
      <c r="K438">
        <v>1.01135</v>
      </c>
      <c r="L438">
        <v>1.001</v>
      </c>
      <c r="M438">
        <v>0.93638</v>
      </c>
      <c r="N438">
        <v>1.03895</v>
      </c>
      <c r="O438">
        <v>1</v>
      </c>
      <c r="P438">
        <v>1.0003</v>
      </c>
      <c r="Q438">
        <v>0.81311</v>
      </c>
      <c r="R438">
        <v>1</v>
      </c>
      <c r="S438">
        <v>1</v>
      </c>
      <c r="T438">
        <v>1.04584</v>
      </c>
      <c r="U438">
        <v>1</v>
      </c>
      <c r="V438">
        <v>22.339</v>
      </c>
      <c r="W438">
        <v>15.862</v>
      </c>
      <c r="X438">
        <v>114.55</v>
      </c>
      <c r="Y438">
        <v>26.146</v>
      </c>
      <c r="Z438">
        <v>43.098</v>
      </c>
      <c r="AA438">
        <v>221.995</v>
      </c>
      <c r="AB438">
        <v>0.95079</v>
      </c>
      <c r="AC438">
        <v>200</v>
      </c>
      <c r="AD438">
        <v>0</v>
      </c>
      <c r="AG438">
        <v>18</v>
      </c>
      <c r="AH438">
        <v>13</v>
      </c>
      <c r="AI438">
        <v>112</v>
      </c>
      <c r="AJ438">
        <v>18</v>
      </c>
      <c r="AK438">
        <v>39</v>
      </c>
    </row>
    <row r="439" spans="1:37">
      <c r="A439" t="s">
        <v>906</v>
      </c>
      <c r="B439" t="s">
        <v>1756</v>
      </c>
      <c r="C439">
        <v>19.4</v>
      </c>
      <c r="D439" t="s">
        <v>82</v>
      </c>
      <c r="E439">
        <v>15</v>
      </c>
      <c r="F439">
        <v>3</v>
      </c>
      <c r="G439">
        <v>0</v>
      </c>
      <c r="I439">
        <v>1.08166</v>
      </c>
      <c r="J439">
        <v>1.06618</v>
      </c>
      <c r="K439">
        <v>1.01135</v>
      </c>
      <c r="L439">
        <v>1.0006</v>
      </c>
      <c r="M439">
        <v>0.96715</v>
      </c>
      <c r="N439">
        <v>1.03763</v>
      </c>
      <c r="O439">
        <v>1</v>
      </c>
      <c r="P439">
        <v>0.99683</v>
      </c>
      <c r="Q439">
        <v>0.85179</v>
      </c>
      <c r="R439">
        <v>1</v>
      </c>
      <c r="S439">
        <v>1</v>
      </c>
      <c r="T439">
        <v>1.04546</v>
      </c>
      <c r="U439">
        <v>1</v>
      </c>
      <c r="V439">
        <v>23.447</v>
      </c>
      <c r="W439">
        <v>16.43</v>
      </c>
      <c r="X439">
        <v>126.009</v>
      </c>
      <c r="Y439">
        <v>29.282</v>
      </c>
      <c r="Z439">
        <v>46.307</v>
      </c>
      <c r="AA439">
        <v>241.476</v>
      </c>
      <c r="AB439">
        <v>0.98137</v>
      </c>
      <c r="AC439">
        <v>253</v>
      </c>
      <c r="AD439">
        <v>0</v>
      </c>
      <c r="AG439">
        <v>17</v>
      </c>
      <c r="AH439">
        <v>18</v>
      </c>
      <c r="AI439">
        <v>136</v>
      </c>
      <c r="AJ439">
        <v>32</v>
      </c>
      <c r="AK439">
        <v>50</v>
      </c>
    </row>
    <row r="440" spans="1:37">
      <c r="A440" t="s">
        <v>907</v>
      </c>
      <c r="B440" t="s">
        <v>1756</v>
      </c>
      <c r="C440">
        <v>17.4</v>
      </c>
      <c r="D440" t="s">
        <v>82</v>
      </c>
      <c r="E440">
        <v>16</v>
      </c>
      <c r="F440">
        <v>4</v>
      </c>
      <c r="G440">
        <v>0</v>
      </c>
      <c r="I440">
        <v>1.08185</v>
      </c>
      <c r="J440">
        <v>1.05904</v>
      </c>
      <c r="K440">
        <v>1.01135</v>
      </c>
      <c r="L440">
        <v>1.0003</v>
      </c>
      <c r="M440">
        <v>1.09364</v>
      </c>
      <c r="N440">
        <v>1.01066</v>
      </c>
      <c r="O440">
        <v>1</v>
      </c>
      <c r="P440">
        <v>0.9933</v>
      </c>
      <c r="Q440">
        <v>0.9153</v>
      </c>
      <c r="R440">
        <v>1</v>
      </c>
      <c r="S440">
        <v>1</v>
      </c>
      <c r="T440">
        <v>1.04443</v>
      </c>
      <c r="U440">
        <v>1</v>
      </c>
      <c r="V440">
        <v>23.429</v>
      </c>
      <c r="W440">
        <v>15.706</v>
      </c>
      <c r="X440">
        <v>146.687</v>
      </c>
      <c r="Y440">
        <v>36.099</v>
      </c>
      <c r="Z440">
        <v>49.097</v>
      </c>
      <c r="AA440">
        <v>271.019</v>
      </c>
      <c r="AB440">
        <v>1.04274</v>
      </c>
      <c r="AC440">
        <v>269</v>
      </c>
      <c r="AD440">
        <v>0</v>
      </c>
      <c r="AG440">
        <v>24</v>
      </c>
      <c r="AH440">
        <v>13</v>
      </c>
      <c r="AI440">
        <v>161</v>
      </c>
      <c r="AJ440">
        <v>36</v>
      </c>
      <c r="AK440">
        <v>35</v>
      </c>
    </row>
    <row r="441" spans="1:37">
      <c r="A441" t="s">
        <v>908</v>
      </c>
      <c r="B441" t="s">
        <v>1756</v>
      </c>
      <c r="C441">
        <v>19.6</v>
      </c>
      <c r="D441" t="s">
        <v>82</v>
      </c>
      <c r="E441">
        <v>17</v>
      </c>
      <c r="F441">
        <v>5</v>
      </c>
      <c r="G441">
        <v>0</v>
      </c>
      <c r="I441">
        <v>1.08203</v>
      </c>
      <c r="J441">
        <v>1.05875</v>
      </c>
      <c r="K441">
        <v>1.01135</v>
      </c>
      <c r="L441">
        <v>1.0001</v>
      </c>
      <c r="M441">
        <v>1.05661</v>
      </c>
      <c r="N441">
        <v>1.04639</v>
      </c>
      <c r="O441">
        <v>1</v>
      </c>
      <c r="P441">
        <v>0.98946</v>
      </c>
      <c r="Q441">
        <v>1.07014</v>
      </c>
      <c r="R441">
        <v>1</v>
      </c>
      <c r="S441">
        <v>1</v>
      </c>
      <c r="T441">
        <v>1.03858</v>
      </c>
      <c r="U441">
        <v>1</v>
      </c>
      <c r="V441">
        <v>13.622</v>
      </c>
      <c r="W441">
        <v>11.619</v>
      </c>
      <c r="X441">
        <v>152.767</v>
      </c>
      <c r="Y441">
        <v>45.947</v>
      </c>
      <c r="Z441">
        <v>53.992</v>
      </c>
      <c r="AA441">
        <v>277.948</v>
      </c>
      <c r="AB441">
        <v>0.91192</v>
      </c>
      <c r="AC441">
        <v>241</v>
      </c>
      <c r="AD441">
        <v>0</v>
      </c>
      <c r="AG441">
        <v>11</v>
      </c>
      <c r="AH441">
        <v>5</v>
      </c>
      <c r="AI441">
        <v>151</v>
      </c>
      <c r="AJ441">
        <v>34</v>
      </c>
      <c r="AK441">
        <v>40</v>
      </c>
    </row>
    <row r="442" spans="1:37">
      <c r="A442" t="s">
        <v>909</v>
      </c>
      <c r="B442" t="s">
        <v>1756</v>
      </c>
      <c r="C442">
        <v>21.1</v>
      </c>
      <c r="D442" t="s">
        <v>82</v>
      </c>
      <c r="E442">
        <v>18</v>
      </c>
      <c r="F442">
        <v>6</v>
      </c>
      <c r="G442">
        <v>0</v>
      </c>
      <c r="I442">
        <v>1.08222</v>
      </c>
      <c r="J442">
        <v>1.05375</v>
      </c>
      <c r="K442">
        <v>1.01135</v>
      </c>
      <c r="L442">
        <v>1.00001</v>
      </c>
      <c r="M442">
        <v>1.01487</v>
      </c>
      <c r="N442">
        <v>1.05975</v>
      </c>
      <c r="O442">
        <v>1</v>
      </c>
      <c r="P442">
        <v>0.98604</v>
      </c>
      <c r="Q442">
        <v>1.06162</v>
      </c>
      <c r="R442">
        <v>1</v>
      </c>
      <c r="S442">
        <v>1</v>
      </c>
      <c r="T442">
        <v>1.0397</v>
      </c>
      <c r="U442">
        <v>1</v>
      </c>
      <c r="V442">
        <v>15.808</v>
      </c>
      <c r="W442">
        <v>14.259</v>
      </c>
      <c r="X442">
        <v>148.651</v>
      </c>
      <c r="Y442">
        <v>44.321</v>
      </c>
      <c r="Z442">
        <v>53.65</v>
      </c>
      <c r="AA442">
        <v>276.689</v>
      </c>
      <c r="AB442">
        <v>0.97963</v>
      </c>
      <c r="AC442">
        <v>266</v>
      </c>
      <c r="AD442">
        <v>0</v>
      </c>
      <c r="AG442">
        <v>18</v>
      </c>
      <c r="AH442">
        <v>20</v>
      </c>
      <c r="AI442">
        <v>124</v>
      </c>
      <c r="AJ442">
        <v>55</v>
      </c>
      <c r="AK442">
        <v>49</v>
      </c>
    </row>
    <row r="443" spans="1:37">
      <c r="A443" t="s">
        <v>428</v>
      </c>
      <c r="B443" t="s">
        <v>1756</v>
      </c>
      <c r="C443">
        <v>19.7</v>
      </c>
      <c r="D443" t="s">
        <v>82</v>
      </c>
      <c r="E443">
        <v>19</v>
      </c>
      <c r="F443">
        <v>7</v>
      </c>
      <c r="G443">
        <v>0</v>
      </c>
      <c r="I443">
        <v>1.08241</v>
      </c>
      <c r="J443">
        <v>1.04406</v>
      </c>
      <c r="K443">
        <v>1.01135</v>
      </c>
      <c r="L443">
        <v>0.99999</v>
      </c>
      <c r="M443">
        <v>0.9298999999999999</v>
      </c>
      <c r="N443">
        <v>1.03977</v>
      </c>
      <c r="O443">
        <v>1</v>
      </c>
      <c r="P443">
        <v>0.98332</v>
      </c>
      <c r="Q443">
        <v>0.91426</v>
      </c>
      <c r="R443">
        <v>1</v>
      </c>
      <c r="S443">
        <v>1</v>
      </c>
      <c r="T443">
        <v>1.04642</v>
      </c>
      <c r="U443">
        <v>1</v>
      </c>
      <c r="V443">
        <v>25.828</v>
      </c>
      <c r="W443">
        <v>17.914</v>
      </c>
      <c r="X443">
        <v>126.469</v>
      </c>
      <c r="Y443">
        <v>29.267</v>
      </c>
      <c r="Z443">
        <v>47.848</v>
      </c>
      <c r="AA443">
        <v>247.325</v>
      </c>
      <c r="AB443">
        <v>1.00793</v>
      </c>
      <c r="AC443">
        <v>242</v>
      </c>
      <c r="AD443">
        <v>0</v>
      </c>
      <c r="AG443">
        <v>22</v>
      </c>
      <c r="AH443">
        <v>12</v>
      </c>
      <c r="AI443">
        <v>129</v>
      </c>
      <c r="AJ443">
        <v>27</v>
      </c>
      <c r="AK443">
        <v>52</v>
      </c>
    </row>
    <row r="444" spans="1:37">
      <c r="A444" t="s">
        <v>910</v>
      </c>
      <c r="B444" t="s">
        <v>1756</v>
      </c>
      <c r="C444">
        <v>19.9</v>
      </c>
      <c r="D444" t="s">
        <v>82</v>
      </c>
      <c r="E444">
        <v>20</v>
      </c>
      <c r="F444">
        <v>8</v>
      </c>
      <c r="G444">
        <v>0</v>
      </c>
      <c r="I444">
        <v>1.08259</v>
      </c>
      <c r="J444">
        <v>1.03647</v>
      </c>
      <c r="K444">
        <v>1.01135</v>
      </c>
      <c r="L444">
        <v>0.99993</v>
      </c>
      <c r="M444">
        <v>0.9196</v>
      </c>
      <c r="N444">
        <v>1.04158</v>
      </c>
      <c r="O444">
        <v>1</v>
      </c>
      <c r="P444">
        <v>0.97995</v>
      </c>
      <c r="Q444">
        <v>0.9155</v>
      </c>
      <c r="R444">
        <v>1</v>
      </c>
      <c r="S444">
        <v>1</v>
      </c>
      <c r="T444">
        <v>1.04632</v>
      </c>
      <c r="U444">
        <v>1</v>
      </c>
      <c r="V444">
        <v>25.12</v>
      </c>
      <c r="W444">
        <v>17.752</v>
      </c>
      <c r="X444">
        <v>124.179</v>
      </c>
      <c r="Y444">
        <v>28.009</v>
      </c>
      <c r="Z444">
        <v>47.468</v>
      </c>
      <c r="AA444">
        <v>242.529</v>
      </c>
      <c r="AB444">
        <v>0.98882</v>
      </c>
      <c r="AC444">
        <v>244</v>
      </c>
      <c r="AD444">
        <v>0</v>
      </c>
      <c r="AG444">
        <v>26</v>
      </c>
      <c r="AH444">
        <v>18</v>
      </c>
      <c r="AI444">
        <v>113</v>
      </c>
      <c r="AJ444">
        <v>32</v>
      </c>
      <c r="AK444">
        <v>55</v>
      </c>
    </row>
    <row r="445" spans="1:37">
      <c r="A445" t="s">
        <v>911</v>
      </c>
      <c r="B445" t="s">
        <v>1756</v>
      </c>
      <c r="C445">
        <v>17.3</v>
      </c>
      <c r="D445" t="s">
        <v>82</v>
      </c>
      <c r="E445">
        <v>21</v>
      </c>
      <c r="F445">
        <v>9</v>
      </c>
      <c r="G445">
        <v>0</v>
      </c>
      <c r="I445">
        <v>1.08278</v>
      </c>
      <c r="J445">
        <v>1.03356</v>
      </c>
      <c r="K445">
        <v>1.01135</v>
      </c>
      <c r="L445">
        <v>0.99982</v>
      </c>
      <c r="M445">
        <v>0.93686</v>
      </c>
      <c r="N445">
        <v>1.00479</v>
      </c>
      <c r="O445">
        <v>1</v>
      </c>
      <c r="P445">
        <v>0.97665</v>
      </c>
      <c r="Q445">
        <v>0.90862</v>
      </c>
      <c r="R445">
        <v>1</v>
      </c>
      <c r="S445">
        <v>1</v>
      </c>
      <c r="T445">
        <v>1.04668</v>
      </c>
      <c r="U445">
        <v>1</v>
      </c>
      <c r="V445">
        <v>25.024</v>
      </c>
      <c r="W445">
        <v>17.67</v>
      </c>
      <c r="X445">
        <v>120.448</v>
      </c>
      <c r="Y445">
        <v>27.827</v>
      </c>
      <c r="Z445">
        <v>45.679</v>
      </c>
      <c r="AA445">
        <v>236.649</v>
      </c>
      <c r="AB445">
        <v>0.9314</v>
      </c>
      <c r="AC445">
        <v>233</v>
      </c>
      <c r="AD445">
        <v>0</v>
      </c>
      <c r="AG445">
        <v>26</v>
      </c>
      <c r="AH445">
        <v>18</v>
      </c>
      <c r="AI445">
        <v>117</v>
      </c>
      <c r="AJ445">
        <v>18</v>
      </c>
      <c r="AK445">
        <v>54</v>
      </c>
    </row>
    <row r="446" spans="1:37">
      <c r="A446" t="s">
        <v>912</v>
      </c>
      <c r="B446" t="s">
        <v>1756</v>
      </c>
      <c r="C446">
        <v>16.6</v>
      </c>
      <c r="D446" t="s">
        <v>82</v>
      </c>
      <c r="E446">
        <v>22</v>
      </c>
      <c r="F446">
        <v>10</v>
      </c>
      <c r="G446">
        <v>0</v>
      </c>
      <c r="I446">
        <v>1.08297</v>
      </c>
      <c r="J446">
        <v>1.05453</v>
      </c>
      <c r="K446">
        <v>1.01135</v>
      </c>
      <c r="L446">
        <v>0.99966</v>
      </c>
      <c r="M446">
        <v>0.96724</v>
      </c>
      <c r="N446">
        <v>0.9932</v>
      </c>
      <c r="O446">
        <v>1</v>
      </c>
      <c r="P446">
        <v>0.9732</v>
      </c>
      <c r="Q446">
        <v>0.91756</v>
      </c>
      <c r="R446">
        <v>1</v>
      </c>
      <c r="S446">
        <v>1</v>
      </c>
      <c r="T446">
        <v>1.04639</v>
      </c>
      <c r="U446">
        <v>1</v>
      </c>
      <c r="V446">
        <v>25.299</v>
      </c>
      <c r="W446">
        <v>17.63</v>
      </c>
      <c r="X446">
        <v>125.828</v>
      </c>
      <c r="Y446">
        <v>29.718</v>
      </c>
      <c r="Z446">
        <v>46.89</v>
      </c>
      <c r="AA446">
        <v>245.365</v>
      </c>
      <c r="AB446">
        <v>0.96447</v>
      </c>
      <c r="AC446">
        <v>222</v>
      </c>
      <c r="AD446">
        <v>0</v>
      </c>
      <c r="AG446">
        <v>18</v>
      </c>
      <c r="AH446">
        <v>17</v>
      </c>
      <c r="AI446">
        <v>120</v>
      </c>
      <c r="AJ446">
        <v>30</v>
      </c>
      <c r="AK446">
        <v>37</v>
      </c>
    </row>
    <row r="447" spans="1:37">
      <c r="A447" t="s">
        <v>913</v>
      </c>
      <c r="B447" t="s">
        <v>1756</v>
      </c>
      <c r="C447">
        <v>17.6</v>
      </c>
      <c r="D447" t="s">
        <v>82</v>
      </c>
      <c r="E447">
        <v>23</v>
      </c>
      <c r="F447">
        <v>11</v>
      </c>
      <c r="G447">
        <v>0</v>
      </c>
      <c r="I447">
        <v>1.08316</v>
      </c>
      <c r="J447">
        <v>1.04992</v>
      </c>
      <c r="K447">
        <v>1.01135</v>
      </c>
      <c r="L447">
        <v>0.99944</v>
      </c>
      <c r="M447">
        <v>1.09337</v>
      </c>
      <c r="N447">
        <v>1.01417</v>
      </c>
      <c r="O447">
        <v>1</v>
      </c>
      <c r="P447">
        <v>0.96926</v>
      </c>
      <c r="Q447">
        <v>0.97022</v>
      </c>
      <c r="R447">
        <v>1</v>
      </c>
      <c r="S447">
        <v>1</v>
      </c>
      <c r="T447">
        <v>1.04478</v>
      </c>
      <c r="U447">
        <v>1</v>
      </c>
      <c r="V447">
        <v>24.532</v>
      </c>
      <c r="W447">
        <v>16.356</v>
      </c>
      <c r="X447">
        <v>151.377</v>
      </c>
      <c r="Y447">
        <v>37.194</v>
      </c>
      <c r="Z447">
        <v>50.582</v>
      </c>
      <c r="AA447">
        <v>280.041</v>
      </c>
      <c r="AB447">
        <v>0.90579</v>
      </c>
      <c r="AC447">
        <v>236</v>
      </c>
      <c r="AD447">
        <v>0</v>
      </c>
      <c r="AG447">
        <v>25</v>
      </c>
      <c r="AH447">
        <v>21</v>
      </c>
      <c r="AI447">
        <v>117</v>
      </c>
      <c r="AJ447">
        <v>27</v>
      </c>
      <c r="AK447">
        <v>46</v>
      </c>
    </row>
    <row r="448" spans="1:37">
      <c r="A448" t="s">
        <v>914</v>
      </c>
      <c r="B448" t="s">
        <v>1756</v>
      </c>
      <c r="C448">
        <v>19.7</v>
      </c>
      <c r="D448" t="s">
        <v>82</v>
      </c>
      <c r="E448">
        <v>24</v>
      </c>
      <c r="F448">
        <v>12</v>
      </c>
      <c r="G448">
        <v>0</v>
      </c>
      <c r="I448">
        <v>1.08334</v>
      </c>
      <c r="J448">
        <v>1.04228</v>
      </c>
      <c r="K448">
        <v>1.01135</v>
      </c>
      <c r="L448">
        <v>0.99918</v>
      </c>
      <c r="M448">
        <v>1.05539</v>
      </c>
      <c r="N448">
        <v>1.0476</v>
      </c>
      <c r="O448">
        <v>1</v>
      </c>
      <c r="P448">
        <v>0.96456</v>
      </c>
      <c r="Q448">
        <v>1.0998</v>
      </c>
      <c r="R448">
        <v>1</v>
      </c>
      <c r="S448">
        <v>1</v>
      </c>
      <c r="T448">
        <v>1.03886</v>
      </c>
      <c r="U448">
        <v>1</v>
      </c>
      <c r="V448">
        <v>13.725</v>
      </c>
      <c r="W448">
        <v>11.642</v>
      </c>
      <c r="X448">
        <v>151.203</v>
      </c>
      <c r="Y448">
        <v>45.447</v>
      </c>
      <c r="Z448">
        <v>53.434</v>
      </c>
      <c r="AA448">
        <v>275.451</v>
      </c>
      <c r="AB448">
        <v>0.9068000000000001</v>
      </c>
      <c r="AC448">
        <v>257</v>
      </c>
      <c r="AD448">
        <v>0</v>
      </c>
      <c r="AG448">
        <v>11</v>
      </c>
      <c r="AH448">
        <v>10</v>
      </c>
      <c r="AI448">
        <v>146</v>
      </c>
      <c r="AJ448">
        <v>43</v>
      </c>
      <c r="AK448">
        <v>47</v>
      </c>
    </row>
    <row r="449" spans="1:37">
      <c r="A449" t="s">
        <v>915</v>
      </c>
      <c r="B449" t="s">
        <v>1756</v>
      </c>
      <c r="C449">
        <v>18.7</v>
      </c>
      <c r="D449" t="s">
        <v>82</v>
      </c>
      <c r="E449">
        <v>25</v>
      </c>
      <c r="F449">
        <v>13</v>
      </c>
      <c r="G449">
        <v>0</v>
      </c>
      <c r="I449">
        <v>1.08353</v>
      </c>
      <c r="J449">
        <v>1.04043</v>
      </c>
      <c r="K449">
        <v>1.01135</v>
      </c>
      <c r="L449">
        <v>0.99888</v>
      </c>
      <c r="M449">
        <v>1.01253</v>
      </c>
      <c r="N449">
        <v>1.03217</v>
      </c>
      <c r="O449">
        <v>1</v>
      </c>
      <c r="P449">
        <v>0.96152</v>
      </c>
      <c r="Q449">
        <v>1.05054</v>
      </c>
      <c r="R449">
        <v>1</v>
      </c>
      <c r="S449">
        <v>1</v>
      </c>
      <c r="T449">
        <v>1.04027</v>
      </c>
      <c r="U449">
        <v>1</v>
      </c>
      <c r="V449">
        <v>15.491</v>
      </c>
      <c r="W449">
        <v>13.897</v>
      </c>
      <c r="X449">
        <v>138.751</v>
      </c>
      <c r="Y449">
        <v>41.696</v>
      </c>
      <c r="Z449">
        <v>49.7</v>
      </c>
      <c r="AA449">
        <v>259.535</v>
      </c>
      <c r="AB449">
        <v>0.99809</v>
      </c>
      <c r="AC449">
        <v>264</v>
      </c>
      <c r="AD449">
        <v>0</v>
      </c>
      <c r="AG449">
        <v>22</v>
      </c>
      <c r="AH449">
        <v>12</v>
      </c>
      <c r="AI449">
        <v>144</v>
      </c>
      <c r="AJ449">
        <v>38</v>
      </c>
      <c r="AK449">
        <v>48</v>
      </c>
    </row>
    <row r="450" spans="1:37">
      <c r="A450" t="s">
        <v>429</v>
      </c>
      <c r="B450" t="s">
        <v>1756</v>
      </c>
      <c r="C450">
        <v>19.5</v>
      </c>
      <c r="D450" t="s">
        <v>82</v>
      </c>
      <c r="E450">
        <v>26</v>
      </c>
      <c r="F450">
        <v>14</v>
      </c>
      <c r="G450">
        <v>0</v>
      </c>
      <c r="I450">
        <v>1.08372</v>
      </c>
      <c r="J450">
        <v>1.04664</v>
      </c>
      <c r="K450">
        <v>1.01135</v>
      </c>
      <c r="L450">
        <v>0.99853</v>
      </c>
      <c r="M450">
        <v>0.93016</v>
      </c>
      <c r="N450">
        <v>1.0373</v>
      </c>
      <c r="O450">
        <v>1</v>
      </c>
      <c r="P450">
        <v>0.95988</v>
      </c>
      <c r="Q450">
        <v>0.90878</v>
      </c>
      <c r="R450">
        <v>1</v>
      </c>
      <c r="S450">
        <v>1</v>
      </c>
      <c r="T450">
        <v>1.04689</v>
      </c>
      <c r="U450">
        <v>1</v>
      </c>
      <c r="V450">
        <v>25.689</v>
      </c>
      <c r="W450">
        <v>17.72</v>
      </c>
      <c r="X450">
        <v>123.04</v>
      </c>
      <c r="Y450">
        <v>28.488</v>
      </c>
      <c r="Z450">
        <v>46.526</v>
      </c>
      <c r="AA450">
        <v>241.463</v>
      </c>
      <c r="AB450">
        <v>1.03772</v>
      </c>
      <c r="AC450">
        <v>265</v>
      </c>
      <c r="AD450">
        <v>0</v>
      </c>
      <c r="AG450">
        <v>30</v>
      </c>
      <c r="AH450">
        <v>17</v>
      </c>
      <c r="AI450">
        <v>146</v>
      </c>
      <c r="AJ450">
        <v>24</v>
      </c>
      <c r="AK450">
        <v>48</v>
      </c>
    </row>
    <row r="451" spans="1:37">
      <c r="A451" t="s">
        <v>916</v>
      </c>
      <c r="B451" t="s">
        <v>1756</v>
      </c>
      <c r="C451">
        <v>19</v>
      </c>
      <c r="D451" t="s">
        <v>82</v>
      </c>
      <c r="E451">
        <v>27</v>
      </c>
      <c r="F451">
        <v>15</v>
      </c>
      <c r="G451">
        <v>0</v>
      </c>
      <c r="I451">
        <v>1.0839</v>
      </c>
      <c r="J451">
        <v>1.05299</v>
      </c>
      <c r="K451">
        <v>1.01135</v>
      </c>
      <c r="L451">
        <v>0.99815</v>
      </c>
      <c r="M451">
        <v>0.9199000000000001</v>
      </c>
      <c r="N451">
        <v>1.0305</v>
      </c>
      <c r="O451">
        <v>1</v>
      </c>
      <c r="P451">
        <v>0.95991</v>
      </c>
      <c r="Q451">
        <v>0.9079700000000001</v>
      </c>
      <c r="R451">
        <v>1</v>
      </c>
      <c r="S451">
        <v>1</v>
      </c>
      <c r="T451">
        <v>1.04688</v>
      </c>
      <c r="U451">
        <v>1</v>
      </c>
      <c r="V451">
        <v>25.342</v>
      </c>
      <c r="W451">
        <v>17.824</v>
      </c>
      <c r="X451">
        <v>121.584</v>
      </c>
      <c r="Y451">
        <v>27.517</v>
      </c>
      <c r="Z451">
        <v>46.438</v>
      </c>
      <c r="AA451">
        <v>238.704</v>
      </c>
      <c r="AB451">
        <v>1.00223</v>
      </c>
      <c r="AC451">
        <v>250</v>
      </c>
      <c r="AD451">
        <v>0</v>
      </c>
      <c r="AG451">
        <v>23</v>
      </c>
      <c r="AH451">
        <v>22</v>
      </c>
      <c r="AI451">
        <v>125</v>
      </c>
      <c r="AJ451">
        <v>21</v>
      </c>
      <c r="AK451">
        <v>59</v>
      </c>
    </row>
    <row r="452" spans="1:37">
      <c r="A452" t="s">
        <v>917</v>
      </c>
      <c r="B452" t="s">
        <v>1756</v>
      </c>
      <c r="C452">
        <v>21.1</v>
      </c>
      <c r="D452" t="s">
        <v>82</v>
      </c>
      <c r="E452">
        <v>28</v>
      </c>
      <c r="F452">
        <v>16</v>
      </c>
      <c r="G452">
        <v>0</v>
      </c>
      <c r="I452">
        <v>1.08409</v>
      </c>
      <c r="J452">
        <v>1.05069</v>
      </c>
      <c r="K452">
        <v>1.01135</v>
      </c>
      <c r="L452">
        <v>0.99773</v>
      </c>
      <c r="M452">
        <v>0.93664</v>
      </c>
      <c r="N452">
        <v>1.05266</v>
      </c>
      <c r="O452">
        <v>1</v>
      </c>
      <c r="P452">
        <v>0.95972</v>
      </c>
      <c r="Q452">
        <v>0.9202900000000001</v>
      </c>
      <c r="R452">
        <v>1</v>
      </c>
      <c r="S452">
        <v>1</v>
      </c>
      <c r="T452">
        <v>1.04637</v>
      </c>
      <c r="U452">
        <v>1</v>
      </c>
      <c r="V452">
        <v>25.281</v>
      </c>
      <c r="W452">
        <v>17.781</v>
      </c>
      <c r="X452">
        <v>127.308</v>
      </c>
      <c r="Y452">
        <v>28.924</v>
      </c>
      <c r="Z452">
        <v>48.257</v>
      </c>
      <c r="AA452">
        <v>247.551</v>
      </c>
      <c r="AB452">
        <v>1.04986</v>
      </c>
      <c r="AC452">
        <v>240</v>
      </c>
      <c r="AD452">
        <v>0</v>
      </c>
      <c r="AG452">
        <v>25</v>
      </c>
      <c r="AH452">
        <v>19</v>
      </c>
      <c r="AI452">
        <v>94</v>
      </c>
      <c r="AJ452">
        <v>40</v>
      </c>
      <c r="AK452">
        <v>62</v>
      </c>
    </row>
    <row r="453" spans="1:37">
      <c r="A453" t="s">
        <v>918</v>
      </c>
      <c r="B453" t="s">
        <v>1756</v>
      </c>
      <c r="C453">
        <v>22.8</v>
      </c>
      <c r="D453" t="s">
        <v>82</v>
      </c>
      <c r="E453">
        <v>0</v>
      </c>
      <c r="F453">
        <v>17</v>
      </c>
      <c r="G453">
        <v>0</v>
      </c>
      <c r="I453">
        <v>1.08428</v>
      </c>
      <c r="J453">
        <v>1.0576</v>
      </c>
      <c r="K453">
        <v>1.01135</v>
      </c>
      <c r="L453">
        <v>0.99729</v>
      </c>
      <c r="M453">
        <v>0.96713</v>
      </c>
      <c r="N453">
        <v>1.06027</v>
      </c>
      <c r="O453">
        <v>1</v>
      </c>
      <c r="P453">
        <v>1.08103</v>
      </c>
      <c r="Q453">
        <v>0.9578</v>
      </c>
      <c r="R453">
        <v>1</v>
      </c>
      <c r="S453">
        <v>1</v>
      </c>
      <c r="T453">
        <v>1.04465</v>
      </c>
      <c r="U453">
        <v>1</v>
      </c>
      <c r="V453">
        <v>26.273</v>
      </c>
      <c r="W453">
        <v>18.741</v>
      </c>
      <c r="X453">
        <v>152.956</v>
      </c>
      <c r="Y453">
        <v>35.346</v>
      </c>
      <c r="Z453">
        <v>58.058</v>
      </c>
      <c r="AA453">
        <v>291.374</v>
      </c>
      <c r="AB453">
        <v>1.00863</v>
      </c>
      <c r="AC453">
        <v>274</v>
      </c>
      <c r="AD453">
        <v>0</v>
      </c>
      <c r="AG453">
        <v>29</v>
      </c>
      <c r="AH453">
        <v>29</v>
      </c>
      <c r="AI453">
        <v>142</v>
      </c>
      <c r="AJ453">
        <v>25</v>
      </c>
      <c r="AK453">
        <v>49</v>
      </c>
    </row>
    <row r="454" spans="1:37">
      <c r="A454" t="s">
        <v>919</v>
      </c>
      <c r="B454" t="s">
        <v>1756</v>
      </c>
      <c r="C454">
        <v>25</v>
      </c>
      <c r="D454" t="s">
        <v>82</v>
      </c>
      <c r="E454">
        <v>1</v>
      </c>
      <c r="F454">
        <v>18</v>
      </c>
      <c r="G454">
        <v>0</v>
      </c>
      <c r="I454">
        <v>1.08447</v>
      </c>
      <c r="J454">
        <v>1.06315</v>
      </c>
      <c r="K454">
        <v>1.01135</v>
      </c>
      <c r="L454">
        <v>0.99682</v>
      </c>
      <c r="M454">
        <v>1.0948</v>
      </c>
      <c r="N454">
        <v>1.05442</v>
      </c>
      <c r="O454">
        <v>1</v>
      </c>
      <c r="P454">
        <v>1.05517</v>
      </c>
      <c r="Q454">
        <v>0.99783</v>
      </c>
      <c r="R454">
        <v>1</v>
      </c>
      <c r="S454">
        <v>1</v>
      </c>
      <c r="T454">
        <v>1.04333</v>
      </c>
      <c r="U454">
        <v>1</v>
      </c>
      <c r="V454">
        <v>25.522</v>
      </c>
      <c r="W454">
        <v>17.334</v>
      </c>
      <c r="X454">
        <v>172.776</v>
      </c>
      <c r="Y454">
        <v>42.109</v>
      </c>
      <c r="Z454">
        <v>62.715</v>
      </c>
      <c r="AA454">
        <v>320.456</v>
      </c>
      <c r="AB454">
        <v>0.97156</v>
      </c>
      <c r="AC454">
        <v>318</v>
      </c>
      <c r="AD454">
        <v>0</v>
      </c>
      <c r="AG454">
        <v>28</v>
      </c>
      <c r="AH454">
        <v>25</v>
      </c>
      <c r="AI454">
        <v>167</v>
      </c>
      <c r="AJ454">
        <v>38</v>
      </c>
      <c r="AK454">
        <v>60</v>
      </c>
    </row>
    <row r="455" spans="1:37">
      <c r="A455" t="s">
        <v>920</v>
      </c>
      <c r="B455" t="s">
        <v>1756</v>
      </c>
      <c r="C455">
        <v>23.7</v>
      </c>
      <c r="D455" t="s">
        <v>82</v>
      </c>
      <c r="E455">
        <v>2</v>
      </c>
      <c r="F455">
        <v>19</v>
      </c>
      <c r="G455">
        <v>0</v>
      </c>
      <c r="I455">
        <v>1.08465</v>
      </c>
      <c r="J455">
        <v>1.06734</v>
      </c>
      <c r="K455">
        <v>1.01135</v>
      </c>
      <c r="L455">
        <v>0.99633</v>
      </c>
      <c r="M455">
        <v>1.05984</v>
      </c>
      <c r="N455">
        <v>1.06538</v>
      </c>
      <c r="O455">
        <v>1</v>
      </c>
      <c r="P455">
        <v>1.03826</v>
      </c>
      <c r="Q455">
        <v>1.11494</v>
      </c>
      <c r="R455">
        <v>1</v>
      </c>
      <c r="S455">
        <v>1</v>
      </c>
      <c r="T455">
        <v>1.03823</v>
      </c>
      <c r="U455">
        <v>1</v>
      </c>
      <c r="V455">
        <v>14.368</v>
      </c>
      <c r="W455">
        <v>12.378</v>
      </c>
      <c r="X455">
        <v>168.336</v>
      </c>
      <c r="Y455">
        <v>50.485</v>
      </c>
      <c r="Z455">
        <v>62.677</v>
      </c>
      <c r="AA455">
        <v>308.244</v>
      </c>
      <c r="AB455">
        <v>0.96232</v>
      </c>
      <c r="AC455">
        <v>305</v>
      </c>
      <c r="AD455">
        <v>0</v>
      </c>
      <c r="AG455">
        <v>8</v>
      </c>
      <c r="AH455">
        <v>12</v>
      </c>
      <c r="AI455">
        <v>168</v>
      </c>
      <c r="AJ455">
        <v>48</v>
      </c>
      <c r="AK455">
        <v>69</v>
      </c>
    </row>
    <row r="456" spans="1:37">
      <c r="A456" t="s">
        <v>921</v>
      </c>
      <c r="B456" t="s">
        <v>1756</v>
      </c>
      <c r="C456">
        <v>26.3</v>
      </c>
      <c r="D456" t="s">
        <v>82</v>
      </c>
      <c r="E456">
        <v>3</v>
      </c>
      <c r="F456">
        <v>20</v>
      </c>
      <c r="G456">
        <v>0</v>
      </c>
      <c r="I456">
        <v>1.08484</v>
      </c>
      <c r="J456">
        <v>1.05998</v>
      </c>
      <c r="K456">
        <v>1.01135</v>
      </c>
      <c r="L456">
        <v>0.99582</v>
      </c>
      <c r="M456">
        <v>1.0146</v>
      </c>
      <c r="N456">
        <v>1.04223</v>
      </c>
      <c r="O456">
        <v>1</v>
      </c>
      <c r="P456">
        <v>1.02531</v>
      </c>
      <c r="Q456">
        <v>1.06504</v>
      </c>
      <c r="R456">
        <v>1</v>
      </c>
      <c r="S456">
        <v>1</v>
      </c>
      <c r="T456">
        <v>1.03911</v>
      </c>
      <c r="U456">
        <v>1</v>
      </c>
      <c r="V456">
        <v>16.086</v>
      </c>
      <c r="W456">
        <v>14.628</v>
      </c>
      <c r="X456">
        <v>148.138</v>
      </c>
      <c r="Y456">
        <v>44.762</v>
      </c>
      <c r="Z456">
        <v>60.56</v>
      </c>
      <c r="AA456">
        <v>284.173</v>
      </c>
      <c r="AB456">
        <v>0.97462</v>
      </c>
      <c r="AC456">
        <v>290</v>
      </c>
      <c r="AD456">
        <v>0</v>
      </c>
      <c r="AG456">
        <v>18</v>
      </c>
      <c r="AH456">
        <v>18</v>
      </c>
      <c r="AI456">
        <v>139</v>
      </c>
      <c r="AJ456">
        <v>47</v>
      </c>
      <c r="AK456">
        <v>68</v>
      </c>
    </row>
    <row r="457" spans="1:37">
      <c r="A457" t="s">
        <v>430</v>
      </c>
      <c r="B457" t="s">
        <v>1756</v>
      </c>
      <c r="C457">
        <v>25.1</v>
      </c>
      <c r="D457" t="s">
        <v>82</v>
      </c>
      <c r="E457">
        <v>4</v>
      </c>
      <c r="F457">
        <v>21</v>
      </c>
      <c r="G457">
        <v>0</v>
      </c>
      <c r="I457">
        <v>1.08503</v>
      </c>
      <c r="J457">
        <v>1.07098</v>
      </c>
      <c r="K457">
        <v>1.01135</v>
      </c>
      <c r="L457">
        <v>0.99531</v>
      </c>
      <c r="M457">
        <v>0.93023</v>
      </c>
      <c r="N457">
        <v>1.04898</v>
      </c>
      <c r="O457">
        <v>1</v>
      </c>
      <c r="P457">
        <v>1.01622</v>
      </c>
      <c r="Q457">
        <v>0.85952</v>
      </c>
      <c r="R457">
        <v>1</v>
      </c>
      <c r="S457">
        <v>1</v>
      </c>
      <c r="T457">
        <v>1.04573</v>
      </c>
      <c r="U457">
        <v>1</v>
      </c>
      <c r="V457">
        <v>24.874</v>
      </c>
      <c r="W457">
        <v>17.376</v>
      </c>
      <c r="X457">
        <v>123.416</v>
      </c>
      <c r="Y457">
        <v>28.644</v>
      </c>
      <c r="Z457">
        <v>51.171</v>
      </c>
      <c r="AA457">
        <v>245.482</v>
      </c>
      <c r="AB457">
        <v>0.98878</v>
      </c>
      <c r="AC457">
        <v>257</v>
      </c>
      <c r="AD457">
        <v>0</v>
      </c>
      <c r="AG457">
        <v>27</v>
      </c>
      <c r="AH457">
        <v>20</v>
      </c>
      <c r="AI457">
        <v>133</v>
      </c>
      <c r="AJ457">
        <v>26</v>
      </c>
      <c r="AK457">
        <v>51</v>
      </c>
    </row>
    <row r="458" spans="1:37">
      <c r="A458" t="s">
        <v>922</v>
      </c>
      <c r="B458" t="s">
        <v>1756</v>
      </c>
      <c r="C458">
        <v>27.8</v>
      </c>
      <c r="D458" t="s">
        <v>82</v>
      </c>
      <c r="E458">
        <v>5</v>
      </c>
      <c r="F458">
        <v>22</v>
      </c>
      <c r="G458">
        <v>0</v>
      </c>
      <c r="I458">
        <v>1.08521</v>
      </c>
      <c r="J458">
        <v>1.0728</v>
      </c>
      <c r="K458">
        <v>0.98043</v>
      </c>
      <c r="L458">
        <v>0.99479</v>
      </c>
      <c r="M458">
        <v>0.92139</v>
      </c>
      <c r="N458">
        <v>1.02122</v>
      </c>
      <c r="O458">
        <v>1</v>
      </c>
      <c r="P458">
        <v>1.01084</v>
      </c>
      <c r="Q458">
        <v>0.8527400000000001</v>
      </c>
      <c r="R458">
        <v>1</v>
      </c>
      <c r="S458">
        <v>1</v>
      </c>
      <c r="T458">
        <v>1.04535</v>
      </c>
      <c r="U458">
        <v>1</v>
      </c>
      <c r="V458">
        <v>23.638</v>
      </c>
      <c r="W458">
        <v>16.818</v>
      </c>
      <c r="X458">
        <v>111.018</v>
      </c>
      <c r="Y458">
        <v>25.567</v>
      </c>
      <c r="Z458">
        <v>51.271</v>
      </c>
      <c r="AA458">
        <v>228.313</v>
      </c>
      <c r="AB458">
        <v>1.05967</v>
      </c>
      <c r="AC458">
        <v>247</v>
      </c>
      <c r="AD458">
        <v>0</v>
      </c>
      <c r="AG458">
        <v>19</v>
      </c>
      <c r="AH458">
        <v>16</v>
      </c>
      <c r="AI458">
        <v>135</v>
      </c>
      <c r="AJ458">
        <v>31</v>
      </c>
      <c r="AK458">
        <v>46</v>
      </c>
    </row>
    <row r="459" spans="1:37">
      <c r="A459" t="s">
        <v>923</v>
      </c>
      <c r="B459" t="s">
        <v>1756</v>
      </c>
      <c r="C459">
        <v>26.7</v>
      </c>
      <c r="D459" t="s">
        <v>82</v>
      </c>
      <c r="E459">
        <v>6</v>
      </c>
      <c r="F459">
        <v>23</v>
      </c>
      <c r="G459">
        <v>0</v>
      </c>
      <c r="I459">
        <v>1.0854</v>
      </c>
      <c r="J459">
        <v>1.06532</v>
      </c>
      <c r="K459">
        <v>0.98043</v>
      </c>
      <c r="L459">
        <v>0.9942800000000001</v>
      </c>
      <c r="M459">
        <v>0.93748</v>
      </c>
      <c r="N459">
        <v>1.03398</v>
      </c>
      <c r="O459">
        <v>1</v>
      </c>
      <c r="P459">
        <v>1.00729</v>
      </c>
      <c r="Q459">
        <v>0.86042</v>
      </c>
      <c r="R459">
        <v>1</v>
      </c>
      <c r="S459">
        <v>1</v>
      </c>
      <c r="T459">
        <v>1.04537</v>
      </c>
      <c r="U459">
        <v>1</v>
      </c>
      <c r="V459">
        <v>23.438</v>
      </c>
      <c r="W459">
        <v>16.663</v>
      </c>
      <c r="X459">
        <v>115.576</v>
      </c>
      <c r="Y459">
        <v>26.688</v>
      </c>
      <c r="Z459">
        <v>50.374</v>
      </c>
      <c r="AA459">
        <v>232.739</v>
      </c>
      <c r="AB459">
        <v>1.0416</v>
      </c>
      <c r="AC459">
        <v>239</v>
      </c>
      <c r="AD459">
        <v>0</v>
      </c>
      <c r="AG459">
        <v>22</v>
      </c>
      <c r="AH459">
        <v>14</v>
      </c>
      <c r="AI459">
        <v>107</v>
      </c>
      <c r="AJ459">
        <v>36</v>
      </c>
      <c r="AK459">
        <v>60</v>
      </c>
    </row>
    <row r="460" spans="1:37">
      <c r="A460" t="s">
        <v>924</v>
      </c>
      <c r="B460" t="s">
        <v>1756</v>
      </c>
      <c r="C460">
        <v>27.3</v>
      </c>
      <c r="D460" t="s">
        <v>82</v>
      </c>
      <c r="E460">
        <v>7</v>
      </c>
      <c r="F460">
        <v>24</v>
      </c>
      <c r="G460">
        <v>0</v>
      </c>
      <c r="I460">
        <v>1.08559</v>
      </c>
      <c r="J460">
        <v>1.06107</v>
      </c>
      <c r="K460">
        <v>0.98043</v>
      </c>
      <c r="L460">
        <v>0.99377</v>
      </c>
      <c r="M460">
        <v>0.9678099999999999</v>
      </c>
      <c r="N460">
        <v>1.02754</v>
      </c>
      <c r="O460">
        <v>1</v>
      </c>
      <c r="P460">
        <v>1.00491</v>
      </c>
      <c r="Q460">
        <v>0.87063</v>
      </c>
      <c r="R460">
        <v>1</v>
      </c>
      <c r="S460">
        <v>1</v>
      </c>
      <c r="T460">
        <v>1.0449</v>
      </c>
      <c r="U460">
        <v>1</v>
      </c>
      <c r="V460">
        <v>23.131</v>
      </c>
      <c r="W460">
        <v>16.232</v>
      </c>
      <c r="X460">
        <v>118.26</v>
      </c>
      <c r="Y460">
        <v>27.896</v>
      </c>
      <c r="Z460">
        <v>51.517</v>
      </c>
      <c r="AA460">
        <v>237.036</v>
      </c>
      <c r="AB460">
        <v>0.97367</v>
      </c>
      <c r="AC460">
        <v>229</v>
      </c>
      <c r="AD460">
        <v>0</v>
      </c>
      <c r="AG460">
        <v>20</v>
      </c>
      <c r="AH460">
        <v>16</v>
      </c>
      <c r="AI460">
        <v>112</v>
      </c>
      <c r="AJ460">
        <v>29</v>
      </c>
      <c r="AK460">
        <v>52</v>
      </c>
    </row>
    <row r="461" spans="1:37">
      <c r="A461" t="s">
        <v>925</v>
      </c>
      <c r="B461" t="s">
        <v>1756</v>
      </c>
      <c r="C461">
        <v>28.4</v>
      </c>
      <c r="D461" t="s">
        <v>1475</v>
      </c>
      <c r="E461">
        <v>8</v>
      </c>
      <c r="F461">
        <v>25</v>
      </c>
      <c r="G461">
        <v>0</v>
      </c>
      <c r="I461">
        <v>1.08578</v>
      </c>
      <c r="J461">
        <v>1.06004</v>
      </c>
      <c r="K461">
        <v>0.98043</v>
      </c>
      <c r="L461">
        <v>0.9932800000000001</v>
      </c>
      <c r="M461">
        <v>1.09989</v>
      </c>
      <c r="N461">
        <v>1.01476</v>
      </c>
      <c r="O461">
        <v>0.9984499999999999</v>
      </c>
      <c r="P461">
        <v>1.00342</v>
      </c>
      <c r="Q461">
        <v>0.96887</v>
      </c>
      <c r="R461">
        <v>1</v>
      </c>
      <c r="S461">
        <v>1</v>
      </c>
      <c r="T461">
        <v>1.04232</v>
      </c>
      <c r="U461">
        <v>1</v>
      </c>
      <c r="V461">
        <v>20.938</v>
      </c>
      <c r="W461">
        <v>6.805</v>
      </c>
      <c r="X461">
        <v>141.144</v>
      </c>
      <c r="Y461">
        <v>37.871</v>
      </c>
      <c r="Z461">
        <v>55.809</v>
      </c>
      <c r="AA461">
        <v>262.566</v>
      </c>
      <c r="AB461">
        <v>1.05668</v>
      </c>
      <c r="AC461">
        <v>258</v>
      </c>
      <c r="AD461">
        <v>0</v>
      </c>
      <c r="AG461">
        <v>21</v>
      </c>
      <c r="AH461">
        <v>6</v>
      </c>
      <c r="AI461">
        <v>128</v>
      </c>
      <c r="AJ461">
        <v>32</v>
      </c>
      <c r="AK461">
        <v>71</v>
      </c>
    </row>
    <row r="462" spans="1:37">
      <c r="A462" t="s">
        <v>926</v>
      </c>
      <c r="B462" t="s">
        <v>1756</v>
      </c>
      <c r="C462">
        <v>28.7</v>
      </c>
      <c r="D462" t="s">
        <v>1475</v>
      </c>
      <c r="E462">
        <v>9</v>
      </c>
      <c r="F462">
        <v>26</v>
      </c>
      <c r="G462">
        <v>0</v>
      </c>
      <c r="I462">
        <v>1.08596</v>
      </c>
      <c r="J462">
        <v>1.06846</v>
      </c>
      <c r="K462">
        <v>0.98043</v>
      </c>
      <c r="L462">
        <v>0.99281</v>
      </c>
      <c r="M462">
        <v>1.0765</v>
      </c>
      <c r="N462">
        <v>1.01143</v>
      </c>
      <c r="O462">
        <v>1.01272</v>
      </c>
      <c r="P462">
        <v>1.00236</v>
      </c>
      <c r="Q462">
        <v>1.07691</v>
      </c>
      <c r="R462">
        <v>1</v>
      </c>
      <c r="S462">
        <v>1</v>
      </c>
      <c r="T462">
        <v>1.03685</v>
      </c>
      <c r="U462">
        <v>1</v>
      </c>
      <c r="V462">
        <v>11.9</v>
      </c>
      <c r="W462">
        <v>4.923</v>
      </c>
      <c r="X462">
        <v>136.957</v>
      </c>
      <c r="Y462">
        <v>45.549</v>
      </c>
      <c r="Z462">
        <v>58.308</v>
      </c>
      <c r="AA462">
        <v>257.638</v>
      </c>
      <c r="AB462">
        <v>0.91413</v>
      </c>
      <c r="AC462">
        <v>232</v>
      </c>
      <c r="AD462">
        <v>0</v>
      </c>
      <c r="AG462">
        <v>17</v>
      </c>
      <c r="AH462">
        <v>9</v>
      </c>
      <c r="AI462">
        <v>108</v>
      </c>
      <c r="AJ462">
        <v>49</v>
      </c>
      <c r="AK462">
        <v>49</v>
      </c>
    </row>
    <row r="463" spans="1:37">
      <c r="A463" t="s">
        <v>927</v>
      </c>
      <c r="B463" t="s">
        <v>1756</v>
      </c>
      <c r="C463">
        <v>28</v>
      </c>
      <c r="D463" t="s">
        <v>1475</v>
      </c>
      <c r="E463">
        <v>10</v>
      </c>
      <c r="F463">
        <v>27</v>
      </c>
      <c r="G463">
        <v>0</v>
      </c>
      <c r="I463">
        <v>1.08615</v>
      </c>
      <c r="J463">
        <v>1.07362</v>
      </c>
      <c r="K463">
        <v>0.98043</v>
      </c>
      <c r="L463">
        <v>0.99236</v>
      </c>
      <c r="M463">
        <v>1.02739</v>
      </c>
      <c r="N463">
        <v>1.02133</v>
      </c>
      <c r="O463">
        <v>1.00576</v>
      </c>
      <c r="P463">
        <v>1.00157</v>
      </c>
      <c r="Q463">
        <v>1.04262</v>
      </c>
      <c r="R463">
        <v>1</v>
      </c>
      <c r="S463">
        <v>1</v>
      </c>
      <c r="T463">
        <v>1.03816</v>
      </c>
      <c r="U463">
        <v>1</v>
      </c>
      <c r="V463">
        <v>13.53</v>
      </c>
      <c r="W463">
        <v>5.923</v>
      </c>
      <c r="X463">
        <v>131.336</v>
      </c>
      <c r="Y463">
        <v>43.242</v>
      </c>
      <c r="Z463">
        <v>55.083</v>
      </c>
      <c r="AA463">
        <v>249.115</v>
      </c>
      <c r="AB463">
        <v>1.03055</v>
      </c>
      <c r="AC463">
        <v>270</v>
      </c>
      <c r="AD463">
        <v>0</v>
      </c>
      <c r="AG463">
        <v>12</v>
      </c>
      <c r="AH463">
        <v>4</v>
      </c>
      <c r="AI463">
        <v>145</v>
      </c>
      <c r="AJ463">
        <v>37</v>
      </c>
      <c r="AK463">
        <v>72</v>
      </c>
    </row>
    <row r="464" spans="1:37">
      <c r="A464" t="s">
        <v>431</v>
      </c>
      <c r="B464" t="s">
        <v>1756</v>
      </c>
      <c r="C464">
        <v>29.3</v>
      </c>
      <c r="D464" t="s">
        <v>1475</v>
      </c>
      <c r="E464">
        <v>11</v>
      </c>
      <c r="F464">
        <v>28</v>
      </c>
      <c r="G464">
        <v>0</v>
      </c>
      <c r="I464">
        <v>1.08634</v>
      </c>
      <c r="J464">
        <v>1.07018</v>
      </c>
      <c r="K464">
        <v>0.98043</v>
      </c>
      <c r="L464">
        <v>0.99193</v>
      </c>
      <c r="M464">
        <v>0.92694</v>
      </c>
      <c r="N464">
        <v>1.00318</v>
      </c>
      <c r="O464">
        <v>0.9841299999999999</v>
      </c>
      <c r="P464">
        <v>1.00101</v>
      </c>
      <c r="Q464">
        <v>0.90701</v>
      </c>
      <c r="R464">
        <v>1</v>
      </c>
      <c r="S464">
        <v>1</v>
      </c>
      <c r="T464">
        <v>1.04425</v>
      </c>
      <c r="U464">
        <v>1</v>
      </c>
      <c r="V464">
        <v>22.252</v>
      </c>
      <c r="W464">
        <v>7.496</v>
      </c>
      <c r="X464">
        <v>110.395</v>
      </c>
      <c r="Y464">
        <v>28.395</v>
      </c>
      <c r="Z464">
        <v>51.528</v>
      </c>
      <c r="AA464">
        <v>220.066</v>
      </c>
      <c r="AB464">
        <v>1.07581</v>
      </c>
      <c r="AC464">
        <v>230</v>
      </c>
      <c r="AD464">
        <v>0</v>
      </c>
      <c r="AG464">
        <v>27</v>
      </c>
      <c r="AH464">
        <v>6</v>
      </c>
      <c r="AI464">
        <v>126</v>
      </c>
      <c r="AJ464">
        <v>21</v>
      </c>
      <c r="AK464">
        <v>50</v>
      </c>
    </row>
    <row r="465" spans="1:37">
      <c r="A465" t="s">
        <v>928</v>
      </c>
      <c r="B465" t="s">
        <v>1756</v>
      </c>
      <c r="C465">
        <v>30.5</v>
      </c>
      <c r="D465" t="s">
        <v>1475</v>
      </c>
      <c r="E465">
        <v>12</v>
      </c>
      <c r="F465">
        <v>29</v>
      </c>
      <c r="G465">
        <v>0</v>
      </c>
      <c r="I465">
        <v>1.08653</v>
      </c>
      <c r="J465">
        <v>1.05229</v>
      </c>
      <c r="K465">
        <v>0.98043</v>
      </c>
      <c r="L465">
        <v>0.99154</v>
      </c>
      <c r="M465">
        <v>0.9170700000000001</v>
      </c>
      <c r="N465">
        <v>0.98888</v>
      </c>
      <c r="O465">
        <v>0.98234</v>
      </c>
      <c r="P465">
        <v>1.00067</v>
      </c>
      <c r="Q465">
        <v>0.90518</v>
      </c>
      <c r="R465">
        <v>1</v>
      </c>
      <c r="S465">
        <v>1</v>
      </c>
      <c r="T465">
        <v>1.04396</v>
      </c>
      <c r="U465">
        <v>1</v>
      </c>
      <c r="V465">
        <v>21.451</v>
      </c>
      <c r="W465">
        <v>7.368</v>
      </c>
      <c r="X465">
        <v>104.123</v>
      </c>
      <c r="Y465">
        <v>26.369</v>
      </c>
      <c r="Z465">
        <v>51.45</v>
      </c>
      <c r="AA465">
        <v>210.76</v>
      </c>
      <c r="AB465">
        <v>0.97827</v>
      </c>
      <c r="AC465">
        <v>191</v>
      </c>
      <c r="AD465">
        <v>0</v>
      </c>
      <c r="AG465">
        <v>17</v>
      </c>
      <c r="AH465">
        <v>8</v>
      </c>
      <c r="AI465">
        <v>96</v>
      </c>
      <c r="AJ465">
        <v>20</v>
      </c>
      <c r="AK465">
        <v>50</v>
      </c>
    </row>
    <row r="466" spans="1:37">
      <c r="A466" t="s">
        <v>929</v>
      </c>
      <c r="B466" t="s">
        <v>1756</v>
      </c>
      <c r="C466">
        <v>30.6</v>
      </c>
      <c r="D466" t="s">
        <v>1475</v>
      </c>
      <c r="E466">
        <v>13</v>
      </c>
      <c r="F466">
        <v>30</v>
      </c>
      <c r="G466">
        <v>0</v>
      </c>
      <c r="I466">
        <v>1.08671</v>
      </c>
      <c r="J466">
        <v>1.05335</v>
      </c>
      <c r="K466">
        <v>0.98043</v>
      </c>
      <c r="L466">
        <v>0.99119</v>
      </c>
      <c r="M466">
        <v>0.93427</v>
      </c>
      <c r="N466">
        <v>0.98744</v>
      </c>
      <c r="O466">
        <v>0.98345</v>
      </c>
      <c r="P466">
        <v>1.00045</v>
      </c>
      <c r="Q466">
        <v>1.15539</v>
      </c>
      <c r="R466">
        <v>1</v>
      </c>
      <c r="S466">
        <v>1</v>
      </c>
      <c r="T466">
        <v>1.04381</v>
      </c>
      <c r="U466">
        <v>1</v>
      </c>
      <c r="V466">
        <v>27.264</v>
      </c>
      <c r="W466">
        <v>9.364000000000001</v>
      </c>
      <c r="X466">
        <v>135.223</v>
      </c>
      <c r="Y466">
        <v>34.634</v>
      </c>
      <c r="Z466">
        <v>66.04300000000001</v>
      </c>
      <c r="AA466">
        <v>272.529</v>
      </c>
      <c r="AB466">
        <v>0.94779</v>
      </c>
      <c r="AC466">
        <v>251</v>
      </c>
      <c r="AD466">
        <v>0</v>
      </c>
      <c r="AG466">
        <v>23</v>
      </c>
      <c r="AH466">
        <v>7</v>
      </c>
      <c r="AI466">
        <v>124</v>
      </c>
      <c r="AJ466">
        <v>35</v>
      </c>
      <c r="AK466">
        <v>62</v>
      </c>
    </row>
    <row r="467" spans="1:37">
      <c r="A467" t="s">
        <v>930</v>
      </c>
      <c r="B467" t="s">
        <v>1757</v>
      </c>
      <c r="C467">
        <v>30.4</v>
      </c>
      <c r="D467" t="s">
        <v>1475</v>
      </c>
      <c r="E467">
        <v>14</v>
      </c>
      <c r="F467">
        <v>0</v>
      </c>
      <c r="G467">
        <v>1</v>
      </c>
      <c r="I467">
        <v>1.0869</v>
      </c>
      <c r="J467">
        <v>1.05822</v>
      </c>
      <c r="K467">
        <v>0.98043</v>
      </c>
      <c r="L467">
        <v>0.99088</v>
      </c>
      <c r="M467">
        <v>1.14332</v>
      </c>
      <c r="N467">
        <v>0.98236</v>
      </c>
      <c r="O467">
        <v>1.03735</v>
      </c>
      <c r="P467">
        <v>1.00033</v>
      </c>
      <c r="Q467">
        <v>1</v>
      </c>
      <c r="R467">
        <v>0.91812</v>
      </c>
      <c r="S467">
        <v>1</v>
      </c>
      <c r="T467">
        <v>1.03423</v>
      </c>
      <c r="U467">
        <v>1</v>
      </c>
      <c r="V467">
        <v>4.637</v>
      </c>
      <c r="W467">
        <v>1.947</v>
      </c>
      <c r="X467">
        <v>106.373</v>
      </c>
      <c r="Y467">
        <v>55.685</v>
      </c>
      <c r="Z467">
        <v>34.933</v>
      </c>
      <c r="AA467">
        <v>203.575</v>
      </c>
      <c r="AB467">
        <v>0.87436</v>
      </c>
      <c r="AC467">
        <v>168</v>
      </c>
      <c r="AD467">
        <v>0</v>
      </c>
      <c r="AG467">
        <v>1</v>
      </c>
      <c r="AH467">
        <v>0</v>
      </c>
      <c r="AI467">
        <v>103</v>
      </c>
      <c r="AJ467">
        <v>42</v>
      </c>
      <c r="AK467">
        <v>22</v>
      </c>
    </row>
    <row r="468" spans="1:37">
      <c r="A468" t="s">
        <v>931</v>
      </c>
      <c r="B468" t="s">
        <v>1755</v>
      </c>
      <c r="C468">
        <v>27.8</v>
      </c>
      <c r="D468" t="s">
        <v>1475</v>
      </c>
      <c r="E468">
        <v>15</v>
      </c>
      <c r="F468">
        <v>0</v>
      </c>
      <c r="G468">
        <v>2</v>
      </c>
      <c r="I468">
        <v>1.08709</v>
      </c>
      <c r="J468">
        <v>1.03569</v>
      </c>
      <c r="K468">
        <v>0.98043</v>
      </c>
      <c r="L468">
        <v>0.99061</v>
      </c>
      <c r="M468">
        <v>1.06975</v>
      </c>
      <c r="N468">
        <v>1.02521</v>
      </c>
      <c r="O468">
        <v>1.02316</v>
      </c>
      <c r="P468">
        <v>0.99661</v>
      </c>
      <c r="Q468">
        <v>1</v>
      </c>
      <c r="R468">
        <v>1.18237</v>
      </c>
      <c r="S468">
        <v>1</v>
      </c>
      <c r="T468">
        <v>1.03748</v>
      </c>
      <c r="U468">
        <v>1</v>
      </c>
      <c r="V468">
        <v>11.333</v>
      </c>
      <c r="W468">
        <v>4.753</v>
      </c>
      <c r="X468">
        <v>137.466</v>
      </c>
      <c r="Y468">
        <v>68.816</v>
      </c>
      <c r="Z468">
        <v>42.558</v>
      </c>
      <c r="AA468">
        <v>264.926</v>
      </c>
      <c r="AB468">
        <v>0.88785</v>
      </c>
      <c r="AC468">
        <v>247</v>
      </c>
      <c r="AD468">
        <v>0</v>
      </c>
      <c r="AG468">
        <v>19</v>
      </c>
      <c r="AH468">
        <v>1</v>
      </c>
      <c r="AI468">
        <v>120</v>
      </c>
      <c r="AJ468">
        <v>58</v>
      </c>
      <c r="AK468">
        <v>49</v>
      </c>
    </row>
    <row r="469" spans="1:37">
      <c r="A469" t="s">
        <v>932</v>
      </c>
      <c r="B469" t="s">
        <v>1755</v>
      </c>
      <c r="C469">
        <v>29.4</v>
      </c>
      <c r="D469" t="s">
        <v>1475</v>
      </c>
      <c r="E469">
        <v>16</v>
      </c>
      <c r="F469">
        <v>0</v>
      </c>
      <c r="G469">
        <v>3</v>
      </c>
      <c r="I469">
        <v>1.08727</v>
      </c>
      <c r="J469">
        <v>1.02294</v>
      </c>
      <c r="K469">
        <v>0.98043</v>
      </c>
      <c r="L469">
        <v>0.99038</v>
      </c>
      <c r="M469">
        <v>1.17015</v>
      </c>
      <c r="N469">
        <v>0.99896</v>
      </c>
      <c r="O469">
        <v>1.03249</v>
      </c>
      <c r="P469">
        <v>0.99287</v>
      </c>
      <c r="Q469">
        <v>1</v>
      </c>
      <c r="R469">
        <v>1.16969</v>
      </c>
      <c r="S469">
        <v>1</v>
      </c>
      <c r="T469">
        <v>1.03615</v>
      </c>
      <c r="U469">
        <v>1</v>
      </c>
      <c r="V469">
        <v>9.839</v>
      </c>
      <c r="W469">
        <v>2.982</v>
      </c>
      <c r="X469">
        <v>146.345</v>
      </c>
      <c r="Y469">
        <v>69.96599999999999</v>
      </c>
      <c r="Z469">
        <v>48.62</v>
      </c>
      <c r="AA469">
        <v>277.752</v>
      </c>
      <c r="AB469">
        <v>1.07766</v>
      </c>
      <c r="AC469">
        <v>329</v>
      </c>
      <c r="AD469">
        <v>0</v>
      </c>
      <c r="AG469">
        <v>11</v>
      </c>
      <c r="AH469">
        <v>2</v>
      </c>
      <c r="AI469">
        <v>183</v>
      </c>
      <c r="AJ469">
        <v>85</v>
      </c>
      <c r="AK469">
        <v>48</v>
      </c>
    </row>
    <row r="470" spans="1:37">
      <c r="A470" t="s">
        <v>933</v>
      </c>
      <c r="B470" t="s">
        <v>1755</v>
      </c>
      <c r="C470">
        <v>28.7</v>
      </c>
      <c r="D470" t="s">
        <v>1475</v>
      </c>
      <c r="E470">
        <v>17</v>
      </c>
      <c r="F470">
        <v>0</v>
      </c>
      <c r="G470">
        <v>4</v>
      </c>
      <c r="I470">
        <v>1.08746</v>
      </c>
      <c r="J470">
        <v>1.01057</v>
      </c>
      <c r="K470">
        <v>0.98043</v>
      </c>
      <c r="L470">
        <v>0.99021</v>
      </c>
      <c r="M470">
        <v>0.98304</v>
      </c>
      <c r="N470">
        <v>1.01022</v>
      </c>
      <c r="O470">
        <v>1.0101</v>
      </c>
      <c r="P470">
        <v>0.98953</v>
      </c>
      <c r="Q470">
        <v>1</v>
      </c>
      <c r="R470">
        <v>1.01744</v>
      </c>
      <c r="S470">
        <v>1</v>
      </c>
      <c r="T470">
        <v>1.04102</v>
      </c>
      <c r="U470">
        <v>1</v>
      </c>
      <c r="V470">
        <v>15.446</v>
      </c>
      <c r="W470">
        <v>5.082</v>
      </c>
      <c r="X470">
        <v>109.994</v>
      </c>
      <c r="Y470">
        <v>49.708</v>
      </c>
      <c r="Z470">
        <v>37.921</v>
      </c>
      <c r="AA470">
        <v>218.151</v>
      </c>
      <c r="AB470">
        <v>1.05172</v>
      </c>
      <c r="AC470">
        <v>228</v>
      </c>
      <c r="AD470">
        <v>0</v>
      </c>
      <c r="AG470">
        <v>15</v>
      </c>
      <c r="AH470">
        <v>5</v>
      </c>
      <c r="AI470">
        <v>119</v>
      </c>
      <c r="AJ470">
        <v>62</v>
      </c>
      <c r="AK470">
        <v>27</v>
      </c>
    </row>
    <row r="471" spans="1:37">
      <c r="A471" t="s">
        <v>432</v>
      </c>
      <c r="B471" t="s">
        <v>1751</v>
      </c>
      <c r="C471">
        <v>25.7</v>
      </c>
      <c r="D471" t="s">
        <v>1475</v>
      </c>
      <c r="E471">
        <v>18</v>
      </c>
      <c r="F471">
        <v>0</v>
      </c>
      <c r="G471">
        <v>5</v>
      </c>
      <c r="I471">
        <v>1.08765</v>
      </c>
      <c r="J471">
        <v>1.01964</v>
      </c>
      <c r="K471">
        <v>0.98043</v>
      </c>
      <c r="L471">
        <v>0.99009</v>
      </c>
      <c r="M471">
        <v>0.87179</v>
      </c>
      <c r="N471">
        <v>1.03328</v>
      </c>
      <c r="O471">
        <v>0.9371</v>
      </c>
      <c r="P471">
        <v>0.98878</v>
      </c>
      <c r="Q471">
        <v>1</v>
      </c>
      <c r="R471">
        <v>0.83464</v>
      </c>
      <c r="S471">
        <v>1</v>
      </c>
      <c r="T471">
        <v>1.0758</v>
      </c>
      <c r="U471">
        <v>1</v>
      </c>
      <c r="V471">
        <v>58.381</v>
      </c>
      <c r="W471">
        <v>10.153</v>
      </c>
      <c r="X471">
        <v>69.375</v>
      </c>
      <c r="Y471">
        <v>17.043</v>
      </c>
      <c r="Z471">
        <v>28.428</v>
      </c>
      <c r="AA471">
        <v>183.379</v>
      </c>
      <c r="AB471">
        <v>0.99299</v>
      </c>
      <c r="AC471">
        <v>194</v>
      </c>
      <c r="AD471">
        <v>0</v>
      </c>
      <c r="AG471">
        <v>64</v>
      </c>
      <c r="AH471">
        <v>14</v>
      </c>
      <c r="AI471">
        <v>71</v>
      </c>
      <c r="AJ471">
        <v>17</v>
      </c>
      <c r="AK471">
        <v>28</v>
      </c>
    </row>
    <row r="472" spans="1:37">
      <c r="A472" t="s">
        <v>934</v>
      </c>
      <c r="B472" t="s">
        <v>1751</v>
      </c>
      <c r="C472">
        <v>26.1</v>
      </c>
      <c r="D472" t="s">
        <v>1475</v>
      </c>
      <c r="E472">
        <v>19</v>
      </c>
      <c r="F472">
        <v>0</v>
      </c>
      <c r="G472">
        <v>6</v>
      </c>
      <c r="I472">
        <v>1.08784</v>
      </c>
      <c r="J472">
        <v>1.01792</v>
      </c>
      <c r="K472">
        <v>0.98043</v>
      </c>
      <c r="L472">
        <v>0.99002</v>
      </c>
      <c r="M472">
        <v>0.84434</v>
      </c>
      <c r="N472">
        <v>1.03024</v>
      </c>
      <c r="O472">
        <v>0.93467</v>
      </c>
      <c r="P472">
        <v>0.98591</v>
      </c>
      <c r="Q472">
        <v>1</v>
      </c>
      <c r="R472">
        <v>0.83446</v>
      </c>
      <c r="S472">
        <v>1</v>
      </c>
      <c r="T472">
        <v>1.07519</v>
      </c>
      <c r="U472">
        <v>1</v>
      </c>
      <c r="V472">
        <v>55.451</v>
      </c>
      <c r="W472">
        <v>10.118</v>
      </c>
      <c r="X472">
        <v>66.76000000000001</v>
      </c>
      <c r="Y472">
        <v>15.445</v>
      </c>
      <c r="Z472">
        <v>28.433</v>
      </c>
      <c r="AA472">
        <v>176.207</v>
      </c>
      <c r="AB472">
        <v>0.89932</v>
      </c>
      <c r="AC472">
        <v>164</v>
      </c>
      <c r="AD472">
        <v>0</v>
      </c>
      <c r="AG472">
        <v>61</v>
      </c>
      <c r="AH472">
        <v>9</v>
      </c>
      <c r="AI472">
        <v>55</v>
      </c>
      <c r="AJ472">
        <v>12</v>
      </c>
      <c r="AK472">
        <v>27</v>
      </c>
    </row>
    <row r="473" spans="1:37">
      <c r="A473" t="s">
        <v>935</v>
      </c>
      <c r="B473" t="s">
        <v>1751</v>
      </c>
      <c r="C473">
        <v>26.4</v>
      </c>
      <c r="D473" t="s">
        <v>1475</v>
      </c>
      <c r="E473">
        <v>20</v>
      </c>
      <c r="F473">
        <v>0</v>
      </c>
      <c r="G473">
        <v>7</v>
      </c>
      <c r="I473">
        <v>1.08802</v>
      </c>
      <c r="J473">
        <v>1.03199</v>
      </c>
      <c r="K473">
        <v>0.98043</v>
      </c>
      <c r="L473">
        <v>0.99</v>
      </c>
      <c r="M473">
        <v>0.89259</v>
      </c>
      <c r="N473">
        <v>1.02273</v>
      </c>
      <c r="O473">
        <v>0.94114</v>
      </c>
      <c r="P473">
        <v>0.98298</v>
      </c>
      <c r="Q473">
        <v>1</v>
      </c>
      <c r="R473">
        <v>0.84183</v>
      </c>
      <c r="S473">
        <v>1</v>
      </c>
      <c r="T473">
        <v>1.07039</v>
      </c>
      <c r="U473">
        <v>0.77138</v>
      </c>
      <c r="V473">
        <v>44.932</v>
      </c>
      <c r="W473">
        <v>6.656</v>
      </c>
      <c r="X473">
        <v>42.706</v>
      </c>
      <c r="Y473">
        <v>9.316000000000001</v>
      </c>
      <c r="Z473">
        <v>38.326</v>
      </c>
      <c r="AA473">
        <v>141.936</v>
      </c>
      <c r="AB473">
        <v>1.01952</v>
      </c>
      <c r="AC473">
        <v>140</v>
      </c>
      <c r="AD473">
        <v>0</v>
      </c>
      <c r="AE473" t="s">
        <v>313</v>
      </c>
      <c r="AG473">
        <v>45</v>
      </c>
      <c r="AH473">
        <v>7</v>
      </c>
      <c r="AI473">
        <v>39</v>
      </c>
      <c r="AJ473">
        <v>9</v>
      </c>
      <c r="AK473">
        <v>40</v>
      </c>
    </row>
    <row r="474" spans="1:37">
      <c r="A474" t="s">
        <v>936</v>
      </c>
      <c r="B474" t="s">
        <v>1751</v>
      </c>
      <c r="C474">
        <v>25.9</v>
      </c>
      <c r="D474" t="s">
        <v>1475</v>
      </c>
      <c r="E474">
        <v>21</v>
      </c>
      <c r="F474">
        <v>0</v>
      </c>
      <c r="G474">
        <v>0</v>
      </c>
      <c r="I474">
        <v>1.08821</v>
      </c>
      <c r="J474">
        <v>1.01883</v>
      </c>
      <c r="K474">
        <v>0.98043</v>
      </c>
      <c r="L474">
        <v>0.98996</v>
      </c>
      <c r="M474">
        <v>0.93172</v>
      </c>
      <c r="N474">
        <v>1.03219</v>
      </c>
      <c r="O474">
        <v>0.92189</v>
      </c>
      <c r="P474">
        <v>0.98042</v>
      </c>
      <c r="Q474">
        <v>1</v>
      </c>
      <c r="R474">
        <v>1</v>
      </c>
      <c r="S474">
        <v>1</v>
      </c>
      <c r="T474">
        <v>1.07652</v>
      </c>
      <c r="U474">
        <v>1</v>
      </c>
      <c r="V474">
        <v>72.383</v>
      </c>
      <c r="W474">
        <v>15.978</v>
      </c>
      <c r="X474">
        <v>87.892</v>
      </c>
      <c r="Y474">
        <v>20.62</v>
      </c>
      <c r="Z474">
        <v>31.958</v>
      </c>
      <c r="AA474">
        <v>228.832</v>
      </c>
      <c r="AB474">
        <v>1.0326</v>
      </c>
      <c r="AC474">
        <v>263</v>
      </c>
      <c r="AD474">
        <v>0</v>
      </c>
      <c r="AG474">
        <v>79</v>
      </c>
      <c r="AH474">
        <v>24</v>
      </c>
      <c r="AI474">
        <v>105</v>
      </c>
      <c r="AJ474">
        <v>23</v>
      </c>
      <c r="AK474">
        <v>32</v>
      </c>
    </row>
    <row r="475" spans="1:37">
      <c r="A475" t="s">
        <v>937</v>
      </c>
      <c r="B475" t="s">
        <v>1752</v>
      </c>
      <c r="C475">
        <v>26.6</v>
      </c>
      <c r="D475" t="s">
        <v>1475</v>
      </c>
      <c r="E475">
        <v>22</v>
      </c>
      <c r="F475">
        <v>0</v>
      </c>
      <c r="G475">
        <v>0</v>
      </c>
      <c r="I475">
        <v>1.0884</v>
      </c>
      <c r="J475">
        <v>1.01243</v>
      </c>
      <c r="K475">
        <v>0.98043</v>
      </c>
      <c r="L475">
        <v>0.98987</v>
      </c>
      <c r="M475">
        <v>1.17395</v>
      </c>
      <c r="N475">
        <v>1.03265</v>
      </c>
      <c r="O475">
        <v>0.95736</v>
      </c>
      <c r="P475">
        <v>0.97562</v>
      </c>
      <c r="Q475">
        <v>1</v>
      </c>
      <c r="R475">
        <v>1</v>
      </c>
      <c r="S475">
        <v>1</v>
      </c>
      <c r="T475">
        <v>1.06617</v>
      </c>
      <c r="U475">
        <v>1</v>
      </c>
      <c r="V475">
        <v>67.455</v>
      </c>
      <c r="W475">
        <v>13.347</v>
      </c>
      <c r="X475">
        <v>130.771</v>
      </c>
      <c r="Y475">
        <v>34.609</v>
      </c>
      <c r="Z475">
        <v>37.876</v>
      </c>
      <c r="AA475">
        <v>284.059</v>
      </c>
      <c r="AB475">
        <v>1.05227</v>
      </c>
      <c r="AC475">
        <v>302</v>
      </c>
      <c r="AD475">
        <v>0</v>
      </c>
      <c r="AG475">
        <v>72</v>
      </c>
      <c r="AH475">
        <v>11</v>
      </c>
      <c r="AI475">
        <v>157</v>
      </c>
      <c r="AJ475">
        <v>35</v>
      </c>
      <c r="AK475">
        <v>27</v>
      </c>
    </row>
    <row r="476" spans="1:37">
      <c r="A476" t="s">
        <v>938</v>
      </c>
      <c r="B476" t="s">
        <v>1753</v>
      </c>
      <c r="C476">
        <v>25.5</v>
      </c>
      <c r="D476" t="s">
        <v>1475</v>
      </c>
      <c r="E476">
        <v>23</v>
      </c>
      <c r="F476">
        <v>0</v>
      </c>
      <c r="G476">
        <v>0</v>
      </c>
      <c r="I476">
        <v>1.08858</v>
      </c>
      <c r="J476">
        <v>1.0042</v>
      </c>
      <c r="K476">
        <v>0.98043</v>
      </c>
      <c r="L476">
        <v>0.98973</v>
      </c>
      <c r="M476">
        <v>0.9943</v>
      </c>
      <c r="N476">
        <v>1.05544</v>
      </c>
      <c r="O476">
        <v>1.00996</v>
      </c>
      <c r="P476">
        <v>0.9681999999999999</v>
      </c>
      <c r="Q476">
        <v>1</v>
      </c>
      <c r="R476">
        <v>1</v>
      </c>
      <c r="S476">
        <v>1</v>
      </c>
      <c r="T476">
        <v>1.04093</v>
      </c>
      <c r="U476">
        <v>1</v>
      </c>
      <c r="V476">
        <v>15.982</v>
      </c>
      <c r="W476">
        <v>5.781</v>
      </c>
      <c r="X476">
        <v>123.161</v>
      </c>
      <c r="Y476">
        <v>55.064</v>
      </c>
      <c r="Z476">
        <v>40.058</v>
      </c>
      <c r="AA476">
        <v>240.046</v>
      </c>
      <c r="AB476">
        <v>0.98708</v>
      </c>
      <c r="AC476">
        <v>257</v>
      </c>
      <c r="AD476">
        <v>0</v>
      </c>
      <c r="AG476">
        <v>12</v>
      </c>
      <c r="AH476">
        <v>3</v>
      </c>
      <c r="AI476">
        <v>142</v>
      </c>
      <c r="AJ476">
        <v>63</v>
      </c>
      <c r="AK476">
        <v>37</v>
      </c>
    </row>
    <row r="477" spans="1:37">
      <c r="A477" t="s">
        <v>939</v>
      </c>
      <c r="B477" t="s">
        <v>1754</v>
      </c>
      <c r="C477">
        <v>28</v>
      </c>
      <c r="D477" t="s">
        <v>1475</v>
      </c>
      <c r="E477">
        <v>24</v>
      </c>
      <c r="F477">
        <v>0</v>
      </c>
      <c r="G477">
        <v>0</v>
      </c>
      <c r="I477">
        <v>1.08877</v>
      </c>
      <c r="J477">
        <v>1.00691</v>
      </c>
      <c r="K477">
        <v>0.98043</v>
      </c>
      <c r="L477">
        <v>0.98954</v>
      </c>
      <c r="M477">
        <v>0.892</v>
      </c>
      <c r="N477">
        <v>1.01988</v>
      </c>
      <c r="O477">
        <v>0.98048</v>
      </c>
      <c r="P477">
        <v>0.96596</v>
      </c>
      <c r="Q477">
        <v>1</v>
      </c>
      <c r="R477">
        <v>1</v>
      </c>
      <c r="S477">
        <v>1</v>
      </c>
      <c r="T477">
        <v>1.04552</v>
      </c>
      <c r="U477">
        <v>1</v>
      </c>
      <c r="V477">
        <v>21.828</v>
      </c>
      <c r="W477">
        <v>9.092000000000001</v>
      </c>
      <c r="X477">
        <v>98.858</v>
      </c>
      <c r="Y477">
        <v>44.425</v>
      </c>
      <c r="Z477">
        <v>36.449</v>
      </c>
      <c r="AA477">
        <v>210.651</v>
      </c>
      <c r="AB477">
        <v>1.01012</v>
      </c>
      <c r="AC477">
        <v>210</v>
      </c>
      <c r="AD477">
        <v>0</v>
      </c>
      <c r="AG477">
        <v>19</v>
      </c>
      <c r="AH477">
        <v>13</v>
      </c>
      <c r="AI477">
        <v>99</v>
      </c>
      <c r="AJ477">
        <v>53</v>
      </c>
      <c r="AK477">
        <v>26</v>
      </c>
    </row>
    <row r="478" spans="1:37">
      <c r="A478" t="s">
        <v>433</v>
      </c>
      <c r="B478" t="s">
        <v>1751</v>
      </c>
      <c r="C478">
        <v>26.6</v>
      </c>
      <c r="D478" t="s">
        <v>82</v>
      </c>
      <c r="E478">
        <v>25</v>
      </c>
      <c r="F478">
        <v>0</v>
      </c>
      <c r="G478">
        <v>0</v>
      </c>
      <c r="I478">
        <v>1.08896</v>
      </c>
      <c r="J478">
        <v>1.01121</v>
      </c>
      <c r="K478">
        <v>0.98043</v>
      </c>
      <c r="L478">
        <v>0.9893</v>
      </c>
      <c r="M478">
        <v>0.90378</v>
      </c>
      <c r="N478">
        <v>1.02061</v>
      </c>
      <c r="O478">
        <v>1</v>
      </c>
      <c r="P478">
        <v>0.97198</v>
      </c>
      <c r="Q478">
        <v>1</v>
      </c>
      <c r="R478">
        <v>1</v>
      </c>
      <c r="S478">
        <v>1</v>
      </c>
      <c r="T478">
        <v>1.08267</v>
      </c>
      <c r="U478">
        <v>1</v>
      </c>
      <c r="V478">
        <v>82.40300000000001</v>
      </c>
      <c r="W478">
        <v>36.819</v>
      </c>
      <c r="X478">
        <v>70.20099999999999</v>
      </c>
      <c r="Y478">
        <v>15.252</v>
      </c>
      <c r="Z478">
        <v>29.261</v>
      </c>
      <c r="AA478">
        <v>233.936</v>
      </c>
      <c r="AB478">
        <v>1.03804</v>
      </c>
      <c r="AC478">
        <v>197</v>
      </c>
      <c r="AD478">
        <v>1</v>
      </c>
      <c r="AG478">
        <v>72</v>
      </c>
      <c r="AH478">
        <v>31</v>
      </c>
      <c r="AI478">
        <v>66</v>
      </c>
      <c r="AJ478">
        <v>9</v>
      </c>
      <c r="AK478">
        <v>19</v>
      </c>
    </row>
    <row r="479" spans="1:37">
      <c r="A479" t="s">
        <v>940</v>
      </c>
      <c r="B479" t="s">
        <v>1751</v>
      </c>
      <c r="C479">
        <v>26.3</v>
      </c>
      <c r="D479" t="s">
        <v>82</v>
      </c>
      <c r="E479">
        <v>26</v>
      </c>
      <c r="F479">
        <v>0</v>
      </c>
      <c r="G479">
        <v>0</v>
      </c>
      <c r="I479">
        <v>1.08915</v>
      </c>
      <c r="J479">
        <v>1.01879</v>
      </c>
      <c r="K479">
        <v>0.98043</v>
      </c>
      <c r="L479">
        <v>0.98902</v>
      </c>
      <c r="M479">
        <v>0.8768899999999999</v>
      </c>
      <c r="N479">
        <v>1.02238</v>
      </c>
      <c r="O479">
        <v>1</v>
      </c>
      <c r="P479">
        <v>0.96931</v>
      </c>
      <c r="Q479">
        <v>1</v>
      </c>
      <c r="R479">
        <v>1</v>
      </c>
      <c r="S479">
        <v>1</v>
      </c>
      <c r="T479">
        <v>1.08181</v>
      </c>
      <c r="U479">
        <v>1</v>
      </c>
      <c r="V479">
        <v>78.97</v>
      </c>
      <c r="W479">
        <v>37.021</v>
      </c>
      <c r="X479">
        <v>69.196</v>
      </c>
      <c r="Y479">
        <v>14.098</v>
      </c>
      <c r="Z479">
        <v>29.24</v>
      </c>
      <c r="AA479">
        <v>228.525</v>
      </c>
      <c r="AB479">
        <v>1.03724</v>
      </c>
      <c r="AC479">
        <v>232</v>
      </c>
      <c r="AD479">
        <v>0</v>
      </c>
      <c r="AG479">
        <v>89</v>
      </c>
      <c r="AH479">
        <v>40</v>
      </c>
      <c r="AI479">
        <v>69</v>
      </c>
      <c r="AJ479">
        <v>11</v>
      </c>
      <c r="AK479">
        <v>23</v>
      </c>
    </row>
    <row r="480" spans="1:37">
      <c r="A480" t="s">
        <v>941</v>
      </c>
      <c r="B480" t="s">
        <v>1751</v>
      </c>
      <c r="C480">
        <v>27</v>
      </c>
      <c r="D480" t="s">
        <v>82</v>
      </c>
      <c r="E480">
        <v>27</v>
      </c>
      <c r="F480">
        <v>0</v>
      </c>
      <c r="G480">
        <v>0</v>
      </c>
      <c r="I480">
        <v>1.08933</v>
      </c>
      <c r="J480">
        <v>1.02344</v>
      </c>
      <c r="K480">
        <v>0.98043</v>
      </c>
      <c r="L480">
        <v>0.98869</v>
      </c>
      <c r="M480">
        <v>0.90154</v>
      </c>
      <c r="N480">
        <v>1.01854</v>
      </c>
      <c r="O480">
        <v>1</v>
      </c>
      <c r="P480">
        <v>0.96899</v>
      </c>
      <c r="Q480">
        <v>1</v>
      </c>
      <c r="R480">
        <v>1</v>
      </c>
      <c r="S480">
        <v>1</v>
      </c>
      <c r="T480">
        <v>1.0807</v>
      </c>
      <c r="U480">
        <v>1</v>
      </c>
      <c r="V480">
        <v>79.321</v>
      </c>
      <c r="W480">
        <v>37.185</v>
      </c>
      <c r="X480">
        <v>72.651</v>
      </c>
      <c r="Y480">
        <v>15.268</v>
      </c>
      <c r="Z480">
        <v>30.314</v>
      </c>
      <c r="AA480">
        <v>234.739</v>
      </c>
      <c r="AB480">
        <v>1.12105</v>
      </c>
      <c r="AC480">
        <v>247</v>
      </c>
      <c r="AD480">
        <v>0</v>
      </c>
      <c r="AG480">
        <v>90</v>
      </c>
      <c r="AH480">
        <v>38</v>
      </c>
      <c r="AI480">
        <v>75</v>
      </c>
      <c r="AJ480">
        <v>12</v>
      </c>
      <c r="AK480">
        <v>32</v>
      </c>
    </row>
    <row r="481" spans="1:37">
      <c r="A481" t="s">
        <v>942</v>
      </c>
      <c r="B481" t="s">
        <v>1751</v>
      </c>
      <c r="C481">
        <v>26.1</v>
      </c>
      <c r="D481" t="s">
        <v>82</v>
      </c>
      <c r="E481">
        <v>28</v>
      </c>
      <c r="F481">
        <v>0</v>
      </c>
      <c r="G481">
        <v>0</v>
      </c>
      <c r="I481">
        <v>1.08952</v>
      </c>
      <c r="J481">
        <v>1.02129</v>
      </c>
      <c r="K481">
        <v>0.98043</v>
      </c>
      <c r="L481">
        <v>0.98832</v>
      </c>
      <c r="M481">
        <v>0.93693</v>
      </c>
      <c r="N481">
        <v>1.02655</v>
      </c>
      <c r="O481">
        <v>1</v>
      </c>
      <c r="P481">
        <v>0.96799</v>
      </c>
      <c r="Q481">
        <v>1</v>
      </c>
      <c r="R481">
        <v>1</v>
      </c>
      <c r="S481">
        <v>1</v>
      </c>
      <c r="T481">
        <v>1.07781</v>
      </c>
      <c r="U481">
        <v>1</v>
      </c>
      <c r="V481">
        <v>77.55800000000001</v>
      </c>
      <c r="W481">
        <v>35.246</v>
      </c>
      <c r="X481">
        <v>82.709</v>
      </c>
      <c r="Y481">
        <v>18.037</v>
      </c>
      <c r="Z481">
        <v>31.492</v>
      </c>
      <c r="AA481">
        <v>245.041</v>
      </c>
      <c r="AB481">
        <v>0.99795</v>
      </c>
      <c r="AC481">
        <v>240</v>
      </c>
      <c r="AD481">
        <v>0</v>
      </c>
      <c r="AG481">
        <v>70</v>
      </c>
      <c r="AH481">
        <v>37</v>
      </c>
      <c r="AI481">
        <v>86</v>
      </c>
      <c r="AJ481">
        <v>21</v>
      </c>
      <c r="AK481">
        <v>26</v>
      </c>
    </row>
    <row r="482" spans="1:37">
      <c r="A482" t="s">
        <v>943</v>
      </c>
      <c r="B482" t="s">
        <v>1752</v>
      </c>
      <c r="C482">
        <v>26.9</v>
      </c>
      <c r="D482" t="s">
        <v>82</v>
      </c>
      <c r="E482">
        <v>0</v>
      </c>
      <c r="F482">
        <v>0</v>
      </c>
      <c r="G482">
        <v>0</v>
      </c>
      <c r="I482">
        <v>1.08971</v>
      </c>
      <c r="J482">
        <v>0.99899</v>
      </c>
      <c r="K482">
        <v>0.98043</v>
      </c>
      <c r="L482">
        <v>0.98792</v>
      </c>
      <c r="M482">
        <v>1.14263</v>
      </c>
      <c r="N482">
        <v>1.0272</v>
      </c>
      <c r="O482">
        <v>1</v>
      </c>
      <c r="P482">
        <v>1.0703</v>
      </c>
      <c r="Q482">
        <v>1</v>
      </c>
      <c r="R482">
        <v>1</v>
      </c>
      <c r="S482">
        <v>1</v>
      </c>
      <c r="T482">
        <v>1.06618</v>
      </c>
      <c r="U482">
        <v>1</v>
      </c>
      <c r="V482">
        <v>74.129</v>
      </c>
      <c r="W482">
        <v>31.031</v>
      </c>
      <c r="X482">
        <v>138.355</v>
      </c>
      <c r="Y482">
        <v>34.063</v>
      </c>
      <c r="Z482">
        <v>42.139</v>
      </c>
      <c r="AA482">
        <v>319.717</v>
      </c>
      <c r="AB482">
        <v>1.02802</v>
      </c>
      <c r="AC482">
        <v>314</v>
      </c>
      <c r="AD482">
        <v>0</v>
      </c>
      <c r="AG482">
        <v>53</v>
      </c>
      <c r="AH482">
        <v>35</v>
      </c>
      <c r="AI482">
        <v>149</v>
      </c>
      <c r="AJ482">
        <v>33</v>
      </c>
      <c r="AK482">
        <v>44</v>
      </c>
    </row>
    <row r="483" spans="1:37">
      <c r="A483" t="s">
        <v>944</v>
      </c>
      <c r="B483" t="s">
        <v>1753</v>
      </c>
      <c r="C483">
        <v>28.3</v>
      </c>
      <c r="D483" t="s">
        <v>82</v>
      </c>
      <c r="E483">
        <v>1</v>
      </c>
      <c r="F483">
        <v>0</v>
      </c>
      <c r="G483">
        <v>0</v>
      </c>
      <c r="I483">
        <v>1.08989</v>
      </c>
      <c r="J483">
        <v>0.99191</v>
      </c>
      <c r="K483">
        <v>0.98043</v>
      </c>
      <c r="L483">
        <v>0.98749</v>
      </c>
      <c r="M483">
        <v>0.91699</v>
      </c>
      <c r="N483">
        <v>1.01604</v>
      </c>
      <c r="O483">
        <v>1</v>
      </c>
      <c r="P483">
        <v>1.05557</v>
      </c>
      <c r="Q483">
        <v>1</v>
      </c>
      <c r="R483">
        <v>1</v>
      </c>
      <c r="S483">
        <v>1</v>
      </c>
      <c r="T483">
        <v>1.04141</v>
      </c>
      <c r="U483">
        <v>1</v>
      </c>
      <c r="V483">
        <v>17.444</v>
      </c>
      <c r="W483">
        <v>13.285</v>
      </c>
      <c r="X483">
        <v>120.041</v>
      </c>
      <c r="Y483">
        <v>50.78</v>
      </c>
      <c r="Z483">
        <v>45.085</v>
      </c>
      <c r="AA483">
        <v>246.635</v>
      </c>
      <c r="AB483">
        <v>1.18695</v>
      </c>
      <c r="AC483">
        <v>280</v>
      </c>
      <c r="AD483">
        <v>0</v>
      </c>
      <c r="AG483">
        <v>23</v>
      </c>
      <c r="AH483">
        <v>16</v>
      </c>
      <c r="AI483">
        <v>137</v>
      </c>
      <c r="AJ483">
        <v>49</v>
      </c>
      <c r="AK483">
        <v>55</v>
      </c>
    </row>
    <row r="484" spans="1:37">
      <c r="A484" t="s">
        <v>945</v>
      </c>
      <c r="B484" t="s">
        <v>1754</v>
      </c>
      <c r="C484">
        <v>27.9</v>
      </c>
      <c r="D484" t="s">
        <v>82</v>
      </c>
      <c r="E484">
        <v>2</v>
      </c>
      <c r="F484">
        <v>0</v>
      </c>
      <c r="G484">
        <v>0</v>
      </c>
      <c r="I484">
        <v>1.09008</v>
      </c>
      <c r="J484">
        <v>0.99398</v>
      </c>
      <c r="K484">
        <v>0.98043</v>
      </c>
      <c r="L484">
        <v>0.98702</v>
      </c>
      <c r="M484">
        <v>0.85163</v>
      </c>
      <c r="N484">
        <v>1.01998</v>
      </c>
      <c r="O484">
        <v>1</v>
      </c>
      <c r="P484">
        <v>1.03555</v>
      </c>
      <c r="Q484">
        <v>1</v>
      </c>
      <c r="R484">
        <v>1</v>
      </c>
      <c r="S484">
        <v>1</v>
      </c>
      <c r="T484">
        <v>1.04653</v>
      </c>
      <c r="U484">
        <v>1</v>
      </c>
      <c r="V484">
        <v>23.691</v>
      </c>
      <c r="W484">
        <v>20.713</v>
      </c>
      <c r="X484">
        <v>101.579</v>
      </c>
      <c r="Y484">
        <v>42.347</v>
      </c>
      <c r="Z484">
        <v>38.789</v>
      </c>
      <c r="AA484">
        <v>227.119</v>
      </c>
      <c r="AB484">
        <v>0.87946</v>
      </c>
      <c r="AC484">
        <v>205</v>
      </c>
      <c r="AD484">
        <v>0</v>
      </c>
      <c r="AG484">
        <v>26</v>
      </c>
      <c r="AH484">
        <v>14</v>
      </c>
      <c r="AI484">
        <v>79</v>
      </c>
      <c r="AJ484">
        <v>45</v>
      </c>
      <c r="AK484">
        <v>41</v>
      </c>
    </row>
    <row r="485" spans="1:37">
      <c r="A485" t="s">
        <v>434</v>
      </c>
      <c r="B485" t="s">
        <v>1751</v>
      </c>
      <c r="C485">
        <v>27.4</v>
      </c>
      <c r="D485" t="s">
        <v>82</v>
      </c>
      <c r="E485">
        <v>3</v>
      </c>
      <c r="F485">
        <v>0</v>
      </c>
      <c r="G485">
        <v>0</v>
      </c>
      <c r="I485">
        <v>1.09027</v>
      </c>
      <c r="J485">
        <v>0.97871</v>
      </c>
      <c r="K485">
        <v>0.98043</v>
      </c>
      <c r="L485">
        <v>0.98654</v>
      </c>
      <c r="M485">
        <v>0.90338</v>
      </c>
      <c r="N485">
        <v>1.01527</v>
      </c>
      <c r="O485">
        <v>1</v>
      </c>
      <c r="P485">
        <v>1.01819</v>
      </c>
      <c r="Q485">
        <v>1</v>
      </c>
      <c r="R485">
        <v>1</v>
      </c>
      <c r="S485">
        <v>1</v>
      </c>
      <c r="T485">
        <v>0.99618</v>
      </c>
      <c r="U485">
        <v>1</v>
      </c>
      <c r="V485">
        <v>78.047</v>
      </c>
      <c r="W485">
        <v>32.224</v>
      </c>
      <c r="X485">
        <v>62.379</v>
      </c>
      <c r="Y485">
        <v>14.949</v>
      </c>
      <c r="Z485">
        <v>29.403</v>
      </c>
      <c r="AA485">
        <v>217.002</v>
      </c>
      <c r="AB485">
        <v>0.99539</v>
      </c>
      <c r="AC485">
        <v>220</v>
      </c>
      <c r="AD485">
        <v>0</v>
      </c>
      <c r="AF485" t="s">
        <v>1764</v>
      </c>
      <c r="AG485">
        <v>84</v>
      </c>
      <c r="AH485">
        <v>38</v>
      </c>
      <c r="AI485">
        <v>62</v>
      </c>
      <c r="AJ485">
        <v>13</v>
      </c>
      <c r="AK485">
        <v>23</v>
      </c>
    </row>
    <row r="486" spans="1:37">
      <c r="A486" t="s">
        <v>946</v>
      </c>
      <c r="B486" t="s">
        <v>1751</v>
      </c>
      <c r="C486">
        <v>28.9</v>
      </c>
      <c r="D486" t="s">
        <v>82</v>
      </c>
      <c r="E486">
        <v>4</v>
      </c>
      <c r="F486">
        <v>0</v>
      </c>
      <c r="G486">
        <v>0</v>
      </c>
      <c r="I486">
        <v>1.09046</v>
      </c>
      <c r="J486">
        <v>0.97671</v>
      </c>
      <c r="K486">
        <v>0.98043</v>
      </c>
      <c r="L486">
        <v>0.98604</v>
      </c>
      <c r="M486">
        <v>0.87863</v>
      </c>
      <c r="N486">
        <v>1.00507</v>
      </c>
      <c r="O486">
        <v>1</v>
      </c>
      <c r="P486">
        <v>1.01218</v>
      </c>
      <c r="Q486">
        <v>1</v>
      </c>
      <c r="R486">
        <v>1</v>
      </c>
      <c r="S486">
        <v>1</v>
      </c>
      <c r="T486">
        <v>0.99717</v>
      </c>
      <c r="U486">
        <v>1</v>
      </c>
      <c r="V486">
        <v>74.014</v>
      </c>
      <c r="W486">
        <v>32.073</v>
      </c>
      <c r="X486">
        <v>57.992</v>
      </c>
      <c r="Y486">
        <v>13.191</v>
      </c>
      <c r="Z486">
        <v>29.699</v>
      </c>
      <c r="AA486">
        <v>206.969</v>
      </c>
      <c r="AB486">
        <v>0.99533</v>
      </c>
      <c r="AC486">
        <v>238</v>
      </c>
      <c r="AD486">
        <v>0</v>
      </c>
      <c r="AG486">
        <v>93</v>
      </c>
      <c r="AH486">
        <v>37</v>
      </c>
      <c r="AI486">
        <v>69</v>
      </c>
      <c r="AJ486">
        <v>12</v>
      </c>
      <c r="AK486">
        <v>27</v>
      </c>
    </row>
    <row r="487" spans="1:37">
      <c r="A487" t="s">
        <v>947</v>
      </c>
      <c r="B487" t="s">
        <v>1751</v>
      </c>
      <c r="C487">
        <v>26</v>
      </c>
      <c r="D487" t="s">
        <v>82</v>
      </c>
      <c r="E487">
        <v>5</v>
      </c>
      <c r="F487">
        <v>0</v>
      </c>
      <c r="G487">
        <v>0</v>
      </c>
      <c r="I487">
        <v>1.09064</v>
      </c>
      <c r="J487">
        <v>0.96926</v>
      </c>
      <c r="K487">
        <v>0.98043</v>
      </c>
      <c r="L487">
        <v>0.98554</v>
      </c>
      <c r="M487">
        <v>0.9093599999999999</v>
      </c>
      <c r="N487">
        <v>1.01984</v>
      </c>
      <c r="O487">
        <v>1</v>
      </c>
      <c r="P487">
        <v>1.00852</v>
      </c>
      <c r="Q487">
        <v>1</v>
      </c>
      <c r="R487">
        <v>1</v>
      </c>
      <c r="S487">
        <v>1</v>
      </c>
      <c r="T487">
        <v>0.99731</v>
      </c>
      <c r="U487">
        <v>0.91947</v>
      </c>
      <c r="V487">
        <v>66.014</v>
      </c>
      <c r="W487">
        <v>25.43</v>
      </c>
      <c r="X487">
        <v>49.073</v>
      </c>
      <c r="Y487">
        <v>10.463</v>
      </c>
      <c r="Z487">
        <v>46.069</v>
      </c>
      <c r="AA487">
        <v>197.049</v>
      </c>
      <c r="AB487">
        <v>1.03134</v>
      </c>
      <c r="AC487">
        <v>181</v>
      </c>
      <c r="AD487">
        <v>0</v>
      </c>
      <c r="AE487" t="s">
        <v>314</v>
      </c>
      <c r="AG487">
        <v>67</v>
      </c>
      <c r="AH487">
        <v>20</v>
      </c>
      <c r="AI487">
        <v>39</v>
      </c>
      <c r="AJ487">
        <v>12</v>
      </c>
      <c r="AK487">
        <v>43</v>
      </c>
    </row>
    <row r="488" spans="1:37">
      <c r="A488" t="s">
        <v>948</v>
      </c>
      <c r="B488" t="s">
        <v>1751</v>
      </c>
      <c r="C488">
        <v>29.7</v>
      </c>
      <c r="D488" t="s">
        <v>82</v>
      </c>
      <c r="E488">
        <v>6</v>
      </c>
      <c r="F488">
        <v>0</v>
      </c>
      <c r="G488">
        <v>0</v>
      </c>
      <c r="I488">
        <v>1.09083</v>
      </c>
      <c r="J488">
        <v>0.9553700000000001</v>
      </c>
      <c r="K488">
        <v>1.00603</v>
      </c>
      <c r="L488">
        <v>0.98502</v>
      </c>
      <c r="M488">
        <v>0.93721</v>
      </c>
      <c r="N488">
        <v>0.99897</v>
      </c>
      <c r="O488">
        <v>1</v>
      </c>
      <c r="P488">
        <v>1.00569</v>
      </c>
      <c r="Q488">
        <v>1</v>
      </c>
      <c r="R488">
        <v>1</v>
      </c>
      <c r="S488">
        <v>1</v>
      </c>
      <c r="T488">
        <v>0.99547</v>
      </c>
      <c r="U488">
        <v>1</v>
      </c>
      <c r="V488">
        <v>72.64400000000001</v>
      </c>
      <c r="W488">
        <v>30.532</v>
      </c>
      <c r="X488">
        <v>67.229</v>
      </c>
      <c r="Y488">
        <v>16.451</v>
      </c>
      <c r="Z488">
        <v>32.179</v>
      </c>
      <c r="AA488">
        <v>219.034</v>
      </c>
      <c r="AB488">
        <v>1.08738</v>
      </c>
      <c r="AC488">
        <v>222</v>
      </c>
      <c r="AD488">
        <v>0</v>
      </c>
      <c r="AG488">
        <v>68</v>
      </c>
      <c r="AH488">
        <v>25</v>
      </c>
      <c r="AI488">
        <v>71</v>
      </c>
      <c r="AJ488">
        <v>17</v>
      </c>
      <c r="AK488">
        <v>41</v>
      </c>
    </row>
    <row r="489" spans="1:37">
      <c r="A489" t="s">
        <v>949</v>
      </c>
      <c r="B489" t="s">
        <v>1752</v>
      </c>
      <c r="C489">
        <v>30.8</v>
      </c>
      <c r="D489" t="s">
        <v>82</v>
      </c>
      <c r="E489">
        <v>7</v>
      </c>
      <c r="F489">
        <v>0</v>
      </c>
      <c r="G489">
        <v>0</v>
      </c>
      <c r="I489">
        <v>1.09102</v>
      </c>
      <c r="J489">
        <v>0.95896</v>
      </c>
      <c r="K489">
        <v>1.00603</v>
      </c>
      <c r="L489">
        <v>0.98451</v>
      </c>
      <c r="M489">
        <v>1.1053</v>
      </c>
      <c r="N489">
        <v>0.9974499999999999</v>
      </c>
      <c r="O489">
        <v>1</v>
      </c>
      <c r="P489">
        <v>1.00417</v>
      </c>
      <c r="Q489">
        <v>1</v>
      </c>
      <c r="R489">
        <v>1</v>
      </c>
      <c r="S489">
        <v>1</v>
      </c>
      <c r="T489">
        <v>0.99071</v>
      </c>
      <c r="U489">
        <v>0.7562</v>
      </c>
      <c r="V489">
        <v>54.739</v>
      </c>
      <c r="W489">
        <v>16.779</v>
      </c>
      <c r="X489">
        <v>60.021</v>
      </c>
      <c r="Y489">
        <v>15.233</v>
      </c>
      <c r="Z489">
        <v>50.393</v>
      </c>
      <c r="AA489">
        <v>197.164</v>
      </c>
      <c r="AB489">
        <v>1.01497</v>
      </c>
      <c r="AC489">
        <v>192</v>
      </c>
      <c r="AD489">
        <v>0</v>
      </c>
      <c r="AE489" t="s">
        <v>313</v>
      </c>
      <c r="AG489">
        <v>57</v>
      </c>
      <c r="AH489">
        <v>16</v>
      </c>
      <c r="AI489">
        <v>52</v>
      </c>
      <c r="AJ489">
        <v>14</v>
      </c>
      <c r="AK489">
        <v>53</v>
      </c>
    </row>
    <row r="490" spans="1:37">
      <c r="A490" t="s">
        <v>950</v>
      </c>
      <c r="B490" t="s">
        <v>1753</v>
      </c>
      <c r="C490">
        <v>29.5</v>
      </c>
      <c r="D490" t="s">
        <v>82</v>
      </c>
      <c r="E490">
        <v>8</v>
      </c>
      <c r="F490">
        <v>0</v>
      </c>
      <c r="G490">
        <v>0</v>
      </c>
      <c r="I490">
        <v>1.09121</v>
      </c>
      <c r="J490">
        <v>0.9614200000000001</v>
      </c>
      <c r="K490">
        <v>1.00603</v>
      </c>
      <c r="L490">
        <v>0.984</v>
      </c>
      <c r="M490">
        <v>0.89546</v>
      </c>
      <c r="N490">
        <v>0.99973</v>
      </c>
      <c r="O490">
        <v>1</v>
      </c>
      <c r="P490">
        <v>1.00337</v>
      </c>
      <c r="Q490">
        <v>1</v>
      </c>
      <c r="R490">
        <v>1</v>
      </c>
      <c r="S490">
        <v>1</v>
      </c>
      <c r="T490">
        <v>0.95935</v>
      </c>
      <c r="U490">
        <v>1</v>
      </c>
      <c r="V490">
        <v>16.401</v>
      </c>
      <c r="W490">
        <v>11.33</v>
      </c>
      <c r="X490">
        <v>96.524</v>
      </c>
      <c r="Y490">
        <v>44.933</v>
      </c>
      <c r="Z490">
        <v>41.462</v>
      </c>
      <c r="AA490">
        <v>210.651</v>
      </c>
      <c r="AB490">
        <v>0.87874</v>
      </c>
      <c r="AC490">
        <v>170</v>
      </c>
      <c r="AD490">
        <v>0</v>
      </c>
      <c r="AG490">
        <v>13</v>
      </c>
      <c r="AH490">
        <v>5</v>
      </c>
      <c r="AI490">
        <v>87</v>
      </c>
      <c r="AJ490">
        <v>36</v>
      </c>
      <c r="AK490">
        <v>29</v>
      </c>
    </row>
    <row r="491" spans="1:37">
      <c r="A491" t="s">
        <v>951</v>
      </c>
      <c r="B491" t="s">
        <v>1754</v>
      </c>
      <c r="C491">
        <v>30.5</v>
      </c>
      <c r="D491" t="s">
        <v>82</v>
      </c>
      <c r="E491">
        <v>9</v>
      </c>
      <c r="F491">
        <v>0</v>
      </c>
      <c r="G491">
        <v>0</v>
      </c>
      <c r="I491">
        <v>1.09139</v>
      </c>
      <c r="J491">
        <v>0.96365</v>
      </c>
      <c r="K491">
        <v>1.00603</v>
      </c>
      <c r="L491">
        <v>0.9835</v>
      </c>
      <c r="M491">
        <v>0.83279</v>
      </c>
      <c r="N491">
        <v>0.98835</v>
      </c>
      <c r="O491">
        <v>1</v>
      </c>
      <c r="P491">
        <v>1.00215</v>
      </c>
      <c r="Q491">
        <v>1</v>
      </c>
      <c r="R491">
        <v>1</v>
      </c>
      <c r="S491">
        <v>1</v>
      </c>
      <c r="T491">
        <v>0.966</v>
      </c>
      <c r="U491">
        <v>1</v>
      </c>
      <c r="V491">
        <v>22.418</v>
      </c>
      <c r="W491">
        <v>17.863</v>
      </c>
      <c r="X491">
        <v>80.33499999999999</v>
      </c>
      <c r="Y491">
        <v>37.215</v>
      </c>
      <c r="Z491">
        <v>37.028</v>
      </c>
      <c r="AA491">
        <v>194.859</v>
      </c>
      <c r="AB491">
        <v>1.07247</v>
      </c>
      <c r="AC491">
        <v>212</v>
      </c>
      <c r="AD491">
        <v>0</v>
      </c>
      <c r="AG491">
        <v>23</v>
      </c>
      <c r="AH491">
        <v>18</v>
      </c>
      <c r="AI491">
        <v>85</v>
      </c>
      <c r="AJ491">
        <v>46</v>
      </c>
      <c r="AK491">
        <v>40</v>
      </c>
    </row>
    <row r="492" spans="1:37">
      <c r="A492" t="s">
        <v>435</v>
      </c>
      <c r="B492" t="s">
        <v>1751</v>
      </c>
      <c r="C492">
        <v>31.4</v>
      </c>
      <c r="D492" t="s">
        <v>82</v>
      </c>
      <c r="E492">
        <v>10</v>
      </c>
      <c r="F492">
        <v>0</v>
      </c>
      <c r="G492">
        <v>0</v>
      </c>
      <c r="I492">
        <v>1.09158</v>
      </c>
      <c r="J492">
        <v>0.97245</v>
      </c>
      <c r="K492">
        <v>1.00603</v>
      </c>
      <c r="L492">
        <v>0.9830100000000001</v>
      </c>
      <c r="M492">
        <v>0.90912</v>
      </c>
      <c r="N492">
        <v>0.98937</v>
      </c>
      <c r="O492">
        <v>1</v>
      </c>
      <c r="P492">
        <v>1.00109</v>
      </c>
      <c r="Q492">
        <v>1</v>
      </c>
      <c r="R492">
        <v>1</v>
      </c>
      <c r="S492">
        <v>1</v>
      </c>
      <c r="T492">
        <v>1.0078</v>
      </c>
      <c r="U492">
        <v>1</v>
      </c>
      <c r="V492">
        <v>79.18899999999999</v>
      </c>
      <c r="W492">
        <v>32.812</v>
      </c>
      <c r="X492">
        <v>56.592</v>
      </c>
      <c r="Y492">
        <v>13.865</v>
      </c>
      <c r="Z492">
        <v>30.92</v>
      </c>
      <c r="AA492">
        <v>213.378</v>
      </c>
      <c r="AB492">
        <v>0.99953</v>
      </c>
      <c r="AC492">
        <v>204</v>
      </c>
      <c r="AD492">
        <v>0</v>
      </c>
      <c r="AG492">
        <v>74</v>
      </c>
      <c r="AH492">
        <v>35</v>
      </c>
      <c r="AI492">
        <v>55</v>
      </c>
      <c r="AJ492">
        <v>13</v>
      </c>
      <c r="AK492">
        <v>27</v>
      </c>
    </row>
    <row r="493" spans="1:37">
      <c r="A493" t="s">
        <v>952</v>
      </c>
      <c r="B493" t="s">
        <v>1751</v>
      </c>
      <c r="C493">
        <v>31.8</v>
      </c>
      <c r="D493" t="s">
        <v>82</v>
      </c>
      <c r="E493">
        <v>11</v>
      </c>
      <c r="F493">
        <v>0</v>
      </c>
      <c r="G493">
        <v>0</v>
      </c>
      <c r="I493">
        <v>1.09177</v>
      </c>
      <c r="J493">
        <v>0.9729</v>
      </c>
      <c r="K493">
        <v>1.00603</v>
      </c>
      <c r="L493">
        <v>0.98255</v>
      </c>
      <c r="M493">
        <v>0.8827</v>
      </c>
      <c r="N493">
        <v>0.98766</v>
      </c>
      <c r="O493">
        <v>1</v>
      </c>
      <c r="P493">
        <v>1.00073</v>
      </c>
      <c r="Q493">
        <v>1</v>
      </c>
      <c r="R493">
        <v>1</v>
      </c>
      <c r="S493">
        <v>1</v>
      </c>
      <c r="T493">
        <v>1.00772</v>
      </c>
      <c r="U493">
        <v>1</v>
      </c>
      <c r="V493">
        <v>75.46899999999999</v>
      </c>
      <c r="W493">
        <v>32.868</v>
      </c>
      <c r="X493">
        <v>54.787</v>
      </c>
      <c r="Y493">
        <v>12.633</v>
      </c>
      <c r="Z493">
        <v>31.09</v>
      </c>
      <c r="AA493">
        <v>206.847</v>
      </c>
      <c r="AB493">
        <v>1.02139</v>
      </c>
      <c r="AC493">
        <v>225</v>
      </c>
      <c r="AD493">
        <v>0</v>
      </c>
      <c r="AG493">
        <v>84</v>
      </c>
      <c r="AH493">
        <v>32</v>
      </c>
      <c r="AI493">
        <v>66</v>
      </c>
      <c r="AJ493">
        <v>11</v>
      </c>
      <c r="AK493">
        <v>32</v>
      </c>
    </row>
    <row r="494" spans="1:37">
      <c r="A494" t="s">
        <v>953</v>
      </c>
      <c r="B494" t="s">
        <v>1751</v>
      </c>
      <c r="C494">
        <v>32.2</v>
      </c>
      <c r="D494" t="s">
        <v>82</v>
      </c>
      <c r="E494">
        <v>12</v>
      </c>
      <c r="F494">
        <v>0</v>
      </c>
      <c r="G494">
        <v>0</v>
      </c>
      <c r="I494">
        <v>1.09195</v>
      </c>
      <c r="J494">
        <v>0.9811</v>
      </c>
      <c r="K494">
        <v>1.00603</v>
      </c>
      <c r="L494">
        <v>0.98211</v>
      </c>
      <c r="M494">
        <v>0.9055</v>
      </c>
      <c r="N494">
        <v>0.98473</v>
      </c>
      <c r="O494">
        <v>1</v>
      </c>
      <c r="P494">
        <v>1.0005</v>
      </c>
      <c r="Q494">
        <v>1</v>
      </c>
      <c r="R494">
        <v>1</v>
      </c>
      <c r="S494">
        <v>1</v>
      </c>
      <c r="T494">
        <v>1.00744</v>
      </c>
      <c r="U494">
        <v>1</v>
      </c>
      <c r="V494">
        <v>76.128</v>
      </c>
      <c r="W494">
        <v>33.189</v>
      </c>
      <c r="X494">
        <v>58.258</v>
      </c>
      <c r="Y494">
        <v>13.815</v>
      </c>
      <c r="Z494">
        <v>32.215</v>
      </c>
      <c r="AA494">
        <v>213.604</v>
      </c>
      <c r="AB494">
        <v>1.07211</v>
      </c>
      <c r="AC494">
        <v>206</v>
      </c>
      <c r="AD494">
        <v>0</v>
      </c>
      <c r="AG494">
        <v>79</v>
      </c>
      <c r="AH494">
        <v>27</v>
      </c>
      <c r="AI494">
        <v>57</v>
      </c>
      <c r="AJ494">
        <v>12</v>
      </c>
      <c r="AK494">
        <v>31</v>
      </c>
    </row>
    <row r="495" spans="1:37">
      <c r="A495" t="s">
        <v>954</v>
      </c>
      <c r="B495" t="s">
        <v>1751</v>
      </c>
      <c r="C495">
        <v>31.7</v>
      </c>
      <c r="D495" t="s">
        <v>82</v>
      </c>
      <c r="E495">
        <v>13</v>
      </c>
      <c r="F495">
        <v>0</v>
      </c>
      <c r="G495">
        <v>0</v>
      </c>
      <c r="I495">
        <v>1.09214</v>
      </c>
      <c r="J495">
        <v>0.98722</v>
      </c>
      <c r="K495">
        <v>1.00603</v>
      </c>
      <c r="L495">
        <v>0.98171</v>
      </c>
      <c r="M495">
        <v>0.93809</v>
      </c>
      <c r="N495">
        <v>0.98545</v>
      </c>
      <c r="O495">
        <v>1</v>
      </c>
      <c r="P495">
        <v>1.00034</v>
      </c>
      <c r="Q495">
        <v>1</v>
      </c>
      <c r="R495">
        <v>1</v>
      </c>
      <c r="S495">
        <v>1</v>
      </c>
      <c r="T495">
        <v>1.0051</v>
      </c>
      <c r="U495">
        <v>1</v>
      </c>
      <c r="V495">
        <v>75.096</v>
      </c>
      <c r="W495">
        <v>31.769</v>
      </c>
      <c r="X495">
        <v>66.325</v>
      </c>
      <c r="Y495">
        <v>16.343</v>
      </c>
      <c r="Z495">
        <v>33.963</v>
      </c>
      <c r="AA495">
        <v>223.495</v>
      </c>
      <c r="AB495">
        <v>0.9598</v>
      </c>
      <c r="AC495">
        <v>200</v>
      </c>
      <c r="AD495">
        <v>0</v>
      </c>
      <c r="AG495">
        <v>65</v>
      </c>
      <c r="AH495">
        <v>23</v>
      </c>
      <c r="AI495">
        <v>62</v>
      </c>
      <c r="AJ495">
        <v>15</v>
      </c>
      <c r="AK495">
        <v>35</v>
      </c>
    </row>
    <row r="496" spans="1:37">
      <c r="A496" t="s">
        <v>955</v>
      </c>
      <c r="B496" t="s">
        <v>1752</v>
      </c>
      <c r="C496">
        <v>30.8</v>
      </c>
      <c r="D496" t="s">
        <v>82</v>
      </c>
      <c r="E496">
        <v>14</v>
      </c>
      <c r="F496">
        <v>0</v>
      </c>
      <c r="G496">
        <v>0</v>
      </c>
      <c r="I496">
        <v>1.09233</v>
      </c>
      <c r="J496">
        <v>0.98876</v>
      </c>
      <c r="K496">
        <v>1.00603</v>
      </c>
      <c r="L496">
        <v>0.98134</v>
      </c>
      <c r="M496">
        <v>1.12189</v>
      </c>
      <c r="N496">
        <v>0.98575</v>
      </c>
      <c r="O496">
        <v>1</v>
      </c>
      <c r="P496">
        <v>1.00026</v>
      </c>
      <c r="Q496">
        <v>1</v>
      </c>
      <c r="R496">
        <v>1</v>
      </c>
      <c r="S496">
        <v>1</v>
      </c>
      <c r="T496">
        <v>0.99359</v>
      </c>
      <c r="U496">
        <v>1</v>
      </c>
      <c r="V496">
        <v>70.63500000000001</v>
      </c>
      <c r="W496">
        <v>26.833</v>
      </c>
      <c r="X496">
        <v>103.714</v>
      </c>
      <c r="Y496">
        <v>28.483</v>
      </c>
      <c r="Z496">
        <v>39.867</v>
      </c>
      <c r="AA496">
        <v>269.532</v>
      </c>
      <c r="AB496">
        <v>1.01255</v>
      </c>
      <c r="AC496">
        <v>269</v>
      </c>
      <c r="AD496">
        <v>0</v>
      </c>
      <c r="AG496">
        <v>61</v>
      </c>
      <c r="AH496">
        <v>36</v>
      </c>
      <c r="AI496">
        <v>91</v>
      </c>
      <c r="AJ496">
        <v>33</v>
      </c>
      <c r="AK496">
        <v>48</v>
      </c>
    </row>
    <row r="497" spans="1:37">
      <c r="A497" t="s">
        <v>956</v>
      </c>
      <c r="B497" t="s">
        <v>1753</v>
      </c>
      <c r="C497">
        <v>32.3</v>
      </c>
      <c r="D497" t="s">
        <v>82</v>
      </c>
      <c r="E497">
        <v>15</v>
      </c>
      <c r="F497">
        <v>0</v>
      </c>
      <c r="G497">
        <v>0</v>
      </c>
      <c r="I497">
        <v>1.09252</v>
      </c>
      <c r="J497">
        <v>0.98291</v>
      </c>
      <c r="K497">
        <v>1.00603</v>
      </c>
      <c r="L497">
        <v>0.98101</v>
      </c>
      <c r="M497">
        <v>0.8825</v>
      </c>
      <c r="N497">
        <v>0.96709</v>
      </c>
      <c r="O497">
        <v>1</v>
      </c>
      <c r="P497">
        <v>0.99677</v>
      </c>
      <c r="Q497">
        <v>1</v>
      </c>
      <c r="R497">
        <v>1</v>
      </c>
      <c r="S497">
        <v>1</v>
      </c>
      <c r="T497">
        <v>0.96844</v>
      </c>
      <c r="U497">
        <v>1</v>
      </c>
      <c r="V497">
        <v>16.78</v>
      </c>
      <c r="W497">
        <v>11.665</v>
      </c>
      <c r="X497">
        <v>92.523</v>
      </c>
      <c r="Y497">
        <v>43.631</v>
      </c>
      <c r="Z497">
        <v>43.775</v>
      </c>
      <c r="AA497">
        <v>208.374</v>
      </c>
      <c r="AB497">
        <v>0.99588</v>
      </c>
      <c r="AC497">
        <v>197</v>
      </c>
      <c r="AD497">
        <v>0</v>
      </c>
      <c r="AG497">
        <v>12</v>
      </c>
      <c r="AH497">
        <v>10</v>
      </c>
      <c r="AI497">
        <v>98</v>
      </c>
      <c r="AJ497">
        <v>43</v>
      </c>
      <c r="AK497">
        <v>34</v>
      </c>
    </row>
    <row r="498" spans="1:37">
      <c r="A498" t="s">
        <v>957</v>
      </c>
      <c r="B498" t="s">
        <v>1754</v>
      </c>
      <c r="C498">
        <v>34.9</v>
      </c>
      <c r="D498" t="s">
        <v>82</v>
      </c>
      <c r="E498">
        <v>16</v>
      </c>
      <c r="F498">
        <v>0</v>
      </c>
      <c r="G498">
        <v>0</v>
      </c>
      <c r="I498">
        <v>1.0927</v>
      </c>
      <c r="J498">
        <v>0.97805</v>
      </c>
      <c r="K498">
        <v>1.00603</v>
      </c>
      <c r="L498">
        <v>0.98072</v>
      </c>
      <c r="M498">
        <v>0.82161</v>
      </c>
      <c r="N498">
        <v>0.95457</v>
      </c>
      <c r="O498">
        <v>1</v>
      </c>
      <c r="P498">
        <v>0.99361</v>
      </c>
      <c r="Q498">
        <v>1</v>
      </c>
      <c r="R498">
        <v>1</v>
      </c>
      <c r="S498">
        <v>1</v>
      </c>
      <c r="T498">
        <v>0.97527</v>
      </c>
      <c r="U498">
        <v>1</v>
      </c>
      <c r="V498">
        <v>22.753</v>
      </c>
      <c r="W498">
        <v>18.233</v>
      </c>
      <c r="X498">
        <v>74.85299999999999</v>
      </c>
      <c r="Y498">
        <v>35.354</v>
      </c>
      <c r="Z498">
        <v>39.481</v>
      </c>
      <c r="AA498">
        <v>190.674</v>
      </c>
      <c r="AB498">
        <v>0.9255100000000001</v>
      </c>
      <c r="AC498">
        <v>183</v>
      </c>
      <c r="AD498">
        <v>0</v>
      </c>
      <c r="AG498">
        <v>18</v>
      </c>
      <c r="AH498">
        <v>13</v>
      </c>
      <c r="AI498">
        <v>68</v>
      </c>
      <c r="AJ498">
        <v>35</v>
      </c>
      <c r="AK498">
        <v>49</v>
      </c>
    </row>
    <row r="499" spans="1:37">
      <c r="A499" t="s">
        <v>436</v>
      </c>
      <c r="B499" t="s">
        <v>1751</v>
      </c>
      <c r="C499">
        <v>33.6</v>
      </c>
      <c r="D499" t="s">
        <v>82</v>
      </c>
      <c r="E499">
        <v>17</v>
      </c>
      <c r="F499">
        <v>0</v>
      </c>
      <c r="G499">
        <v>0</v>
      </c>
      <c r="I499">
        <v>1.09289</v>
      </c>
      <c r="J499">
        <v>0.99317</v>
      </c>
      <c r="K499">
        <v>1.00603</v>
      </c>
      <c r="L499">
        <v>0.98048</v>
      </c>
      <c r="M499">
        <v>0.91156</v>
      </c>
      <c r="N499">
        <v>0.9799600000000001</v>
      </c>
      <c r="O499">
        <v>1</v>
      </c>
      <c r="P499">
        <v>0.99264</v>
      </c>
      <c r="Q499">
        <v>1</v>
      </c>
      <c r="R499">
        <v>1</v>
      </c>
      <c r="S499">
        <v>1</v>
      </c>
      <c r="T499">
        <v>1.0166</v>
      </c>
      <c r="U499">
        <v>1</v>
      </c>
      <c r="V499">
        <v>80.818</v>
      </c>
      <c r="W499">
        <v>33.65</v>
      </c>
      <c r="X499">
        <v>55.141</v>
      </c>
      <c r="Y499">
        <v>13.597</v>
      </c>
      <c r="Z499">
        <v>32.164</v>
      </c>
      <c r="AA499">
        <v>215.37</v>
      </c>
      <c r="AB499">
        <v>0.93136</v>
      </c>
      <c r="AC499">
        <v>205</v>
      </c>
      <c r="AD499">
        <v>0</v>
      </c>
      <c r="AG499">
        <v>59</v>
      </c>
      <c r="AH499">
        <v>36</v>
      </c>
      <c r="AI499">
        <v>55</v>
      </c>
      <c r="AJ499">
        <v>14</v>
      </c>
      <c r="AK499">
        <v>41</v>
      </c>
    </row>
    <row r="500" spans="1:37">
      <c r="A500" t="s">
        <v>958</v>
      </c>
      <c r="B500" t="s">
        <v>1751</v>
      </c>
      <c r="C500">
        <v>34.5</v>
      </c>
      <c r="D500" t="s">
        <v>82</v>
      </c>
      <c r="E500">
        <v>18</v>
      </c>
      <c r="F500">
        <v>0</v>
      </c>
      <c r="G500">
        <v>0</v>
      </c>
      <c r="I500">
        <v>1.09308</v>
      </c>
      <c r="J500">
        <v>1.00494</v>
      </c>
      <c r="K500">
        <v>1.00603</v>
      </c>
      <c r="L500">
        <v>0.98028</v>
      </c>
      <c r="M500">
        <v>0.88558</v>
      </c>
      <c r="N500">
        <v>0.97809</v>
      </c>
      <c r="O500">
        <v>1</v>
      </c>
      <c r="P500">
        <v>0.99011</v>
      </c>
      <c r="Q500">
        <v>1</v>
      </c>
      <c r="R500">
        <v>1</v>
      </c>
      <c r="S500">
        <v>1</v>
      </c>
      <c r="T500">
        <v>1.0165</v>
      </c>
      <c r="U500">
        <v>1</v>
      </c>
      <c r="V500">
        <v>77.837</v>
      </c>
      <c r="W500">
        <v>34.037</v>
      </c>
      <c r="X500">
        <v>53.549</v>
      </c>
      <c r="Y500">
        <v>12.451</v>
      </c>
      <c r="Z500">
        <v>32.807</v>
      </c>
      <c r="AA500">
        <v>210.681</v>
      </c>
      <c r="AB500">
        <v>1.05313</v>
      </c>
      <c r="AC500">
        <v>216</v>
      </c>
      <c r="AD500">
        <v>0</v>
      </c>
      <c r="AG500">
        <v>79</v>
      </c>
      <c r="AH500">
        <v>33</v>
      </c>
      <c r="AI500">
        <v>50</v>
      </c>
      <c r="AJ500">
        <v>16</v>
      </c>
      <c r="AK500">
        <v>38</v>
      </c>
    </row>
    <row r="501" spans="1:37">
      <c r="A501" t="s">
        <v>959</v>
      </c>
      <c r="B501" t="s">
        <v>1751</v>
      </c>
      <c r="C501">
        <v>35.9</v>
      </c>
      <c r="D501" t="s">
        <v>82</v>
      </c>
      <c r="E501">
        <v>19</v>
      </c>
      <c r="F501">
        <v>0</v>
      </c>
      <c r="G501">
        <v>0</v>
      </c>
      <c r="I501">
        <v>1.09326</v>
      </c>
      <c r="J501">
        <v>0.99694</v>
      </c>
      <c r="K501">
        <v>1.00603</v>
      </c>
      <c r="L501">
        <v>0.98014</v>
      </c>
      <c r="M501">
        <v>0.90822</v>
      </c>
      <c r="N501">
        <v>0.97416</v>
      </c>
      <c r="O501">
        <v>1</v>
      </c>
      <c r="P501">
        <v>0.98747</v>
      </c>
      <c r="Q501">
        <v>1</v>
      </c>
      <c r="R501">
        <v>1</v>
      </c>
      <c r="S501">
        <v>1</v>
      </c>
      <c r="T501">
        <v>1.01628</v>
      </c>
      <c r="U501">
        <v>1</v>
      </c>
      <c r="V501">
        <v>77.17700000000001</v>
      </c>
      <c r="W501">
        <v>33.755</v>
      </c>
      <c r="X501">
        <v>55.362</v>
      </c>
      <c r="Y501">
        <v>13.277</v>
      </c>
      <c r="Z501">
        <v>33.743</v>
      </c>
      <c r="AA501">
        <v>213.314</v>
      </c>
      <c r="AB501">
        <v>0.9759</v>
      </c>
      <c r="AC501">
        <v>216</v>
      </c>
      <c r="AD501">
        <v>0</v>
      </c>
      <c r="AG501">
        <v>74</v>
      </c>
      <c r="AH501">
        <v>43</v>
      </c>
      <c r="AI501">
        <v>45</v>
      </c>
      <c r="AJ501">
        <v>15</v>
      </c>
      <c r="AK501">
        <v>39</v>
      </c>
    </row>
    <row r="502" spans="1:37">
      <c r="A502" t="s">
        <v>960</v>
      </c>
      <c r="B502" t="s">
        <v>1751</v>
      </c>
      <c r="C502">
        <v>37.4</v>
      </c>
      <c r="D502" t="s">
        <v>82</v>
      </c>
      <c r="E502">
        <v>20</v>
      </c>
      <c r="F502">
        <v>0</v>
      </c>
      <c r="G502">
        <v>0</v>
      </c>
      <c r="I502">
        <v>1.09345</v>
      </c>
      <c r="J502">
        <v>0.99188</v>
      </c>
      <c r="K502">
        <v>1.00603</v>
      </c>
      <c r="L502">
        <v>0.98004</v>
      </c>
      <c r="M502">
        <v>0.93971</v>
      </c>
      <c r="N502">
        <v>0.9697</v>
      </c>
      <c r="O502">
        <v>1</v>
      </c>
      <c r="P502">
        <v>0.98452</v>
      </c>
      <c r="Q502">
        <v>1</v>
      </c>
      <c r="R502">
        <v>1</v>
      </c>
      <c r="S502">
        <v>1</v>
      </c>
      <c r="T502">
        <v>1.01431</v>
      </c>
      <c r="U502">
        <v>1</v>
      </c>
      <c r="V502">
        <v>75.212</v>
      </c>
      <c r="W502">
        <v>31.894</v>
      </c>
      <c r="X502">
        <v>60.656</v>
      </c>
      <c r="Y502">
        <v>15.232</v>
      </c>
      <c r="Z502">
        <v>35.933</v>
      </c>
      <c r="AA502">
        <v>218.928</v>
      </c>
      <c r="AB502">
        <v>0.9567600000000001</v>
      </c>
      <c r="AC502">
        <v>229</v>
      </c>
      <c r="AD502">
        <v>0</v>
      </c>
      <c r="AG502">
        <v>77</v>
      </c>
      <c r="AH502">
        <v>28</v>
      </c>
      <c r="AI502">
        <v>67</v>
      </c>
      <c r="AJ502">
        <v>19</v>
      </c>
      <c r="AK502">
        <v>38</v>
      </c>
    </row>
    <row r="503" spans="1:37">
      <c r="A503" t="s">
        <v>961</v>
      </c>
      <c r="B503" t="s">
        <v>1752</v>
      </c>
      <c r="C503">
        <v>37.3</v>
      </c>
      <c r="D503" t="s">
        <v>82</v>
      </c>
      <c r="E503">
        <v>21</v>
      </c>
      <c r="F503">
        <v>0</v>
      </c>
      <c r="G503">
        <v>0</v>
      </c>
      <c r="I503">
        <v>1.09364</v>
      </c>
      <c r="J503">
        <v>0.99978</v>
      </c>
      <c r="K503">
        <v>1.00603</v>
      </c>
      <c r="L503">
        <v>0.98</v>
      </c>
      <c r="M503">
        <v>1.11053</v>
      </c>
      <c r="N503">
        <v>0.95433</v>
      </c>
      <c r="O503">
        <v>1</v>
      </c>
      <c r="P503">
        <v>0.98008</v>
      </c>
      <c r="Q503">
        <v>1</v>
      </c>
      <c r="R503">
        <v>1</v>
      </c>
      <c r="S503">
        <v>1</v>
      </c>
      <c r="T503">
        <v>1.00352</v>
      </c>
      <c r="U503">
        <v>1</v>
      </c>
      <c r="V503">
        <v>71.13800000000001</v>
      </c>
      <c r="W503">
        <v>27.065</v>
      </c>
      <c r="X503">
        <v>93.17100000000001</v>
      </c>
      <c r="Y503">
        <v>26.249</v>
      </c>
      <c r="Z503">
        <v>42.752</v>
      </c>
      <c r="AA503">
        <v>260.375</v>
      </c>
      <c r="AB503">
        <v>1.05936</v>
      </c>
      <c r="AC503">
        <v>262</v>
      </c>
      <c r="AD503">
        <v>0</v>
      </c>
      <c r="AG503">
        <v>72</v>
      </c>
      <c r="AH503">
        <v>19</v>
      </c>
      <c r="AI503">
        <v>107</v>
      </c>
      <c r="AJ503">
        <v>24</v>
      </c>
      <c r="AK503">
        <v>40</v>
      </c>
    </row>
    <row r="504" spans="1:37">
      <c r="A504" t="s">
        <v>962</v>
      </c>
      <c r="B504" t="s">
        <v>1753</v>
      </c>
      <c r="C504">
        <v>36.9</v>
      </c>
      <c r="D504" t="s">
        <v>82</v>
      </c>
      <c r="E504">
        <v>22</v>
      </c>
      <c r="F504">
        <v>0</v>
      </c>
      <c r="G504">
        <v>0</v>
      </c>
      <c r="I504">
        <v>1.09383</v>
      </c>
      <c r="J504">
        <v>0.99377</v>
      </c>
      <c r="K504">
        <v>1.00603</v>
      </c>
      <c r="L504">
        <v>0.97999</v>
      </c>
      <c r="M504">
        <v>0.86809</v>
      </c>
      <c r="N504">
        <v>0.94326</v>
      </c>
      <c r="O504">
        <v>1</v>
      </c>
      <c r="P504">
        <v>0.9726</v>
      </c>
      <c r="Q504">
        <v>1</v>
      </c>
      <c r="R504">
        <v>1</v>
      </c>
      <c r="S504">
        <v>1</v>
      </c>
      <c r="T504">
        <v>0.9764699999999999</v>
      </c>
      <c r="U504">
        <v>1</v>
      </c>
      <c r="V504">
        <v>16.902</v>
      </c>
      <c r="W504">
        <v>11.766</v>
      </c>
      <c r="X504">
        <v>86.28100000000001</v>
      </c>
      <c r="Y504">
        <v>41.26</v>
      </c>
      <c r="Z504">
        <v>45.822</v>
      </c>
      <c r="AA504">
        <v>202.031</v>
      </c>
      <c r="AB504">
        <v>0.88598</v>
      </c>
      <c r="AC504">
        <v>178</v>
      </c>
      <c r="AD504">
        <v>0</v>
      </c>
      <c r="AG504">
        <v>20</v>
      </c>
      <c r="AH504">
        <v>11</v>
      </c>
      <c r="AI504">
        <v>82</v>
      </c>
      <c r="AJ504">
        <v>31</v>
      </c>
      <c r="AK504">
        <v>34</v>
      </c>
    </row>
    <row r="505" spans="1:37">
      <c r="A505" t="s">
        <v>963</v>
      </c>
      <c r="B505" t="s">
        <v>1754</v>
      </c>
      <c r="C505">
        <v>36.1</v>
      </c>
      <c r="D505" t="s">
        <v>82</v>
      </c>
      <c r="E505">
        <v>23</v>
      </c>
      <c r="F505">
        <v>0</v>
      </c>
      <c r="G505">
        <v>0</v>
      </c>
      <c r="I505">
        <v>1.09401</v>
      </c>
      <c r="J505">
        <v>0.99537</v>
      </c>
      <c r="K505">
        <v>1.00603</v>
      </c>
      <c r="L505">
        <v>0.97992</v>
      </c>
      <c r="M505">
        <v>0.8169</v>
      </c>
      <c r="N505">
        <v>0.95075</v>
      </c>
      <c r="O505">
        <v>1</v>
      </c>
      <c r="P505">
        <v>0.9706900000000001</v>
      </c>
      <c r="Q505">
        <v>1</v>
      </c>
      <c r="R505">
        <v>1</v>
      </c>
      <c r="S505">
        <v>1</v>
      </c>
      <c r="T505">
        <v>0.9827399999999999</v>
      </c>
      <c r="U505">
        <v>1</v>
      </c>
      <c r="V505">
        <v>23.073</v>
      </c>
      <c r="W505">
        <v>18.512</v>
      </c>
      <c r="X505">
        <v>73.956</v>
      </c>
      <c r="Y505">
        <v>34.85</v>
      </c>
      <c r="Z505">
        <v>39.866</v>
      </c>
      <c r="AA505">
        <v>190.257</v>
      </c>
      <c r="AB505">
        <v>0.95459</v>
      </c>
      <c r="AC505">
        <v>169</v>
      </c>
      <c r="AD505">
        <v>0</v>
      </c>
      <c r="AG505">
        <v>24</v>
      </c>
      <c r="AH505">
        <v>14</v>
      </c>
      <c r="AI505">
        <v>66</v>
      </c>
      <c r="AJ505">
        <v>30</v>
      </c>
      <c r="AK505">
        <v>35</v>
      </c>
    </row>
    <row r="506" spans="1:37">
      <c r="A506" t="s">
        <v>437</v>
      </c>
      <c r="B506" t="s">
        <v>1751</v>
      </c>
      <c r="C506">
        <v>34.6</v>
      </c>
      <c r="D506" t="s">
        <v>82</v>
      </c>
      <c r="E506">
        <v>24</v>
      </c>
      <c r="F506">
        <v>0</v>
      </c>
      <c r="G506">
        <v>0</v>
      </c>
      <c r="I506">
        <v>1.0942</v>
      </c>
      <c r="J506">
        <v>0.99579</v>
      </c>
      <c r="K506">
        <v>1.00603</v>
      </c>
      <c r="L506">
        <v>0.9798</v>
      </c>
      <c r="M506">
        <v>0.91321</v>
      </c>
      <c r="N506">
        <v>0.97731</v>
      </c>
      <c r="O506">
        <v>1</v>
      </c>
      <c r="P506">
        <v>0.97526</v>
      </c>
      <c r="Q506">
        <v>1</v>
      </c>
      <c r="R506">
        <v>1</v>
      </c>
      <c r="S506">
        <v>1</v>
      </c>
      <c r="T506">
        <v>1.0242</v>
      </c>
      <c r="U506">
        <v>1</v>
      </c>
      <c r="V506">
        <v>80.745</v>
      </c>
      <c r="W506">
        <v>33.658</v>
      </c>
      <c r="X506">
        <v>53.564</v>
      </c>
      <c r="Y506">
        <v>13.187</v>
      </c>
      <c r="Z506">
        <v>31.925</v>
      </c>
      <c r="AA506">
        <v>213.078</v>
      </c>
      <c r="AB506">
        <v>0.96008</v>
      </c>
      <c r="AC506">
        <v>214</v>
      </c>
      <c r="AD506">
        <v>1</v>
      </c>
      <c r="AG506">
        <v>84</v>
      </c>
      <c r="AH506">
        <v>33</v>
      </c>
      <c r="AI506">
        <v>51</v>
      </c>
      <c r="AJ506">
        <v>12</v>
      </c>
      <c r="AK506">
        <v>34</v>
      </c>
    </row>
    <row r="507" spans="1:37">
      <c r="A507" t="s">
        <v>964</v>
      </c>
      <c r="B507" t="s">
        <v>1751</v>
      </c>
      <c r="C507">
        <v>35.3</v>
      </c>
      <c r="D507" t="s">
        <v>82</v>
      </c>
      <c r="E507">
        <v>25</v>
      </c>
      <c r="F507">
        <v>0</v>
      </c>
      <c r="G507">
        <v>0</v>
      </c>
      <c r="I507">
        <v>1.09439</v>
      </c>
      <c r="J507">
        <v>0.99232</v>
      </c>
      <c r="K507">
        <v>1.00603</v>
      </c>
      <c r="L507">
        <v>0.97963</v>
      </c>
      <c r="M507">
        <v>0.88698</v>
      </c>
      <c r="N507">
        <v>0.97661</v>
      </c>
      <c r="O507">
        <v>1</v>
      </c>
      <c r="P507">
        <v>0.9726900000000001</v>
      </c>
      <c r="Q507">
        <v>1</v>
      </c>
      <c r="R507">
        <v>1</v>
      </c>
      <c r="S507">
        <v>1</v>
      </c>
      <c r="T507">
        <v>1.02389</v>
      </c>
      <c r="U507">
        <v>1</v>
      </c>
      <c r="V507">
        <v>76.584</v>
      </c>
      <c r="W507">
        <v>33.522</v>
      </c>
      <c r="X507">
        <v>51.475</v>
      </c>
      <c r="Y507">
        <v>11.931</v>
      </c>
      <c r="Z507">
        <v>31.983</v>
      </c>
      <c r="AA507">
        <v>205.495</v>
      </c>
      <c r="AB507">
        <v>0.96456</v>
      </c>
      <c r="AC507">
        <v>202</v>
      </c>
      <c r="AD507">
        <v>0</v>
      </c>
      <c r="AG507">
        <v>70</v>
      </c>
      <c r="AH507">
        <v>51</v>
      </c>
      <c r="AI507">
        <v>42</v>
      </c>
      <c r="AJ507">
        <v>8</v>
      </c>
      <c r="AK507">
        <v>31</v>
      </c>
    </row>
    <row r="508" spans="1:37">
      <c r="A508" t="s">
        <v>965</v>
      </c>
      <c r="B508" t="s">
        <v>1751</v>
      </c>
      <c r="C508">
        <v>36.5</v>
      </c>
      <c r="D508" t="s">
        <v>82</v>
      </c>
      <c r="E508">
        <v>26</v>
      </c>
      <c r="F508">
        <v>0</v>
      </c>
      <c r="G508">
        <v>0</v>
      </c>
      <c r="I508">
        <v>1.09457</v>
      </c>
      <c r="J508">
        <v>0.9899</v>
      </c>
      <c r="K508">
        <v>1.00603</v>
      </c>
      <c r="L508">
        <v>0.97941</v>
      </c>
      <c r="M508">
        <v>0.9091900000000001</v>
      </c>
      <c r="N508">
        <v>0.97362</v>
      </c>
      <c r="O508">
        <v>1</v>
      </c>
      <c r="P508">
        <v>0.9698600000000001</v>
      </c>
      <c r="Q508">
        <v>1</v>
      </c>
      <c r="R508">
        <v>1</v>
      </c>
      <c r="S508">
        <v>1</v>
      </c>
      <c r="T508">
        <v>1.02347</v>
      </c>
      <c r="U508">
        <v>1</v>
      </c>
      <c r="V508">
        <v>76.343</v>
      </c>
      <c r="W508">
        <v>33.42</v>
      </c>
      <c r="X508">
        <v>53.75</v>
      </c>
      <c r="Y508">
        <v>12.832</v>
      </c>
      <c r="Z508">
        <v>32.983</v>
      </c>
      <c r="AA508">
        <v>209.328</v>
      </c>
      <c r="AB508">
        <v>1.04051</v>
      </c>
      <c r="AC508">
        <v>224</v>
      </c>
      <c r="AD508">
        <v>1</v>
      </c>
      <c r="AG508">
        <v>78</v>
      </c>
      <c r="AH508">
        <v>36</v>
      </c>
      <c r="AI508">
        <v>67</v>
      </c>
      <c r="AJ508">
        <v>11</v>
      </c>
      <c r="AK508">
        <v>32</v>
      </c>
    </row>
    <row r="509" spans="1:37">
      <c r="A509" t="s">
        <v>966</v>
      </c>
      <c r="B509" t="s">
        <v>1751</v>
      </c>
      <c r="C509">
        <v>35.4</v>
      </c>
      <c r="D509" t="s">
        <v>82</v>
      </c>
      <c r="E509">
        <v>27</v>
      </c>
      <c r="F509">
        <v>0</v>
      </c>
      <c r="G509">
        <v>0</v>
      </c>
      <c r="I509">
        <v>1.09476</v>
      </c>
      <c r="J509">
        <v>1.00076</v>
      </c>
      <c r="K509">
        <v>1.00603</v>
      </c>
      <c r="L509">
        <v>0.97915</v>
      </c>
      <c r="M509">
        <v>0.93965</v>
      </c>
      <c r="N509">
        <v>0.97149</v>
      </c>
      <c r="O509">
        <v>1</v>
      </c>
      <c r="P509">
        <v>0.96895</v>
      </c>
      <c r="Q509">
        <v>1</v>
      </c>
      <c r="R509">
        <v>1</v>
      </c>
      <c r="S509">
        <v>1</v>
      </c>
      <c r="T509">
        <v>1.02106</v>
      </c>
      <c r="U509">
        <v>1</v>
      </c>
      <c r="V509">
        <v>75.666</v>
      </c>
      <c r="W509">
        <v>32.136</v>
      </c>
      <c r="X509">
        <v>61.484</v>
      </c>
      <c r="Y509">
        <v>15.254</v>
      </c>
      <c r="Z509">
        <v>34.699</v>
      </c>
      <c r="AA509">
        <v>219.239</v>
      </c>
      <c r="AB509">
        <v>1.07388</v>
      </c>
      <c r="AC509">
        <v>240</v>
      </c>
      <c r="AD509">
        <v>0</v>
      </c>
      <c r="AG509">
        <v>76</v>
      </c>
      <c r="AH509">
        <v>38</v>
      </c>
      <c r="AI509">
        <v>63</v>
      </c>
      <c r="AJ509">
        <v>16</v>
      </c>
      <c r="AK509">
        <v>47</v>
      </c>
    </row>
    <row r="510" spans="1:37">
      <c r="A510" t="s">
        <v>967</v>
      </c>
      <c r="B510" t="s">
        <v>1752</v>
      </c>
      <c r="C510">
        <v>37.3</v>
      </c>
      <c r="D510" t="s">
        <v>82</v>
      </c>
      <c r="E510">
        <v>28</v>
      </c>
      <c r="F510">
        <v>0</v>
      </c>
      <c r="G510">
        <v>0</v>
      </c>
      <c r="I510">
        <v>1.09495</v>
      </c>
      <c r="J510">
        <v>1.0096</v>
      </c>
      <c r="K510">
        <v>1.00603</v>
      </c>
      <c r="L510">
        <v>0.97884</v>
      </c>
      <c r="M510">
        <v>1.10949</v>
      </c>
      <c r="N510">
        <v>0.95421</v>
      </c>
      <c r="O510">
        <v>1</v>
      </c>
      <c r="P510">
        <v>0.9658099999999999</v>
      </c>
      <c r="Q510">
        <v>1</v>
      </c>
      <c r="R510">
        <v>1</v>
      </c>
      <c r="S510">
        <v>1</v>
      </c>
      <c r="T510">
        <v>1.01037</v>
      </c>
      <c r="U510">
        <v>1</v>
      </c>
      <c r="V510">
        <v>71.684</v>
      </c>
      <c r="W510">
        <v>27.333</v>
      </c>
      <c r="X510">
        <v>93.151</v>
      </c>
      <c r="Y510">
        <v>26.082</v>
      </c>
      <c r="Z510">
        <v>42.491</v>
      </c>
      <c r="AA510">
        <v>260.741</v>
      </c>
      <c r="AB510">
        <v>1.1027</v>
      </c>
      <c r="AC510">
        <v>278</v>
      </c>
      <c r="AD510">
        <v>0</v>
      </c>
      <c r="AG510">
        <v>77</v>
      </c>
      <c r="AH510">
        <v>26</v>
      </c>
      <c r="AI510">
        <v>112</v>
      </c>
      <c r="AJ510">
        <v>27</v>
      </c>
      <c r="AK510">
        <v>36</v>
      </c>
    </row>
    <row r="511" spans="1:37">
      <c r="A511" t="s">
        <v>968</v>
      </c>
      <c r="B511" t="s">
        <v>1753</v>
      </c>
      <c r="C511">
        <v>35.9</v>
      </c>
      <c r="D511" t="s">
        <v>82</v>
      </c>
      <c r="E511">
        <v>29</v>
      </c>
      <c r="F511">
        <v>0</v>
      </c>
      <c r="G511">
        <v>0</v>
      </c>
      <c r="I511">
        <v>1.09514</v>
      </c>
      <c r="J511">
        <v>1.00081</v>
      </c>
      <c r="K511">
        <v>1.00603</v>
      </c>
      <c r="L511">
        <v>0.97849</v>
      </c>
      <c r="M511">
        <v>0.86647</v>
      </c>
      <c r="N511">
        <v>0.94515</v>
      </c>
      <c r="O511">
        <v>1</v>
      </c>
      <c r="P511">
        <v>0.95887</v>
      </c>
      <c r="Q511">
        <v>1</v>
      </c>
      <c r="R511">
        <v>1</v>
      </c>
      <c r="S511">
        <v>1</v>
      </c>
      <c r="T511">
        <v>0.9827900000000001</v>
      </c>
      <c r="U511">
        <v>1</v>
      </c>
      <c r="V511">
        <v>16.997</v>
      </c>
      <c r="W511">
        <v>11.867</v>
      </c>
      <c r="X511">
        <v>87.08799999999999</v>
      </c>
      <c r="Y511">
        <v>41.273</v>
      </c>
      <c r="Z511">
        <v>45.021</v>
      </c>
      <c r="AA511">
        <v>202.246</v>
      </c>
      <c r="AB511">
        <v>0.91123</v>
      </c>
      <c r="AC511">
        <v>197</v>
      </c>
      <c r="AD511">
        <v>0</v>
      </c>
      <c r="AG511">
        <v>21</v>
      </c>
      <c r="AH511">
        <v>8</v>
      </c>
      <c r="AI511">
        <v>81</v>
      </c>
      <c r="AJ511">
        <v>40</v>
      </c>
      <c r="AK511">
        <v>47</v>
      </c>
    </row>
    <row r="512" spans="1:37">
      <c r="A512" t="s">
        <v>969</v>
      </c>
      <c r="B512" t="s">
        <v>1754</v>
      </c>
      <c r="C512">
        <v>34.8</v>
      </c>
      <c r="D512" t="s">
        <v>82</v>
      </c>
      <c r="E512">
        <v>30</v>
      </c>
      <c r="F512">
        <v>0</v>
      </c>
      <c r="G512">
        <v>0</v>
      </c>
      <c r="I512">
        <v>1.09532</v>
      </c>
      <c r="J512">
        <v>0.9944499999999999</v>
      </c>
      <c r="K512">
        <v>1.00603</v>
      </c>
      <c r="L512">
        <v>0.9781</v>
      </c>
      <c r="M512">
        <v>0.81695</v>
      </c>
      <c r="N512">
        <v>0.9546</v>
      </c>
      <c r="O512">
        <v>1</v>
      </c>
      <c r="P512">
        <v>0.96088</v>
      </c>
      <c r="Q512">
        <v>1</v>
      </c>
      <c r="R512">
        <v>1</v>
      </c>
      <c r="S512">
        <v>1</v>
      </c>
      <c r="T512">
        <v>0.98892</v>
      </c>
      <c r="U512">
        <v>1</v>
      </c>
      <c r="V512">
        <v>23.035</v>
      </c>
      <c r="W512">
        <v>18.548</v>
      </c>
      <c r="X512">
        <v>74.746</v>
      </c>
      <c r="Y512">
        <v>34.843</v>
      </c>
      <c r="Z512">
        <v>38.844</v>
      </c>
      <c r="AA512">
        <v>190.015</v>
      </c>
      <c r="AB512">
        <v>0.89173</v>
      </c>
      <c r="AC512">
        <v>186</v>
      </c>
      <c r="AD512">
        <v>0</v>
      </c>
      <c r="AG512">
        <v>26</v>
      </c>
      <c r="AH512">
        <v>17</v>
      </c>
      <c r="AI512">
        <v>73</v>
      </c>
      <c r="AJ512">
        <v>31</v>
      </c>
      <c r="AK512">
        <v>39</v>
      </c>
    </row>
    <row r="513" spans="1:37">
      <c r="A513" t="s">
        <v>438</v>
      </c>
      <c r="B513" t="s">
        <v>1751</v>
      </c>
      <c r="C513">
        <v>35.3</v>
      </c>
      <c r="D513" t="s">
        <v>82</v>
      </c>
      <c r="E513">
        <v>31</v>
      </c>
      <c r="F513">
        <v>0</v>
      </c>
      <c r="G513">
        <v>0</v>
      </c>
      <c r="I513">
        <v>1.09551</v>
      </c>
      <c r="J513">
        <v>0.99783</v>
      </c>
      <c r="K513">
        <v>1.00603</v>
      </c>
      <c r="L513">
        <v>0.97768</v>
      </c>
      <c r="M513">
        <v>0.91384</v>
      </c>
      <c r="N513">
        <v>0.97573</v>
      </c>
      <c r="O513">
        <v>1</v>
      </c>
      <c r="P513">
        <v>0.97031</v>
      </c>
      <c r="Q513">
        <v>1</v>
      </c>
      <c r="R513">
        <v>1</v>
      </c>
      <c r="S513">
        <v>1</v>
      </c>
      <c r="T513">
        <v>1.0304</v>
      </c>
      <c r="U513">
        <v>1</v>
      </c>
      <c r="V513">
        <v>80.908</v>
      </c>
      <c r="W513">
        <v>33.872</v>
      </c>
      <c r="X513">
        <v>53.19</v>
      </c>
      <c r="Y513">
        <v>13.056</v>
      </c>
      <c r="Z513">
        <v>32.094</v>
      </c>
      <c r="AA513">
        <v>213.12</v>
      </c>
      <c r="AB513">
        <v>0.95546</v>
      </c>
      <c r="AC513">
        <v>207</v>
      </c>
      <c r="AD513">
        <v>0</v>
      </c>
      <c r="AG513">
        <v>67</v>
      </c>
      <c r="AH513">
        <v>38</v>
      </c>
      <c r="AI513">
        <v>50</v>
      </c>
      <c r="AJ513">
        <v>12</v>
      </c>
      <c r="AK513">
        <v>40</v>
      </c>
    </row>
    <row r="514" spans="1:37">
      <c r="A514" t="s">
        <v>970</v>
      </c>
      <c r="B514" t="s">
        <v>1751</v>
      </c>
      <c r="C514">
        <v>32.2</v>
      </c>
      <c r="D514" t="s">
        <v>82</v>
      </c>
      <c r="E514">
        <v>0</v>
      </c>
      <c r="F514">
        <v>0</v>
      </c>
      <c r="G514">
        <v>0</v>
      </c>
      <c r="I514">
        <v>1.0957</v>
      </c>
      <c r="J514">
        <v>0.99089</v>
      </c>
      <c r="K514">
        <v>1.00603</v>
      </c>
      <c r="L514">
        <v>0.97723</v>
      </c>
      <c r="M514">
        <v>0.88012</v>
      </c>
      <c r="N514">
        <v>0.9847399999999999</v>
      </c>
      <c r="O514">
        <v>1</v>
      </c>
      <c r="P514">
        <v>1.0599</v>
      </c>
      <c r="Q514">
        <v>1</v>
      </c>
      <c r="R514">
        <v>1</v>
      </c>
      <c r="S514">
        <v>1</v>
      </c>
      <c r="T514">
        <v>1.0261</v>
      </c>
      <c r="U514">
        <v>1</v>
      </c>
      <c r="V514">
        <v>79.669</v>
      </c>
      <c r="W514">
        <v>35.991</v>
      </c>
      <c r="X514">
        <v>61.969</v>
      </c>
      <c r="Y514">
        <v>14.048</v>
      </c>
      <c r="Z514">
        <v>34.985</v>
      </c>
      <c r="AA514">
        <v>226.662</v>
      </c>
      <c r="AB514">
        <v>0.8444</v>
      </c>
      <c r="AC514">
        <v>171</v>
      </c>
      <c r="AD514">
        <v>0</v>
      </c>
      <c r="AG514">
        <v>68</v>
      </c>
      <c r="AH514">
        <v>27</v>
      </c>
      <c r="AI514">
        <v>44</v>
      </c>
      <c r="AJ514">
        <v>5</v>
      </c>
      <c r="AK514">
        <v>27</v>
      </c>
    </row>
    <row r="515" spans="1:37">
      <c r="A515" t="s">
        <v>971</v>
      </c>
      <c r="B515" t="s">
        <v>1751</v>
      </c>
      <c r="C515">
        <v>33.1</v>
      </c>
      <c r="D515" t="s">
        <v>82</v>
      </c>
      <c r="E515">
        <v>1</v>
      </c>
      <c r="F515">
        <v>0</v>
      </c>
      <c r="G515">
        <v>0</v>
      </c>
      <c r="I515">
        <v>1.09588</v>
      </c>
      <c r="J515">
        <v>0.99275</v>
      </c>
      <c r="K515">
        <v>1.00603</v>
      </c>
      <c r="L515">
        <v>0.97676</v>
      </c>
      <c r="M515">
        <v>0.90457</v>
      </c>
      <c r="N515">
        <v>0.97976</v>
      </c>
      <c r="O515">
        <v>1</v>
      </c>
      <c r="P515">
        <v>1.04058</v>
      </c>
      <c r="Q515">
        <v>1</v>
      </c>
      <c r="R515">
        <v>1</v>
      </c>
      <c r="S515">
        <v>1</v>
      </c>
      <c r="T515">
        <v>1.02626</v>
      </c>
      <c r="U515">
        <v>1</v>
      </c>
      <c r="V515">
        <v>79.13</v>
      </c>
      <c r="W515">
        <v>35.578</v>
      </c>
      <c r="X515">
        <v>63.075</v>
      </c>
      <c r="Y515">
        <v>14.753</v>
      </c>
      <c r="Z515">
        <v>35.262</v>
      </c>
      <c r="AA515">
        <v>227.799</v>
      </c>
      <c r="AB515">
        <v>0.95128</v>
      </c>
      <c r="AC515">
        <v>215</v>
      </c>
      <c r="AD515">
        <v>0</v>
      </c>
      <c r="AG515">
        <v>80</v>
      </c>
      <c r="AH515">
        <v>26</v>
      </c>
      <c r="AI515">
        <v>62</v>
      </c>
      <c r="AJ515">
        <v>16</v>
      </c>
      <c r="AK515">
        <v>31</v>
      </c>
    </row>
    <row r="516" spans="1:37">
      <c r="A516" t="s">
        <v>972</v>
      </c>
      <c r="B516" t="s">
        <v>1751</v>
      </c>
      <c r="C516">
        <v>32.9</v>
      </c>
      <c r="D516" t="s">
        <v>82</v>
      </c>
      <c r="E516">
        <v>2</v>
      </c>
      <c r="F516">
        <v>0</v>
      </c>
      <c r="G516">
        <v>0</v>
      </c>
      <c r="I516">
        <v>1.09607</v>
      </c>
      <c r="J516">
        <v>0.9832</v>
      </c>
      <c r="K516">
        <v>1.00603</v>
      </c>
      <c r="L516">
        <v>0.97627</v>
      </c>
      <c r="M516">
        <v>0.9382</v>
      </c>
      <c r="N516">
        <v>0.97816</v>
      </c>
      <c r="O516">
        <v>1</v>
      </c>
      <c r="P516">
        <v>1.02802</v>
      </c>
      <c r="Q516">
        <v>1</v>
      </c>
      <c r="R516">
        <v>1</v>
      </c>
      <c r="S516">
        <v>1</v>
      </c>
      <c r="T516">
        <v>1.02425</v>
      </c>
      <c r="U516">
        <v>1</v>
      </c>
      <c r="V516">
        <v>76.352</v>
      </c>
      <c r="W516">
        <v>33.178</v>
      </c>
      <c r="X516">
        <v>68.816</v>
      </c>
      <c r="Y516">
        <v>16.768</v>
      </c>
      <c r="Z516">
        <v>36.042</v>
      </c>
      <c r="AA516">
        <v>231.157</v>
      </c>
      <c r="AB516">
        <v>0.9782</v>
      </c>
      <c r="AC516">
        <v>229</v>
      </c>
      <c r="AD516">
        <v>1</v>
      </c>
      <c r="AG516">
        <v>77</v>
      </c>
      <c r="AH516">
        <v>21</v>
      </c>
      <c r="AI516">
        <v>77</v>
      </c>
      <c r="AJ516">
        <v>19</v>
      </c>
      <c r="AK516">
        <v>35</v>
      </c>
    </row>
    <row r="517" spans="1:37">
      <c r="A517" t="s">
        <v>973</v>
      </c>
      <c r="B517" t="s">
        <v>1752</v>
      </c>
      <c r="C517">
        <v>34.2</v>
      </c>
      <c r="D517" t="s">
        <v>82</v>
      </c>
      <c r="E517">
        <v>3</v>
      </c>
      <c r="F517">
        <v>0</v>
      </c>
      <c r="G517">
        <v>0</v>
      </c>
      <c r="I517">
        <v>1.09626</v>
      </c>
      <c r="J517">
        <v>0.99498</v>
      </c>
      <c r="K517">
        <v>1.00603</v>
      </c>
      <c r="L517">
        <v>0.97576</v>
      </c>
      <c r="M517">
        <v>1.1177</v>
      </c>
      <c r="N517">
        <v>0.96085</v>
      </c>
      <c r="O517">
        <v>1</v>
      </c>
      <c r="P517">
        <v>1.02066</v>
      </c>
      <c r="Q517">
        <v>1</v>
      </c>
      <c r="R517">
        <v>1</v>
      </c>
      <c r="S517">
        <v>1</v>
      </c>
      <c r="T517">
        <v>1.01409</v>
      </c>
      <c r="U517">
        <v>1</v>
      </c>
      <c r="V517">
        <v>72.247</v>
      </c>
      <c r="W517">
        <v>28.112</v>
      </c>
      <c r="X517">
        <v>102.675</v>
      </c>
      <c r="Y517">
        <v>28.279</v>
      </c>
      <c r="Z517">
        <v>43.4</v>
      </c>
      <c r="AA517">
        <v>274.713</v>
      </c>
      <c r="AB517">
        <v>1.05615</v>
      </c>
      <c r="AC517">
        <v>292</v>
      </c>
      <c r="AD517">
        <v>0</v>
      </c>
      <c r="AG517">
        <v>86</v>
      </c>
      <c r="AH517">
        <v>24</v>
      </c>
      <c r="AI517">
        <v>111</v>
      </c>
      <c r="AJ517">
        <v>26</v>
      </c>
      <c r="AK517">
        <v>45</v>
      </c>
    </row>
    <row r="518" spans="1:37">
      <c r="A518" t="s">
        <v>974</v>
      </c>
      <c r="B518" t="s">
        <v>1753</v>
      </c>
      <c r="C518">
        <v>33.7</v>
      </c>
      <c r="D518" t="s">
        <v>82</v>
      </c>
      <c r="E518">
        <v>4</v>
      </c>
      <c r="F518">
        <v>0</v>
      </c>
      <c r="G518">
        <v>0</v>
      </c>
      <c r="I518">
        <v>1.09645</v>
      </c>
      <c r="J518">
        <v>0.99904</v>
      </c>
      <c r="K518">
        <v>1.00603</v>
      </c>
      <c r="L518">
        <v>0.97525</v>
      </c>
      <c r="M518">
        <v>0.88302</v>
      </c>
      <c r="N518">
        <v>0.95452</v>
      </c>
      <c r="O518">
        <v>1</v>
      </c>
      <c r="P518">
        <v>1.01663</v>
      </c>
      <c r="Q518">
        <v>1</v>
      </c>
      <c r="R518">
        <v>1</v>
      </c>
      <c r="S518">
        <v>1</v>
      </c>
      <c r="T518">
        <v>0.98763</v>
      </c>
      <c r="U518">
        <v>1</v>
      </c>
      <c r="V518">
        <v>17.299</v>
      </c>
      <c r="W518">
        <v>12.304</v>
      </c>
      <c r="X518">
        <v>95.967</v>
      </c>
      <c r="Y518">
        <v>44.8</v>
      </c>
      <c r="Z518">
        <v>46.662</v>
      </c>
      <c r="AA518">
        <v>217.032</v>
      </c>
      <c r="AB518">
        <v>0.95646</v>
      </c>
      <c r="AC518">
        <v>202</v>
      </c>
      <c r="AD518">
        <v>0</v>
      </c>
      <c r="AG518">
        <v>16</v>
      </c>
      <c r="AH518">
        <v>10</v>
      </c>
      <c r="AI518">
        <v>81</v>
      </c>
      <c r="AJ518">
        <v>62</v>
      </c>
      <c r="AK518">
        <v>33</v>
      </c>
    </row>
    <row r="519" spans="1:37">
      <c r="A519" t="s">
        <v>975</v>
      </c>
      <c r="B519" t="s">
        <v>1754</v>
      </c>
      <c r="C519">
        <v>33.5</v>
      </c>
      <c r="D519" t="s">
        <v>82</v>
      </c>
      <c r="E519">
        <v>5</v>
      </c>
      <c r="F519">
        <v>0</v>
      </c>
      <c r="G519">
        <v>0</v>
      </c>
      <c r="I519">
        <v>1.09663</v>
      </c>
      <c r="J519">
        <v>0.99958</v>
      </c>
      <c r="K519">
        <v>0.92722</v>
      </c>
      <c r="L519">
        <v>0.97473</v>
      </c>
      <c r="M519">
        <v>0.82741</v>
      </c>
      <c r="N519">
        <v>0.96028</v>
      </c>
      <c r="O519">
        <v>1</v>
      </c>
      <c r="P519">
        <v>1.0106</v>
      </c>
      <c r="Q519">
        <v>1</v>
      </c>
      <c r="R519">
        <v>1</v>
      </c>
      <c r="S519">
        <v>1</v>
      </c>
      <c r="T519">
        <v>0.99363</v>
      </c>
      <c r="U519">
        <v>1</v>
      </c>
      <c r="V519">
        <v>21.712</v>
      </c>
      <c r="W519">
        <v>17.79</v>
      </c>
      <c r="X519">
        <v>75.238</v>
      </c>
      <c r="Y519">
        <v>34.657</v>
      </c>
      <c r="Z519">
        <v>37.55</v>
      </c>
      <c r="AA519">
        <v>186.947</v>
      </c>
      <c r="AB519">
        <v>0.9051399999999999</v>
      </c>
      <c r="AC519">
        <v>163</v>
      </c>
      <c r="AD519">
        <v>0</v>
      </c>
      <c r="AG519">
        <v>19</v>
      </c>
      <c r="AH519">
        <v>12</v>
      </c>
      <c r="AI519">
        <v>67</v>
      </c>
      <c r="AJ519">
        <v>36</v>
      </c>
      <c r="AK519">
        <v>29</v>
      </c>
    </row>
    <row r="520" spans="1:37">
      <c r="A520" t="s">
        <v>439</v>
      </c>
      <c r="B520" t="s">
        <v>1751</v>
      </c>
      <c r="C520">
        <v>34.4</v>
      </c>
      <c r="D520" t="s">
        <v>1474</v>
      </c>
      <c r="E520">
        <v>6</v>
      </c>
      <c r="F520">
        <v>0</v>
      </c>
      <c r="G520">
        <v>0</v>
      </c>
      <c r="I520">
        <v>1.09682</v>
      </c>
      <c r="J520">
        <v>0.9997200000000001</v>
      </c>
      <c r="K520">
        <v>0.92722</v>
      </c>
      <c r="L520">
        <v>0.97422</v>
      </c>
      <c r="M520">
        <v>0.91396</v>
      </c>
      <c r="N520">
        <v>0.97675</v>
      </c>
      <c r="O520">
        <v>1.01265</v>
      </c>
      <c r="P520">
        <v>1.00536</v>
      </c>
      <c r="Q520">
        <v>1</v>
      </c>
      <c r="R520">
        <v>1</v>
      </c>
      <c r="S520">
        <v>1</v>
      </c>
      <c r="T520">
        <v>1.0332</v>
      </c>
      <c r="U520">
        <v>1</v>
      </c>
      <c r="V520">
        <v>75.901</v>
      </c>
      <c r="W520">
        <v>35.539</v>
      </c>
      <c r="X520">
        <v>52.705</v>
      </c>
      <c r="Y520">
        <v>12.176</v>
      </c>
      <c r="Z520">
        <v>30.955</v>
      </c>
      <c r="AA520">
        <v>207.276</v>
      </c>
      <c r="AB520">
        <v>1.06738</v>
      </c>
      <c r="AC520">
        <v>241</v>
      </c>
      <c r="AD520">
        <v>0</v>
      </c>
      <c r="AG520">
        <v>86</v>
      </c>
      <c r="AH520">
        <v>42</v>
      </c>
      <c r="AI520">
        <v>56</v>
      </c>
      <c r="AJ520">
        <v>18</v>
      </c>
      <c r="AK520">
        <v>39</v>
      </c>
    </row>
    <row r="521" spans="1:37">
      <c r="A521" t="s">
        <v>976</v>
      </c>
      <c r="B521" t="s">
        <v>1751</v>
      </c>
      <c r="C521">
        <v>34.5</v>
      </c>
      <c r="D521" t="s">
        <v>1474</v>
      </c>
      <c r="E521">
        <v>7</v>
      </c>
      <c r="F521">
        <v>0</v>
      </c>
      <c r="G521">
        <v>0</v>
      </c>
      <c r="I521">
        <v>1.09701</v>
      </c>
      <c r="J521">
        <v>1.02102</v>
      </c>
      <c r="K521">
        <v>0.92722</v>
      </c>
      <c r="L521">
        <v>0.97371</v>
      </c>
      <c r="M521">
        <v>0.88805</v>
      </c>
      <c r="N521">
        <v>0.9769</v>
      </c>
      <c r="O521">
        <v>1.01333</v>
      </c>
      <c r="P521">
        <v>1.00361</v>
      </c>
      <c r="Q521">
        <v>1</v>
      </c>
      <c r="R521">
        <v>1</v>
      </c>
      <c r="S521">
        <v>1</v>
      </c>
      <c r="T521">
        <v>1.03261</v>
      </c>
      <c r="U521">
        <v>1</v>
      </c>
      <c r="V521">
        <v>73.753</v>
      </c>
      <c r="W521">
        <v>36.273</v>
      </c>
      <c r="X521">
        <v>52.321</v>
      </c>
      <c r="Y521">
        <v>11.353</v>
      </c>
      <c r="Z521">
        <v>31.571</v>
      </c>
      <c r="AA521">
        <v>205.271</v>
      </c>
      <c r="AB521">
        <v>1.08631</v>
      </c>
      <c r="AC521">
        <v>230</v>
      </c>
      <c r="AD521">
        <v>0</v>
      </c>
      <c r="AG521">
        <v>78</v>
      </c>
      <c r="AH521">
        <v>51</v>
      </c>
      <c r="AI521">
        <v>55</v>
      </c>
      <c r="AJ521">
        <v>17</v>
      </c>
      <c r="AK521">
        <v>29</v>
      </c>
    </row>
    <row r="522" spans="1:37">
      <c r="A522" t="s">
        <v>977</v>
      </c>
      <c r="B522" t="s">
        <v>1751</v>
      </c>
      <c r="C522">
        <v>33.1</v>
      </c>
      <c r="D522" t="s">
        <v>1474</v>
      </c>
      <c r="E522">
        <v>8</v>
      </c>
      <c r="F522">
        <v>0</v>
      </c>
      <c r="G522">
        <v>0</v>
      </c>
      <c r="I522">
        <v>1.09719</v>
      </c>
      <c r="J522">
        <v>1.01947</v>
      </c>
      <c r="K522">
        <v>0.92722</v>
      </c>
      <c r="L522">
        <v>0.97322</v>
      </c>
      <c r="M522">
        <v>0.9089</v>
      </c>
      <c r="N522">
        <v>0.97943</v>
      </c>
      <c r="O522">
        <v>1.01265</v>
      </c>
      <c r="P522">
        <v>1.00245</v>
      </c>
      <c r="Q522">
        <v>1</v>
      </c>
      <c r="R522">
        <v>1</v>
      </c>
      <c r="S522">
        <v>1</v>
      </c>
      <c r="T522">
        <v>1.03162</v>
      </c>
      <c r="U522">
        <v>1</v>
      </c>
      <c r="V522">
        <v>73.58499999999999</v>
      </c>
      <c r="W522">
        <v>36.211</v>
      </c>
      <c r="X522">
        <v>56.716</v>
      </c>
      <c r="Y522">
        <v>12.533</v>
      </c>
      <c r="Z522">
        <v>31.604</v>
      </c>
      <c r="AA522">
        <v>210.648</v>
      </c>
      <c r="AB522">
        <v>0.92049</v>
      </c>
      <c r="AC522">
        <v>190</v>
      </c>
      <c r="AD522">
        <v>1</v>
      </c>
      <c r="AG522">
        <v>66</v>
      </c>
      <c r="AH522">
        <v>42</v>
      </c>
      <c r="AI522">
        <v>35</v>
      </c>
      <c r="AJ522">
        <v>11</v>
      </c>
      <c r="AK522">
        <v>36</v>
      </c>
    </row>
    <row r="523" spans="1:37">
      <c r="A523" t="s">
        <v>978</v>
      </c>
      <c r="B523" t="s">
        <v>1751</v>
      </c>
      <c r="C523">
        <v>32.2</v>
      </c>
      <c r="D523" t="s">
        <v>1474</v>
      </c>
      <c r="E523">
        <v>9</v>
      </c>
      <c r="F523">
        <v>0</v>
      </c>
      <c r="G523">
        <v>0</v>
      </c>
      <c r="I523">
        <v>1.09738</v>
      </c>
      <c r="J523">
        <v>1.01951</v>
      </c>
      <c r="K523">
        <v>0.92722</v>
      </c>
      <c r="L523">
        <v>0.97275</v>
      </c>
      <c r="M523">
        <v>0.93971</v>
      </c>
      <c r="N523">
        <v>0.9809</v>
      </c>
      <c r="O523">
        <v>1.01086</v>
      </c>
      <c r="P523">
        <v>1.0017</v>
      </c>
      <c r="Q523">
        <v>1</v>
      </c>
      <c r="R523">
        <v>1</v>
      </c>
      <c r="S523">
        <v>1</v>
      </c>
      <c r="T523">
        <v>1.02908</v>
      </c>
      <c r="U523">
        <v>1</v>
      </c>
      <c r="V523">
        <v>72.071</v>
      </c>
      <c r="W523">
        <v>34.405</v>
      </c>
      <c r="X523">
        <v>64.48099999999999</v>
      </c>
      <c r="Y523">
        <v>14.778</v>
      </c>
      <c r="Z523">
        <v>32.904</v>
      </c>
      <c r="AA523">
        <v>218.638</v>
      </c>
      <c r="AB523">
        <v>0.97254</v>
      </c>
      <c r="AC523">
        <v>194</v>
      </c>
      <c r="AD523">
        <v>0</v>
      </c>
      <c r="AG523">
        <v>76</v>
      </c>
      <c r="AH523">
        <v>27</v>
      </c>
      <c r="AI523">
        <v>67</v>
      </c>
      <c r="AJ523">
        <v>8</v>
      </c>
      <c r="AK523">
        <v>16</v>
      </c>
    </row>
    <row r="524" spans="1:37">
      <c r="A524" t="s">
        <v>979</v>
      </c>
      <c r="B524" t="s">
        <v>1752</v>
      </c>
      <c r="C524">
        <v>33.6</v>
      </c>
      <c r="D524" t="s">
        <v>1474</v>
      </c>
      <c r="E524">
        <v>10</v>
      </c>
      <c r="F524">
        <v>0</v>
      </c>
      <c r="G524">
        <v>0</v>
      </c>
      <c r="I524">
        <v>1.09757</v>
      </c>
      <c r="J524">
        <v>1.02396</v>
      </c>
      <c r="K524">
        <v>0.92722</v>
      </c>
      <c r="L524">
        <v>0.9723000000000001</v>
      </c>
      <c r="M524">
        <v>1.11217</v>
      </c>
      <c r="N524">
        <v>0.96291</v>
      </c>
      <c r="O524">
        <v>1.00519</v>
      </c>
      <c r="P524">
        <v>1.00125</v>
      </c>
      <c r="Q524">
        <v>1</v>
      </c>
      <c r="R524">
        <v>1</v>
      </c>
      <c r="S524">
        <v>1</v>
      </c>
      <c r="T524">
        <v>1.01907</v>
      </c>
      <c r="U524">
        <v>1</v>
      </c>
      <c r="V524">
        <v>67.917</v>
      </c>
      <c r="W524">
        <v>29.108</v>
      </c>
      <c r="X524">
        <v>96.173</v>
      </c>
      <c r="Y524">
        <v>24.947</v>
      </c>
      <c r="Z524">
        <v>39.857</v>
      </c>
      <c r="AA524">
        <v>258.002</v>
      </c>
      <c r="AB524">
        <v>1.01931</v>
      </c>
      <c r="AC524">
        <v>265</v>
      </c>
      <c r="AD524">
        <v>0</v>
      </c>
      <c r="AG524">
        <v>85</v>
      </c>
      <c r="AH524">
        <v>23</v>
      </c>
      <c r="AI524">
        <v>93</v>
      </c>
      <c r="AJ524">
        <v>31</v>
      </c>
      <c r="AK524">
        <v>33</v>
      </c>
    </row>
    <row r="525" spans="1:37">
      <c r="A525" t="s">
        <v>980</v>
      </c>
      <c r="B525" t="s">
        <v>1753</v>
      </c>
      <c r="C525">
        <v>34.8</v>
      </c>
      <c r="D525" t="s">
        <v>1474</v>
      </c>
      <c r="E525">
        <v>11</v>
      </c>
      <c r="F525">
        <v>0</v>
      </c>
      <c r="G525">
        <v>0</v>
      </c>
      <c r="I525">
        <v>1.09776</v>
      </c>
      <c r="J525">
        <v>1.0365</v>
      </c>
      <c r="K525">
        <v>0.92722</v>
      </c>
      <c r="L525">
        <v>0.97188</v>
      </c>
      <c r="M525">
        <v>0.86502</v>
      </c>
      <c r="N525">
        <v>0.94685</v>
      </c>
      <c r="O525">
        <v>0.99555</v>
      </c>
      <c r="P525">
        <v>1.00101</v>
      </c>
      <c r="Q525">
        <v>1</v>
      </c>
      <c r="R525">
        <v>1</v>
      </c>
      <c r="S525">
        <v>1</v>
      </c>
      <c r="T525">
        <v>0.99256</v>
      </c>
      <c r="U525">
        <v>1</v>
      </c>
      <c r="V525">
        <v>16.432</v>
      </c>
      <c r="W525">
        <v>12.896</v>
      </c>
      <c r="X525">
        <v>88.967</v>
      </c>
      <c r="Y525">
        <v>39.444</v>
      </c>
      <c r="Z525">
        <v>44.5</v>
      </c>
      <c r="AA525">
        <v>202.238</v>
      </c>
      <c r="AB525">
        <v>0.98384</v>
      </c>
      <c r="AC525">
        <v>195</v>
      </c>
      <c r="AD525">
        <v>0</v>
      </c>
      <c r="AG525">
        <v>18</v>
      </c>
      <c r="AH525">
        <v>14</v>
      </c>
      <c r="AI525">
        <v>91</v>
      </c>
      <c r="AJ525">
        <v>36</v>
      </c>
      <c r="AK525">
        <v>36</v>
      </c>
    </row>
    <row r="526" spans="1:37">
      <c r="A526" t="s">
        <v>981</v>
      </c>
      <c r="B526" t="s">
        <v>1754</v>
      </c>
      <c r="C526">
        <v>35.3</v>
      </c>
      <c r="D526" t="s">
        <v>1474</v>
      </c>
      <c r="E526">
        <v>12</v>
      </c>
      <c r="F526">
        <v>0</v>
      </c>
      <c r="G526">
        <v>0</v>
      </c>
      <c r="I526">
        <v>1.09794</v>
      </c>
      <c r="J526">
        <v>1.03944</v>
      </c>
      <c r="K526">
        <v>0.92722</v>
      </c>
      <c r="L526">
        <v>0.9715</v>
      </c>
      <c r="M526">
        <v>0.81557</v>
      </c>
      <c r="N526">
        <v>0.95014</v>
      </c>
      <c r="O526">
        <v>1.00055</v>
      </c>
      <c r="P526">
        <v>1.00064</v>
      </c>
      <c r="Q526">
        <v>1</v>
      </c>
      <c r="R526">
        <v>1</v>
      </c>
      <c r="S526">
        <v>1</v>
      </c>
      <c r="T526">
        <v>0.99849</v>
      </c>
      <c r="U526">
        <v>1</v>
      </c>
      <c r="V526">
        <v>22.459</v>
      </c>
      <c r="W526">
        <v>20.334</v>
      </c>
      <c r="X526">
        <v>75.505</v>
      </c>
      <c r="Y526">
        <v>33.132</v>
      </c>
      <c r="Z526">
        <v>39.506</v>
      </c>
      <c r="AA526">
        <v>190.937</v>
      </c>
      <c r="AB526">
        <v>0.98886</v>
      </c>
      <c r="AC526">
        <v>201</v>
      </c>
      <c r="AD526">
        <v>0</v>
      </c>
      <c r="AG526">
        <v>20</v>
      </c>
      <c r="AH526">
        <v>18</v>
      </c>
      <c r="AI526">
        <v>77</v>
      </c>
      <c r="AJ526">
        <v>44</v>
      </c>
      <c r="AK526">
        <v>42</v>
      </c>
    </row>
    <row r="527" spans="1:37">
      <c r="A527" t="s">
        <v>440</v>
      </c>
      <c r="B527" t="s">
        <v>1751</v>
      </c>
      <c r="C527">
        <v>36.1</v>
      </c>
      <c r="D527" t="s">
        <v>1474</v>
      </c>
      <c r="E527">
        <v>13</v>
      </c>
      <c r="F527">
        <v>0</v>
      </c>
      <c r="G527">
        <v>0</v>
      </c>
      <c r="I527">
        <v>1.09813</v>
      </c>
      <c r="J527">
        <v>1.05253</v>
      </c>
      <c r="K527">
        <v>0.92722</v>
      </c>
      <c r="L527">
        <v>0.97115</v>
      </c>
      <c r="M527">
        <v>0.91518</v>
      </c>
      <c r="N527">
        <v>0.97187</v>
      </c>
      <c r="O527">
        <v>1.01285</v>
      </c>
      <c r="P527">
        <v>1.00033</v>
      </c>
      <c r="Q527">
        <v>1</v>
      </c>
      <c r="R527">
        <v>1</v>
      </c>
      <c r="S527">
        <v>1</v>
      </c>
      <c r="T527">
        <v>1.03816</v>
      </c>
      <c r="U527">
        <v>1</v>
      </c>
      <c r="V527">
        <v>79.55800000000001</v>
      </c>
      <c r="W527">
        <v>37.46</v>
      </c>
      <c r="X527">
        <v>54.039</v>
      </c>
      <c r="Y527">
        <v>12.495</v>
      </c>
      <c r="Z527">
        <v>33.052</v>
      </c>
      <c r="AA527">
        <v>216.604</v>
      </c>
      <c r="AB527">
        <v>0.98692</v>
      </c>
      <c r="AC527">
        <v>215</v>
      </c>
      <c r="AD527">
        <v>0</v>
      </c>
      <c r="AG527">
        <v>78</v>
      </c>
      <c r="AH527">
        <v>39</v>
      </c>
      <c r="AI527">
        <v>57</v>
      </c>
      <c r="AJ527">
        <v>12</v>
      </c>
      <c r="AK527">
        <v>29</v>
      </c>
    </row>
    <row r="528" spans="1:37">
      <c r="A528" t="s">
        <v>982</v>
      </c>
      <c r="B528" t="s">
        <v>1751</v>
      </c>
      <c r="C528">
        <v>36.5</v>
      </c>
      <c r="D528" t="s">
        <v>1474</v>
      </c>
      <c r="E528">
        <v>14</v>
      </c>
      <c r="F528">
        <v>0</v>
      </c>
      <c r="G528">
        <v>0</v>
      </c>
      <c r="I528">
        <v>1.09832</v>
      </c>
      <c r="J528">
        <v>1.06019</v>
      </c>
      <c r="K528">
        <v>0.92722</v>
      </c>
      <c r="L528">
        <v>0.97084</v>
      </c>
      <c r="M528">
        <v>0.88941</v>
      </c>
      <c r="N528">
        <v>0.97179</v>
      </c>
      <c r="O528">
        <v>1.01352</v>
      </c>
      <c r="P528">
        <v>1.00022</v>
      </c>
      <c r="Q528">
        <v>1</v>
      </c>
      <c r="R528">
        <v>1</v>
      </c>
      <c r="S528">
        <v>1</v>
      </c>
      <c r="T528">
        <v>1.03744</v>
      </c>
      <c r="U528">
        <v>1</v>
      </c>
      <c r="V528">
        <v>76.282</v>
      </c>
      <c r="W528">
        <v>37.759</v>
      </c>
      <c r="X528">
        <v>52.9</v>
      </c>
      <c r="Y528">
        <v>11.496</v>
      </c>
      <c r="Z528">
        <v>33.457</v>
      </c>
      <c r="AA528">
        <v>211.893</v>
      </c>
      <c r="AB528">
        <v>0.94897</v>
      </c>
      <c r="AC528">
        <v>181</v>
      </c>
      <c r="AD528">
        <v>0</v>
      </c>
      <c r="AG528">
        <v>52</v>
      </c>
      <c r="AH528">
        <v>45</v>
      </c>
      <c r="AI528">
        <v>48</v>
      </c>
      <c r="AJ528">
        <v>10</v>
      </c>
      <c r="AK528">
        <v>26</v>
      </c>
    </row>
    <row r="529" spans="1:37">
      <c r="A529" t="s">
        <v>983</v>
      </c>
      <c r="B529" t="s">
        <v>1751</v>
      </c>
      <c r="C529">
        <v>34.4</v>
      </c>
      <c r="D529" t="s">
        <v>1474</v>
      </c>
      <c r="E529">
        <v>15</v>
      </c>
      <c r="F529">
        <v>0</v>
      </c>
      <c r="G529">
        <v>0</v>
      </c>
      <c r="I529">
        <v>1.0985</v>
      </c>
      <c r="J529">
        <v>1.06695</v>
      </c>
      <c r="K529">
        <v>0.92722</v>
      </c>
      <c r="L529">
        <v>0.97058</v>
      </c>
      <c r="M529">
        <v>0.91003</v>
      </c>
      <c r="N529">
        <v>0.97256</v>
      </c>
      <c r="O529">
        <v>1.01288</v>
      </c>
      <c r="P529">
        <v>0.99764</v>
      </c>
      <c r="Q529">
        <v>1</v>
      </c>
      <c r="R529">
        <v>1</v>
      </c>
      <c r="S529">
        <v>1</v>
      </c>
      <c r="T529">
        <v>1.03651</v>
      </c>
      <c r="U529">
        <v>1</v>
      </c>
      <c r="V529">
        <v>76.639</v>
      </c>
      <c r="W529">
        <v>37.956</v>
      </c>
      <c r="X529">
        <v>57.719</v>
      </c>
      <c r="Y529">
        <v>12.765</v>
      </c>
      <c r="Z529">
        <v>33.415</v>
      </c>
      <c r="AA529">
        <v>218.494</v>
      </c>
      <c r="AB529">
        <v>1.00705</v>
      </c>
      <c r="AC529">
        <v>205</v>
      </c>
      <c r="AD529">
        <v>0</v>
      </c>
      <c r="AG529">
        <v>72</v>
      </c>
      <c r="AH529">
        <v>35</v>
      </c>
      <c r="AI529">
        <v>59</v>
      </c>
      <c r="AJ529">
        <v>18</v>
      </c>
      <c r="AK529">
        <v>21</v>
      </c>
    </row>
    <row r="530" spans="1:37">
      <c r="A530" t="s">
        <v>984</v>
      </c>
      <c r="B530" t="s">
        <v>1751</v>
      </c>
      <c r="C530">
        <v>35.5</v>
      </c>
      <c r="D530" t="s">
        <v>1474</v>
      </c>
      <c r="E530">
        <v>16</v>
      </c>
      <c r="F530">
        <v>0</v>
      </c>
      <c r="G530">
        <v>0</v>
      </c>
      <c r="I530">
        <v>1.09869</v>
      </c>
      <c r="J530">
        <v>1.05539</v>
      </c>
      <c r="K530">
        <v>0.92722</v>
      </c>
      <c r="L530">
        <v>0.97036</v>
      </c>
      <c r="M530">
        <v>0.94073</v>
      </c>
      <c r="N530">
        <v>0.9664199999999999</v>
      </c>
      <c r="O530">
        <v>1.01127</v>
      </c>
      <c r="P530">
        <v>0.99495</v>
      </c>
      <c r="Q530">
        <v>1</v>
      </c>
      <c r="R530">
        <v>1</v>
      </c>
      <c r="S530">
        <v>1</v>
      </c>
      <c r="T530">
        <v>1.03439</v>
      </c>
      <c r="U530">
        <v>1</v>
      </c>
      <c r="V530">
        <v>74.164</v>
      </c>
      <c r="W530">
        <v>35.629</v>
      </c>
      <c r="X530">
        <v>62.657</v>
      </c>
      <c r="Y530">
        <v>14.517</v>
      </c>
      <c r="Z530">
        <v>35.203</v>
      </c>
      <c r="AA530">
        <v>222.17</v>
      </c>
      <c r="AB530">
        <v>0.9353399999999999</v>
      </c>
      <c r="AC530">
        <v>196</v>
      </c>
      <c r="AD530">
        <v>0</v>
      </c>
      <c r="AG530">
        <v>73</v>
      </c>
      <c r="AH530">
        <v>24</v>
      </c>
      <c r="AI530">
        <v>56</v>
      </c>
      <c r="AJ530">
        <v>11</v>
      </c>
      <c r="AK530">
        <v>32</v>
      </c>
    </row>
    <row r="531" spans="1:37">
      <c r="A531" t="s">
        <v>985</v>
      </c>
      <c r="B531" t="s">
        <v>1752</v>
      </c>
      <c r="C531">
        <v>34.8</v>
      </c>
      <c r="D531" t="s">
        <v>1474</v>
      </c>
      <c r="E531">
        <v>17</v>
      </c>
      <c r="F531">
        <v>0</v>
      </c>
      <c r="G531">
        <v>0</v>
      </c>
      <c r="I531">
        <v>1.09888</v>
      </c>
      <c r="J531">
        <v>1.03983</v>
      </c>
      <c r="K531">
        <v>0.92722</v>
      </c>
      <c r="L531">
        <v>0.97019</v>
      </c>
      <c r="M531">
        <v>1.10941</v>
      </c>
      <c r="N531">
        <v>0.95356</v>
      </c>
      <c r="O531">
        <v>1.00543</v>
      </c>
      <c r="P531">
        <v>0.99155</v>
      </c>
      <c r="Q531">
        <v>1</v>
      </c>
      <c r="R531">
        <v>1</v>
      </c>
      <c r="S531">
        <v>1</v>
      </c>
      <c r="T531">
        <v>1.02402</v>
      </c>
      <c r="U531">
        <v>1</v>
      </c>
      <c r="V531">
        <v>68.474</v>
      </c>
      <c r="W531">
        <v>29.53</v>
      </c>
      <c r="X531">
        <v>94.649</v>
      </c>
      <c r="Y531">
        <v>24.536</v>
      </c>
      <c r="Z531">
        <v>40.622</v>
      </c>
      <c r="AA531">
        <v>257.811</v>
      </c>
      <c r="AB531">
        <v>0.97802</v>
      </c>
      <c r="AC531">
        <v>276</v>
      </c>
      <c r="AD531">
        <v>0</v>
      </c>
      <c r="AG531">
        <v>72</v>
      </c>
      <c r="AH531">
        <v>32</v>
      </c>
      <c r="AI531">
        <v>87</v>
      </c>
      <c r="AJ531">
        <v>34</v>
      </c>
      <c r="AK531">
        <v>51</v>
      </c>
    </row>
    <row r="532" spans="1:37">
      <c r="A532" t="s">
        <v>986</v>
      </c>
      <c r="B532" t="s">
        <v>1753</v>
      </c>
      <c r="C532">
        <v>34.3</v>
      </c>
      <c r="D532" t="s">
        <v>1476</v>
      </c>
      <c r="E532">
        <v>18</v>
      </c>
      <c r="F532">
        <v>0</v>
      </c>
      <c r="G532">
        <v>0</v>
      </c>
      <c r="I532">
        <v>1.09907</v>
      </c>
      <c r="J532">
        <v>1.03714</v>
      </c>
      <c r="K532">
        <v>0.92722</v>
      </c>
      <c r="L532">
        <v>0.9700800000000001</v>
      </c>
      <c r="M532">
        <v>0.96732</v>
      </c>
      <c r="N532">
        <v>0.94135</v>
      </c>
      <c r="O532">
        <v>0.92323</v>
      </c>
      <c r="P532">
        <v>0.9859599999999999</v>
      </c>
      <c r="Q532">
        <v>1</v>
      </c>
      <c r="R532">
        <v>1</v>
      </c>
      <c r="S532">
        <v>1</v>
      </c>
      <c r="T532">
        <v>0.99648</v>
      </c>
      <c r="U532">
        <v>1</v>
      </c>
      <c r="V532">
        <v>14.345</v>
      </c>
      <c r="W532">
        <v>2.341</v>
      </c>
      <c r="X532">
        <v>88.14400000000001</v>
      </c>
      <c r="Y532">
        <v>36.689</v>
      </c>
      <c r="Z532">
        <v>43.614</v>
      </c>
      <c r="AA532">
        <v>185.133</v>
      </c>
      <c r="AB532">
        <v>1.08072</v>
      </c>
      <c r="AC532">
        <v>212</v>
      </c>
      <c r="AD532">
        <v>0</v>
      </c>
      <c r="AG532">
        <v>23</v>
      </c>
      <c r="AH532">
        <v>2</v>
      </c>
      <c r="AI532">
        <v>121</v>
      </c>
      <c r="AJ532">
        <v>32</v>
      </c>
      <c r="AK532">
        <v>34</v>
      </c>
    </row>
    <row r="533" spans="1:37">
      <c r="A533" t="s">
        <v>987</v>
      </c>
      <c r="B533" t="s">
        <v>1755</v>
      </c>
      <c r="C533">
        <v>37.1</v>
      </c>
      <c r="D533" t="s">
        <v>1476</v>
      </c>
      <c r="E533">
        <v>19</v>
      </c>
      <c r="F533">
        <v>0</v>
      </c>
      <c r="G533">
        <v>0</v>
      </c>
      <c r="H533">
        <v>0</v>
      </c>
      <c r="I533">
        <v>1.09925</v>
      </c>
      <c r="J533">
        <v>1.02541</v>
      </c>
      <c r="K533">
        <v>0.92722</v>
      </c>
      <c r="L533">
        <v>0.97001</v>
      </c>
      <c r="M533">
        <v>0.83022</v>
      </c>
      <c r="N533">
        <v>0.9464399999999999</v>
      </c>
      <c r="O533">
        <v>0.88835</v>
      </c>
      <c r="P533">
        <v>0.98328</v>
      </c>
      <c r="Q533">
        <v>1</v>
      </c>
      <c r="R533">
        <v>0.77742</v>
      </c>
      <c r="S533">
        <v>1</v>
      </c>
      <c r="T533">
        <v>1.00541</v>
      </c>
      <c r="U533">
        <v>1</v>
      </c>
      <c r="V533">
        <v>17.373</v>
      </c>
      <c r="W533">
        <v>2.906</v>
      </c>
      <c r="X533">
        <v>53.774</v>
      </c>
      <c r="Y533">
        <v>17.857</v>
      </c>
      <c r="Z533">
        <v>35.23</v>
      </c>
      <c r="AA533">
        <v>127.141</v>
      </c>
      <c r="AB533">
        <v>1.01266</v>
      </c>
      <c r="AC533">
        <v>142</v>
      </c>
      <c r="AD533">
        <v>0</v>
      </c>
      <c r="AG533">
        <v>18</v>
      </c>
      <c r="AH533">
        <v>4</v>
      </c>
      <c r="AI533">
        <v>69</v>
      </c>
      <c r="AJ533">
        <v>15</v>
      </c>
      <c r="AK533">
        <v>36</v>
      </c>
    </row>
    <row r="534" spans="1:37">
      <c r="A534" t="s">
        <v>441</v>
      </c>
      <c r="B534" t="s">
        <v>1757</v>
      </c>
      <c r="C534">
        <v>34.8</v>
      </c>
      <c r="D534" t="s">
        <v>1476</v>
      </c>
      <c r="E534">
        <v>20</v>
      </c>
      <c r="F534">
        <v>0</v>
      </c>
      <c r="G534">
        <v>0</v>
      </c>
      <c r="H534">
        <v>1</v>
      </c>
      <c r="I534">
        <v>1.09944</v>
      </c>
      <c r="J534">
        <v>1.03346</v>
      </c>
      <c r="K534">
        <v>0.92722</v>
      </c>
      <c r="L534">
        <v>0.97</v>
      </c>
      <c r="M534">
        <v>1.09997</v>
      </c>
      <c r="N534">
        <v>0.93416</v>
      </c>
      <c r="O534">
        <v>0.9492699999999999</v>
      </c>
      <c r="P534">
        <v>0.97809</v>
      </c>
      <c r="Q534">
        <v>1</v>
      </c>
      <c r="R534">
        <v>0.73455</v>
      </c>
      <c r="S534">
        <v>1</v>
      </c>
      <c r="T534">
        <v>0.99105</v>
      </c>
      <c r="U534">
        <v>1</v>
      </c>
      <c r="V534">
        <v>3.883</v>
      </c>
      <c r="W534">
        <v>0.732</v>
      </c>
      <c r="X534">
        <v>58.913</v>
      </c>
      <c r="Y534">
        <v>27.269</v>
      </c>
      <c r="Z534">
        <v>30.579</v>
      </c>
      <c r="AA534">
        <v>121.375</v>
      </c>
      <c r="AB534">
        <v>1.02024</v>
      </c>
      <c r="AC534">
        <v>121</v>
      </c>
      <c r="AD534">
        <v>0</v>
      </c>
      <c r="AG534">
        <v>6</v>
      </c>
      <c r="AH534">
        <v>0</v>
      </c>
      <c r="AI534">
        <v>47</v>
      </c>
      <c r="AJ534">
        <v>27</v>
      </c>
      <c r="AK534">
        <v>41</v>
      </c>
    </row>
    <row r="535" spans="1:37">
      <c r="A535" t="s">
        <v>988</v>
      </c>
      <c r="B535" t="s">
        <v>1755</v>
      </c>
      <c r="C535">
        <v>36.4</v>
      </c>
      <c r="D535" t="s">
        <v>1476</v>
      </c>
      <c r="E535">
        <v>21</v>
      </c>
      <c r="F535">
        <v>0</v>
      </c>
      <c r="G535">
        <v>0</v>
      </c>
      <c r="H535">
        <v>2</v>
      </c>
      <c r="I535">
        <v>1.09963</v>
      </c>
      <c r="J535">
        <v>1.02489</v>
      </c>
      <c r="K535">
        <v>0.92722</v>
      </c>
      <c r="L535">
        <v>0.96996</v>
      </c>
      <c r="M535">
        <v>1.0344</v>
      </c>
      <c r="N535">
        <v>0.92277</v>
      </c>
      <c r="O535">
        <v>0.9318</v>
      </c>
      <c r="P535">
        <v>0.97488</v>
      </c>
      <c r="Q535">
        <v>1</v>
      </c>
      <c r="R535">
        <v>1.09317</v>
      </c>
      <c r="S535">
        <v>1</v>
      </c>
      <c r="T535">
        <v>0.99503</v>
      </c>
      <c r="U535">
        <v>1</v>
      </c>
      <c r="V535">
        <v>9.606</v>
      </c>
      <c r="W535">
        <v>1.812</v>
      </c>
      <c r="X535">
        <v>85.694</v>
      </c>
      <c r="Y535">
        <v>39.844</v>
      </c>
      <c r="Z535">
        <v>40.456</v>
      </c>
      <c r="AA535">
        <v>177.411</v>
      </c>
      <c r="AB535">
        <v>1.02394</v>
      </c>
      <c r="AC535">
        <v>158</v>
      </c>
      <c r="AD535">
        <v>0</v>
      </c>
      <c r="AG535">
        <v>9</v>
      </c>
      <c r="AH535">
        <v>0</v>
      </c>
      <c r="AI535">
        <v>84</v>
      </c>
      <c r="AJ535">
        <v>31</v>
      </c>
      <c r="AK535">
        <v>34</v>
      </c>
    </row>
    <row r="536" spans="1:37">
      <c r="A536" t="s">
        <v>989</v>
      </c>
      <c r="B536" t="s">
        <v>1755</v>
      </c>
      <c r="C536">
        <v>35.1</v>
      </c>
      <c r="D536" t="s">
        <v>1476</v>
      </c>
      <c r="E536">
        <v>22</v>
      </c>
      <c r="F536">
        <v>0</v>
      </c>
      <c r="G536">
        <v>0</v>
      </c>
      <c r="H536">
        <v>3</v>
      </c>
      <c r="I536">
        <v>1.09981</v>
      </c>
      <c r="J536">
        <v>1.01592</v>
      </c>
      <c r="K536">
        <v>0.92722</v>
      </c>
      <c r="L536">
        <v>0.9698600000000001</v>
      </c>
      <c r="M536">
        <v>0.99988</v>
      </c>
      <c r="N536">
        <v>0.92857</v>
      </c>
      <c r="O536">
        <v>0.93045</v>
      </c>
      <c r="P536">
        <v>0.97154</v>
      </c>
      <c r="Q536">
        <v>1</v>
      </c>
      <c r="R536">
        <v>1.06547</v>
      </c>
      <c r="S536">
        <v>1</v>
      </c>
      <c r="T536">
        <v>0.9973</v>
      </c>
      <c r="U536">
        <v>1</v>
      </c>
      <c r="V536">
        <v>11.398</v>
      </c>
      <c r="W536">
        <v>1.794</v>
      </c>
      <c r="X536">
        <v>82.129</v>
      </c>
      <c r="Y536">
        <v>36.679</v>
      </c>
      <c r="Z536">
        <v>39.327</v>
      </c>
      <c r="AA536">
        <v>171.328</v>
      </c>
      <c r="AB536">
        <v>1.00963</v>
      </c>
      <c r="AC536">
        <v>174</v>
      </c>
      <c r="AD536">
        <v>0</v>
      </c>
      <c r="AG536">
        <v>9</v>
      </c>
      <c r="AH536">
        <v>1</v>
      </c>
      <c r="AI536">
        <v>71</v>
      </c>
      <c r="AJ536">
        <v>42</v>
      </c>
      <c r="AK536">
        <v>51</v>
      </c>
    </row>
    <row r="537" spans="1:37">
      <c r="A537" t="s">
        <v>990</v>
      </c>
      <c r="B537" t="s">
        <v>1755</v>
      </c>
      <c r="C537">
        <v>36.8</v>
      </c>
      <c r="D537" t="s">
        <v>1476</v>
      </c>
      <c r="E537">
        <v>23</v>
      </c>
      <c r="F537">
        <v>0</v>
      </c>
      <c r="G537">
        <v>0</v>
      </c>
      <c r="H537">
        <v>4</v>
      </c>
      <c r="I537">
        <v>1.1</v>
      </c>
      <c r="J537">
        <v>1.02059</v>
      </c>
      <c r="K537">
        <v>0.92722</v>
      </c>
      <c r="L537">
        <v>0.96971</v>
      </c>
      <c r="M537">
        <v>0.94668</v>
      </c>
      <c r="N537">
        <v>0.92722</v>
      </c>
      <c r="O537">
        <v>0.92157</v>
      </c>
      <c r="P537">
        <v>0.9684700000000001</v>
      </c>
      <c r="Q537">
        <v>1</v>
      </c>
      <c r="R537">
        <v>0.96323</v>
      </c>
      <c r="S537">
        <v>1</v>
      </c>
      <c r="T537">
        <v>1.00067</v>
      </c>
      <c r="U537">
        <v>1</v>
      </c>
      <c r="V537">
        <v>13.323</v>
      </c>
      <c r="W537">
        <v>1.981</v>
      </c>
      <c r="X537">
        <v>70.152</v>
      </c>
      <c r="Y537">
        <v>30.391</v>
      </c>
      <c r="Z537">
        <v>38.284</v>
      </c>
      <c r="AA537">
        <v>154.131</v>
      </c>
      <c r="AB537">
        <v>0.97115</v>
      </c>
      <c r="AC537">
        <v>164</v>
      </c>
      <c r="AD537">
        <v>0</v>
      </c>
      <c r="AG537">
        <v>19</v>
      </c>
      <c r="AH537">
        <v>1</v>
      </c>
      <c r="AI537">
        <v>67</v>
      </c>
      <c r="AJ537">
        <v>42</v>
      </c>
      <c r="AK537">
        <v>35</v>
      </c>
    </row>
    <row r="538" spans="1:37">
      <c r="A538" t="s">
        <v>991</v>
      </c>
      <c r="B538" t="s">
        <v>1752</v>
      </c>
      <c r="C538">
        <v>36.7</v>
      </c>
      <c r="D538" t="s">
        <v>1476</v>
      </c>
      <c r="E538">
        <v>24</v>
      </c>
      <c r="F538">
        <v>0</v>
      </c>
      <c r="G538">
        <v>0</v>
      </c>
      <c r="H538">
        <v>5</v>
      </c>
      <c r="I538">
        <v>1.10019</v>
      </c>
      <c r="J538">
        <v>1.01792</v>
      </c>
      <c r="K538">
        <v>0.92722</v>
      </c>
      <c r="L538">
        <v>0.96952</v>
      </c>
      <c r="M538">
        <v>1.17209</v>
      </c>
      <c r="N538">
        <v>0.93165</v>
      </c>
      <c r="O538">
        <v>0.8717</v>
      </c>
      <c r="P538">
        <v>0.96943</v>
      </c>
      <c r="Q538">
        <v>1</v>
      </c>
      <c r="R538">
        <v>0.87266</v>
      </c>
      <c r="S538">
        <v>1</v>
      </c>
      <c r="T538">
        <v>1.02581</v>
      </c>
      <c r="U538">
        <v>1</v>
      </c>
      <c r="V538">
        <v>46.439</v>
      </c>
      <c r="W538">
        <v>4.697</v>
      </c>
      <c r="X538">
        <v>79.02500000000001</v>
      </c>
      <c r="Y538">
        <v>19.36</v>
      </c>
      <c r="Z538">
        <v>35.754</v>
      </c>
      <c r="AA538">
        <v>185.273</v>
      </c>
      <c r="AB538">
        <v>1.05047</v>
      </c>
      <c r="AC538">
        <v>200</v>
      </c>
      <c r="AD538">
        <v>0</v>
      </c>
      <c r="AG538">
        <v>46</v>
      </c>
      <c r="AH538">
        <v>5</v>
      </c>
      <c r="AI538">
        <v>87</v>
      </c>
      <c r="AJ538">
        <v>23</v>
      </c>
      <c r="AK538">
        <v>39</v>
      </c>
    </row>
    <row r="539" spans="1:37">
      <c r="A539" t="s">
        <v>992</v>
      </c>
      <c r="B539" t="s">
        <v>1753</v>
      </c>
      <c r="C539">
        <v>37.2</v>
      </c>
      <c r="D539" t="s">
        <v>1476</v>
      </c>
      <c r="E539">
        <v>25</v>
      </c>
      <c r="F539">
        <v>0</v>
      </c>
      <c r="G539">
        <v>0</v>
      </c>
      <c r="H539">
        <v>6</v>
      </c>
      <c r="I539">
        <v>1.10038</v>
      </c>
      <c r="J539">
        <v>1.01109</v>
      </c>
      <c r="K539">
        <v>0.92722</v>
      </c>
      <c r="L539">
        <v>0.96927</v>
      </c>
      <c r="M539">
        <v>0.98727</v>
      </c>
      <c r="N539">
        <v>0.92076</v>
      </c>
      <c r="O539">
        <v>0.92226</v>
      </c>
      <c r="P539">
        <v>0.96102</v>
      </c>
      <c r="Q539">
        <v>1</v>
      </c>
      <c r="R539">
        <v>0.89205</v>
      </c>
      <c r="S539">
        <v>1</v>
      </c>
      <c r="T539">
        <v>0.99925</v>
      </c>
      <c r="U539">
        <v>1</v>
      </c>
      <c r="V539">
        <v>10.996</v>
      </c>
      <c r="W539">
        <v>2.038</v>
      </c>
      <c r="X539">
        <v>72.379</v>
      </c>
      <c r="Y539">
        <v>30.144</v>
      </c>
      <c r="Z539">
        <v>38.693</v>
      </c>
      <c r="AA539">
        <v>154.251</v>
      </c>
      <c r="AB539">
        <v>1.09309</v>
      </c>
      <c r="AC539">
        <v>176</v>
      </c>
      <c r="AD539">
        <v>0</v>
      </c>
      <c r="AG539">
        <v>15</v>
      </c>
      <c r="AH539">
        <v>3</v>
      </c>
      <c r="AI539">
        <v>79</v>
      </c>
      <c r="AJ539">
        <v>29</v>
      </c>
      <c r="AK539">
        <v>50</v>
      </c>
    </row>
    <row r="540" spans="1:37">
      <c r="A540" t="s">
        <v>993</v>
      </c>
      <c r="B540" t="s">
        <v>1754</v>
      </c>
      <c r="C540">
        <v>37</v>
      </c>
      <c r="D540" t="s">
        <v>1476</v>
      </c>
      <c r="E540">
        <v>26</v>
      </c>
      <c r="F540">
        <v>0</v>
      </c>
      <c r="G540">
        <v>0</v>
      </c>
      <c r="H540">
        <v>7</v>
      </c>
      <c r="I540">
        <v>1.10056</v>
      </c>
      <c r="J540">
        <v>1.00677</v>
      </c>
      <c r="K540">
        <v>0.92722</v>
      </c>
      <c r="L540">
        <v>0.96898</v>
      </c>
      <c r="M540">
        <v>0.891</v>
      </c>
      <c r="N540">
        <v>0.9235</v>
      </c>
      <c r="O540">
        <v>0.8871</v>
      </c>
      <c r="P540">
        <v>0.9588100000000001</v>
      </c>
      <c r="Q540">
        <v>1</v>
      </c>
      <c r="R540">
        <v>0.88803</v>
      </c>
      <c r="S540">
        <v>1</v>
      </c>
      <c r="T540">
        <v>1.00527</v>
      </c>
      <c r="U540">
        <v>1</v>
      </c>
      <c r="V540">
        <v>14.88</v>
      </c>
      <c r="W540">
        <v>3.185</v>
      </c>
      <c r="X540">
        <v>61.108</v>
      </c>
      <c r="Y540">
        <v>25.104</v>
      </c>
      <c r="Z540">
        <v>33.695</v>
      </c>
      <c r="AA540">
        <v>137.972</v>
      </c>
      <c r="AB540">
        <v>0.96347</v>
      </c>
      <c r="AC540">
        <v>137</v>
      </c>
      <c r="AD540">
        <v>0</v>
      </c>
      <c r="AG540">
        <v>19</v>
      </c>
      <c r="AH540">
        <v>3</v>
      </c>
      <c r="AI540">
        <v>73</v>
      </c>
      <c r="AJ540">
        <v>17</v>
      </c>
      <c r="AK540">
        <v>25</v>
      </c>
    </row>
    <row r="541" spans="1:37">
      <c r="A541" t="s">
        <v>442</v>
      </c>
      <c r="B541" t="s">
        <v>1751</v>
      </c>
      <c r="C541">
        <v>36.8</v>
      </c>
      <c r="D541" t="s">
        <v>1476</v>
      </c>
      <c r="E541">
        <v>27</v>
      </c>
      <c r="F541">
        <v>0</v>
      </c>
      <c r="G541">
        <v>0</v>
      </c>
      <c r="I541">
        <v>1.10075</v>
      </c>
      <c r="J541">
        <v>1.00292</v>
      </c>
      <c r="K541">
        <v>0.92722</v>
      </c>
      <c r="L541">
        <v>0.96865</v>
      </c>
      <c r="M541">
        <v>0.89994</v>
      </c>
      <c r="N541">
        <v>0.94804</v>
      </c>
      <c r="O541">
        <v>0.81798</v>
      </c>
      <c r="P541">
        <v>0.96839</v>
      </c>
      <c r="Q541">
        <v>1</v>
      </c>
      <c r="R541">
        <v>1</v>
      </c>
      <c r="S541">
        <v>1</v>
      </c>
      <c r="T541">
        <v>1.05256</v>
      </c>
      <c r="U541">
        <v>1</v>
      </c>
      <c r="V541">
        <v>64.69</v>
      </c>
      <c r="W541">
        <v>6.414</v>
      </c>
      <c r="X541">
        <v>48.183</v>
      </c>
      <c r="Y541">
        <v>10.386</v>
      </c>
      <c r="Z541">
        <v>30.444</v>
      </c>
      <c r="AA541">
        <v>160.117</v>
      </c>
      <c r="AB541">
        <v>1.09092</v>
      </c>
      <c r="AC541">
        <v>183</v>
      </c>
      <c r="AD541">
        <v>0</v>
      </c>
      <c r="AG541">
        <v>72</v>
      </c>
      <c r="AH541">
        <v>7</v>
      </c>
      <c r="AI541">
        <v>56</v>
      </c>
      <c r="AJ541">
        <v>11</v>
      </c>
      <c r="AK541">
        <v>37</v>
      </c>
    </row>
    <row r="542" spans="1:37">
      <c r="A542" t="s">
        <v>994</v>
      </c>
      <c r="B542" t="s">
        <v>1751</v>
      </c>
      <c r="C542">
        <v>34.5</v>
      </c>
      <c r="D542" t="s">
        <v>1476</v>
      </c>
      <c r="E542">
        <v>28</v>
      </c>
      <c r="F542">
        <v>0</v>
      </c>
      <c r="G542">
        <v>0</v>
      </c>
      <c r="I542">
        <v>1.10094</v>
      </c>
      <c r="J542">
        <v>0.99351</v>
      </c>
      <c r="K542">
        <v>0.92722</v>
      </c>
      <c r="L542">
        <v>0.96828</v>
      </c>
      <c r="M542">
        <v>0.86996</v>
      </c>
      <c r="N542">
        <v>0.94979</v>
      </c>
      <c r="O542">
        <v>0.81545</v>
      </c>
      <c r="P542">
        <v>0.96816</v>
      </c>
      <c r="Q542">
        <v>1</v>
      </c>
      <c r="R542">
        <v>1</v>
      </c>
      <c r="S542">
        <v>1</v>
      </c>
      <c r="T542">
        <v>1.05156</v>
      </c>
      <c r="U542">
        <v>1</v>
      </c>
      <c r="V542">
        <v>60.865</v>
      </c>
      <c r="W542">
        <v>6.357</v>
      </c>
      <c r="X542">
        <v>47.625</v>
      </c>
      <c r="Y542">
        <v>9.548</v>
      </c>
      <c r="Z542">
        <v>29.316</v>
      </c>
      <c r="AA542">
        <v>153.711</v>
      </c>
      <c r="AB542">
        <v>0.99333</v>
      </c>
      <c r="AC542">
        <v>165</v>
      </c>
      <c r="AD542">
        <v>0</v>
      </c>
      <c r="AG542">
        <v>75</v>
      </c>
      <c r="AH542">
        <v>6</v>
      </c>
      <c r="AI542">
        <v>35</v>
      </c>
      <c r="AJ542">
        <v>10</v>
      </c>
      <c r="AK542">
        <v>39</v>
      </c>
    </row>
    <row r="543" spans="1:37">
      <c r="A543" t="s">
        <v>995</v>
      </c>
      <c r="B543" t="s">
        <v>1751</v>
      </c>
      <c r="C543">
        <v>34.6</v>
      </c>
      <c r="D543" t="s">
        <v>1476</v>
      </c>
      <c r="E543">
        <v>29</v>
      </c>
      <c r="F543">
        <v>0</v>
      </c>
      <c r="G543">
        <v>0</v>
      </c>
      <c r="I543">
        <v>1.10112</v>
      </c>
      <c r="J543">
        <v>0.99347</v>
      </c>
      <c r="K543">
        <v>0.92722</v>
      </c>
      <c r="L543">
        <v>0.96787</v>
      </c>
      <c r="M543">
        <v>0.89555</v>
      </c>
      <c r="N543">
        <v>0.9452199999999999</v>
      </c>
      <c r="O543">
        <v>0.81902</v>
      </c>
      <c r="P543">
        <v>0.96778</v>
      </c>
      <c r="Q543">
        <v>1</v>
      </c>
      <c r="R543">
        <v>1</v>
      </c>
      <c r="S543">
        <v>1</v>
      </c>
      <c r="T543">
        <v>1.05012</v>
      </c>
      <c r="U543">
        <v>1</v>
      </c>
      <c r="V543">
        <v>60.683</v>
      </c>
      <c r="W543">
        <v>6.359</v>
      </c>
      <c r="X543">
        <v>50.374</v>
      </c>
      <c r="Y543">
        <v>10.353</v>
      </c>
      <c r="Z543">
        <v>30.004</v>
      </c>
      <c r="AA543">
        <v>157.773</v>
      </c>
      <c r="AB543">
        <v>0.94487</v>
      </c>
      <c r="AC543">
        <v>161</v>
      </c>
      <c r="AD543">
        <v>0</v>
      </c>
      <c r="AG543">
        <v>63</v>
      </c>
      <c r="AH543">
        <v>11</v>
      </c>
      <c r="AI543">
        <v>45</v>
      </c>
      <c r="AJ543">
        <v>8</v>
      </c>
      <c r="AK543">
        <v>34</v>
      </c>
    </row>
    <row r="544" spans="1:37">
      <c r="A544" t="s">
        <v>996</v>
      </c>
      <c r="B544" t="s">
        <v>1751</v>
      </c>
      <c r="C544">
        <v>37.6</v>
      </c>
      <c r="D544" t="s">
        <v>1476</v>
      </c>
      <c r="E544">
        <v>30</v>
      </c>
      <c r="F544">
        <v>0</v>
      </c>
      <c r="G544">
        <v>0</v>
      </c>
      <c r="I544">
        <v>1.10131</v>
      </c>
      <c r="J544">
        <v>0.99691</v>
      </c>
      <c r="K544">
        <v>0.92722</v>
      </c>
      <c r="L544">
        <v>0.96743</v>
      </c>
      <c r="M544">
        <v>0.94019</v>
      </c>
      <c r="N544">
        <v>0.93527</v>
      </c>
      <c r="O544">
        <v>0.83044</v>
      </c>
      <c r="P544">
        <v>0.96695</v>
      </c>
      <c r="Q544">
        <v>1</v>
      </c>
      <c r="R544">
        <v>1</v>
      </c>
      <c r="S544">
        <v>1</v>
      </c>
      <c r="T544">
        <v>1.04655</v>
      </c>
      <c r="U544">
        <v>1</v>
      </c>
      <c r="V544">
        <v>59.485</v>
      </c>
      <c r="W544">
        <v>6.065</v>
      </c>
      <c r="X544">
        <v>54.67</v>
      </c>
      <c r="Y544">
        <v>11.818</v>
      </c>
      <c r="Z544">
        <v>32.933</v>
      </c>
      <c r="AA544">
        <v>164.97</v>
      </c>
      <c r="AB544">
        <v>0.97368</v>
      </c>
      <c r="AC544">
        <v>151</v>
      </c>
      <c r="AD544">
        <v>0</v>
      </c>
      <c r="AG544">
        <v>52</v>
      </c>
      <c r="AH544">
        <v>2</v>
      </c>
      <c r="AI544">
        <v>54</v>
      </c>
      <c r="AJ544">
        <v>8</v>
      </c>
      <c r="AK544">
        <v>35</v>
      </c>
    </row>
    <row r="545" spans="1:37">
      <c r="A545" t="s">
        <v>997</v>
      </c>
      <c r="B545" t="s">
        <v>1752</v>
      </c>
      <c r="C545">
        <v>36.4</v>
      </c>
      <c r="D545" t="s">
        <v>1476</v>
      </c>
      <c r="E545">
        <v>0</v>
      </c>
      <c r="F545">
        <v>0</v>
      </c>
      <c r="G545">
        <v>0</v>
      </c>
      <c r="I545">
        <v>1.1015</v>
      </c>
      <c r="J545">
        <v>1.00501</v>
      </c>
      <c r="K545">
        <v>0.92722</v>
      </c>
      <c r="L545">
        <v>0.96697</v>
      </c>
      <c r="M545">
        <v>1.17019</v>
      </c>
      <c r="N545">
        <v>0.9155799999999999</v>
      </c>
      <c r="O545">
        <v>0.87499</v>
      </c>
      <c r="P545">
        <v>1.07204</v>
      </c>
      <c r="Q545">
        <v>1</v>
      </c>
      <c r="R545">
        <v>1</v>
      </c>
      <c r="S545">
        <v>1</v>
      </c>
      <c r="T545">
        <v>1.03009</v>
      </c>
      <c r="U545">
        <v>1</v>
      </c>
      <c r="V545">
        <v>58.407</v>
      </c>
      <c r="W545">
        <v>5.506</v>
      </c>
      <c r="X545">
        <v>96.536</v>
      </c>
      <c r="Y545">
        <v>23.316</v>
      </c>
      <c r="Z545">
        <v>44.274</v>
      </c>
      <c r="AA545">
        <v>228.039</v>
      </c>
      <c r="AB545">
        <v>1.06631</v>
      </c>
      <c r="AC545">
        <v>250</v>
      </c>
      <c r="AD545">
        <v>0</v>
      </c>
      <c r="AG545">
        <v>76</v>
      </c>
      <c r="AH545">
        <v>4</v>
      </c>
      <c r="AI545">
        <v>94</v>
      </c>
      <c r="AJ545">
        <v>23</v>
      </c>
      <c r="AK545">
        <v>53</v>
      </c>
    </row>
    <row r="546" spans="1:37">
      <c r="A546" t="s">
        <v>998</v>
      </c>
      <c r="B546" t="s">
        <v>1753</v>
      </c>
      <c r="C546">
        <v>37.4</v>
      </c>
      <c r="D546" t="s">
        <v>1476</v>
      </c>
      <c r="E546">
        <v>1</v>
      </c>
      <c r="F546">
        <v>0</v>
      </c>
      <c r="G546">
        <v>0</v>
      </c>
      <c r="I546">
        <v>1.10169</v>
      </c>
      <c r="J546">
        <v>1.01948</v>
      </c>
      <c r="K546">
        <v>0.92722</v>
      </c>
      <c r="L546">
        <v>0.96648</v>
      </c>
      <c r="M546">
        <v>0.97568</v>
      </c>
      <c r="N546">
        <v>0.90247</v>
      </c>
      <c r="O546">
        <v>0.92367</v>
      </c>
      <c r="P546">
        <v>1.05667</v>
      </c>
      <c r="Q546">
        <v>1</v>
      </c>
      <c r="R546">
        <v>1</v>
      </c>
      <c r="S546">
        <v>1</v>
      </c>
      <c r="T546">
        <v>1.00297</v>
      </c>
      <c r="U546">
        <v>1</v>
      </c>
      <c r="V546">
        <v>13.994</v>
      </c>
      <c r="W546">
        <v>2.41</v>
      </c>
      <c r="X546">
        <v>87.66500000000001</v>
      </c>
      <c r="Y546">
        <v>36.015</v>
      </c>
      <c r="Z546">
        <v>48.064</v>
      </c>
      <c r="AA546">
        <v>188.148</v>
      </c>
      <c r="AB546">
        <v>0.94772</v>
      </c>
      <c r="AC546">
        <v>174</v>
      </c>
      <c r="AD546">
        <v>0</v>
      </c>
      <c r="AG546">
        <v>12</v>
      </c>
      <c r="AH546">
        <v>1</v>
      </c>
      <c r="AI546">
        <v>79</v>
      </c>
      <c r="AJ546">
        <v>39</v>
      </c>
      <c r="AK546">
        <v>43</v>
      </c>
    </row>
    <row r="547" spans="1:37">
      <c r="A547" t="s">
        <v>999</v>
      </c>
      <c r="B547" t="s">
        <v>1754</v>
      </c>
      <c r="C547">
        <v>37.6</v>
      </c>
      <c r="D547" t="s">
        <v>1476</v>
      </c>
      <c r="E547">
        <v>2</v>
      </c>
      <c r="F547">
        <v>0</v>
      </c>
      <c r="G547">
        <v>0</v>
      </c>
      <c r="I547">
        <v>1.10187</v>
      </c>
      <c r="J547">
        <v>1.02124</v>
      </c>
      <c r="K547">
        <v>0.92722</v>
      </c>
      <c r="L547">
        <v>0.9659799999999999</v>
      </c>
      <c r="M547">
        <v>0.87967</v>
      </c>
      <c r="N547">
        <v>0.9041400000000001</v>
      </c>
      <c r="O547">
        <v>0.88874</v>
      </c>
      <c r="P547">
        <v>1.03669</v>
      </c>
      <c r="Q547">
        <v>1</v>
      </c>
      <c r="R547">
        <v>1</v>
      </c>
      <c r="S547">
        <v>1</v>
      </c>
      <c r="T547">
        <v>1.00927</v>
      </c>
      <c r="U547">
        <v>1</v>
      </c>
      <c r="V547">
        <v>18.931</v>
      </c>
      <c r="W547">
        <v>3.758</v>
      </c>
      <c r="X547">
        <v>73.00700000000001</v>
      </c>
      <c r="Y547">
        <v>29.591</v>
      </c>
      <c r="Z547">
        <v>41.671</v>
      </c>
      <c r="AA547">
        <v>166.957</v>
      </c>
      <c r="AB547">
        <v>1.01619</v>
      </c>
      <c r="AC547">
        <v>178</v>
      </c>
      <c r="AD547">
        <v>0</v>
      </c>
      <c r="AG547">
        <v>18</v>
      </c>
      <c r="AH547">
        <v>5</v>
      </c>
      <c r="AI547">
        <v>79</v>
      </c>
      <c r="AJ547">
        <v>38</v>
      </c>
      <c r="AK547">
        <v>38</v>
      </c>
    </row>
    <row r="548" spans="1:37">
      <c r="A548" t="s">
        <v>443</v>
      </c>
      <c r="B548" t="s">
        <v>1751</v>
      </c>
      <c r="C548">
        <v>39.1</v>
      </c>
      <c r="D548" t="s">
        <v>1476</v>
      </c>
      <c r="E548">
        <v>3</v>
      </c>
      <c r="F548">
        <v>0</v>
      </c>
      <c r="G548">
        <v>0</v>
      </c>
      <c r="I548">
        <v>1.10206</v>
      </c>
      <c r="J548">
        <v>1.00152</v>
      </c>
      <c r="K548">
        <v>0.92722</v>
      </c>
      <c r="L548">
        <v>0.9654700000000001</v>
      </c>
      <c r="M548">
        <v>0.89841</v>
      </c>
      <c r="N548">
        <v>0.9291199999999999</v>
      </c>
      <c r="O548">
        <v>0.81857</v>
      </c>
      <c r="P548">
        <v>1.01907</v>
      </c>
      <c r="Q548">
        <v>1</v>
      </c>
      <c r="R548">
        <v>1</v>
      </c>
      <c r="S548">
        <v>1</v>
      </c>
      <c r="T548">
        <v>1.05317</v>
      </c>
      <c r="U548">
        <v>1</v>
      </c>
      <c r="V548">
        <v>64.45999999999999</v>
      </c>
      <c r="W548">
        <v>6.658</v>
      </c>
      <c r="X548">
        <v>49.809</v>
      </c>
      <c r="Y548">
        <v>10.616</v>
      </c>
      <c r="Z548">
        <v>33.6</v>
      </c>
      <c r="AA548">
        <v>165.143</v>
      </c>
      <c r="AB548">
        <v>0.97092</v>
      </c>
      <c r="AC548">
        <v>153</v>
      </c>
      <c r="AD548">
        <v>0</v>
      </c>
      <c r="AG548">
        <v>50</v>
      </c>
      <c r="AH548">
        <v>2</v>
      </c>
      <c r="AI548">
        <v>54</v>
      </c>
      <c r="AJ548">
        <v>13</v>
      </c>
      <c r="AK548">
        <v>34</v>
      </c>
    </row>
    <row r="549" spans="1:37">
      <c r="A549" t="s">
        <v>1000</v>
      </c>
      <c r="B549" t="s">
        <v>1751</v>
      </c>
      <c r="C549">
        <v>38.7</v>
      </c>
      <c r="D549" t="s">
        <v>1476</v>
      </c>
      <c r="E549">
        <v>4</v>
      </c>
      <c r="F549">
        <v>0</v>
      </c>
      <c r="G549">
        <v>0</v>
      </c>
      <c r="I549">
        <v>1.10225</v>
      </c>
      <c r="J549">
        <v>1.00286</v>
      </c>
      <c r="K549">
        <v>1.01588</v>
      </c>
      <c r="L549">
        <v>0.96496</v>
      </c>
      <c r="M549">
        <v>0.87078</v>
      </c>
      <c r="N549">
        <v>0.92789</v>
      </c>
      <c r="O549">
        <v>0.8083</v>
      </c>
      <c r="P549">
        <v>1.01295</v>
      </c>
      <c r="Q549">
        <v>1</v>
      </c>
      <c r="R549">
        <v>1</v>
      </c>
      <c r="S549">
        <v>1.05655</v>
      </c>
      <c r="T549">
        <v>1.05095</v>
      </c>
      <c r="U549">
        <v>1</v>
      </c>
      <c r="V549">
        <v>68.986</v>
      </c>
      <c r="W549">
        <v>8.231999999999999</v>
      </c>
      <c r="X549">
        <v>56.043</v>
      </c>
      <c r="Y549">
        <v>10.806</v>
      </c>
      <c r="Z549">
        <v>39.497</v>
      </c>
      <c r="AA549">
        <v>183.563</v>
      </c>
      <c r="AB549">
        <v>0.97955</v>
      </c>
      <c r="AC549">
        <v>207</v>
      </c>
      <c r="AD549">
        <v>0</v>
      </c>
      <c r="AG549">
        <v>81</v>
      </c>
      <c r="AH549">
        <v>11</v>
      </c>
      <c r="AI549">
        <v>62</v>
      </c>
      <c r="AJ549">
        <v>13</v>
      </c>
      <c r="AK549">
        <v>40</v>
      </c>
    </row>
    <row r="550" spans="1:37">
      <c r="A550" t="s">
        <v>1001</v>
      </c>
      <c r="B550" t="s">
        <v>1751</v>
      </c>
      <c r="C550">
        <v>37.8</v>
      </c>
      <c r="D550" t="s">
        <v>1476</v>
      </c>
      <c r="E550">
        <v>5</v>
      </c>
      <c r="F550">
        <v>0</v>
      </c>
      <c r="G550">
        <v>0</v>
      </c>
      <c r="I550">
        <v>1.10243</v>
      </c>
      <c r="J550">
        <v>1.004</v>
      </c>
      <c r="K550">
        <v>1.01588</v>
      </c>
      <c r="L550">
        <v>0.96444</v>
      </c>
      <c r="M550">
        <v>0.8963100000000001</v>
      </c>
      <c r="N550">
        <v>0.9215</v>
      </c>
      <c r="O550">
        <v>0.81219</v>
      </c>
      <c r="P550">
        <v>1.00877</v>
      </c>
      <c r="Q550">
        <v>1</v>
      </c>
      <c r="R550">
        <v>1</v>
      </c>
      <c r="S550">
        <v>1.05591</v>
      </c>
      <c r="T550">
        <v>1.04983</v>
      </c>
      <c r="U550">
        <v>1</v>
      </c>
      <c r="V550">
        <v>68.67400000000001</v>
      </c>
      <c r="W550">
        <v>8.169</v>
      </c>
      <c r="X550">
        <v>59.21</v>
      </c>
      <c r="Y550">
        <v>11.673</v>
      </c>
      <c r="Z550">
        <v>39.688</v>
      </c>
      <c r="AA550">
        <v>187.415</v>
      </c>
      <c r="AB550">
        <v>1.04814</v>
      </c>
      <c r="AC550">
        <v>212</v>
      </c>
      <c r="AD550">
        <v>0</v>
      </c>
      <c r="AG550">
        <v>90</v>
      </c>
      <c r="AH550">
        <v>15</v>
      </c>
      <c r="AI550">
        <v>57</v>
      </c>
      <c r="AJ550">
        <v>12</v>
      </c>
      <c r="AK550">
        <v>38</v>
      </c>
    </row>
    <row r="551" spans="1:37">
      <c r="A551" t="s">
        <v>1002</v>
      </c>
      <c r="B551" t="s">
        <v>1751</v>
      </c>
      <c r="C551">
        <v>37.5</v>
      </c>
      <c r="D551" t="s">
        <v>1476</v>
      </c>
      <c r="E551">
        <v>6</v>
      </c>
      <c r="F551">
        <v>0</v>
      </c>
      <c r="G551">
        <v>0</v>
      </c>
      <c r="I551">
        <v>1.10262</v>
      </c>
      <c r="J551">
        <v>1.00146</v>
      </c>
      <c r="K551">
        <v>1.01588</v>
      </c>
      <c r="L551">
        <v>0.96393</v>
      </c>
      <c r="M551">
        <v>0.94081</v>
      </c>
      <c r="N551">
        <v>0.9146</v>
      </c>
      <c r="O551">
        <v>0.82339</v>
      </c>
      <c r="P551">
        <v>1.00604</v>
      </c>
      <c r="Q551">
        <v>1</v>
      </c>
      <c r="R551">
        <v>1</v>
      </c>
      <c r="S551">
        <v>1.05304</v>
      </c>
      <c r="T551">
        <v>1.04614</v>
      </c>
      <c r="U551">
        <v>1</v>
      </c>
      <c r="V551">
        <v>66.363</v>
      </c>
      <c r="W551">
        <v>7.784</v>
      </c>
      <c r="X551">
        <v>64.874</v>
      </c>
      <c r="Y551">
        <v>13.418</v>
      </c>
      <c r="Z551">
        <v>41.862</v>
      </c>
      <c r="AA551">
        <v>194.301</v>
      </c>
      <c r="AB551">
        <v>1.05212</v>
      </c>
      <c r="AC551">
        <v>202</v>
      </c>
      <c r="AD551">
        <v>0</v>
      </c>
      <c r="AG551">
        <v>61</v>
      </c>
      <c r="AH551">
        <v>8</v>
      </c>
      <c r="AI551">
        <v>63</v>
      </c>
      <c r="AJ551">
        <v>18</v>
      </c>
      <c r="AK551">
        <v>52</v>
      </c>
    </row>
    <row r="552" spans="1:37">
      <c r="A552" t="s">
        <v>1003</v>
      </c>
      <c r="B552" t="s">
        <v>1752</v>
      </c>
      <c r="C552">
        <v>39.5</v>
      </c>
      <c r="D552" t="s">
        <v>1476</v>
      </c>
      <c r="E552">
        <v>7</v>
      </c>
      <c r="F552">
        <v>0</v>
      </c>
      <c r="G552">
        <v>0</v>
      </c>
      <c r="I552">
        <v>1.10281</v>
      </c>
      <c r="J552">
        <v>1.00417</v>
      </c>
      <c r="K552">
        <v>1.01588</v>
      </c>
      <c r="L552">
        <v>0.96344</v>
      </c>
      <c r="M552">
        <v>1.16203</v>
      </c>
      <c r="N552">
        <v>0.8934</v>
      </c>
      <c r="O552">
        <v>0.86794</v>
      </c>
      <c r="P552">
        <v>1.00439</v>
      </c>
      <c r="Q552">
        <v>1</v>
      </c>
      <c r="R552">
        <v>1</v>
      </c>
      <c r="S552">
        <v>1.04534</v>
      </c>
      <c r="T552">
        <v>1.03405</v>
      </c>
      <c r="U552">
        <v>1</v>
      </c>
      <c r="V552">
        <v>62.624</v>
      </c>
      <c r="W552">
        <v>6.288</v>
      </c>
      <c r="X552">
        <v>96.31</v>
      </c>
      <c r="Y552">
        <v>22.641</v>
      </c>
      <c r="Z552">
        <v>50.088</v>
      </c>
      <c r="AA552">
        <v>237.95</v>
      </c>
      <c r="AB552">
        <v>1.03477</v>
      </c>
      <c r="AC552">
        <v>245</v>
      </c>
      <c r="AD552">
        <v>0</v>
      </c>
      <c r="AG552">
        <v>58</v>
      </c>
      <c r="AH552">
        <v>9</v>
      </c>
      <c r="AI552">
        <v>99</v>
      </c>
      <c r="AJ552">
        <v>21</v>
      </c>
      <c r="AK552">
        <v>58</v>
      </c>
    </row>
    <row r="553" spans="1:37">
      <c r="A553" t="s">
        <v>1004</v>
      </c>
      <c r="B553" t="s">
        <v>1753</v>
      </c>
      <c r="C553">
        <v>40.1</v>
      </c>
      <c r="D553" t="s">
        <v>1476</v>
      </c>
      <c r="E553">
        <v>8</v>
      </c>
      <c r="F553">
        <v>0</v>
      </c>
      <c r="G553">
        <v>0</v>
      </c>
      <c r="I553">
        <v>1.103</v>
      </c>
      <c r="J553">
        <v>0.99396</v>
      </c>
      <c r="K553">
        <v>1.01588</v>
      </c>
      <c r="L553">
        <v>0.96296</v>
      </c>
      <c r="M553">
        <v>0.96388</v>
      </c>
      <c r="N553">
        <v>0.87907</v>
      </c>
      <c r="O553">
        <v>0.92175</v>
      </c>
      <c r="P553">
        <v>1.00345</v>
      </c>
      <c r="Q553">
        <v>1</v>
      </c>
      <c r="R553">
        <v>1</v>
      </c>
      <c r="S553">
        <v>1</v>
      </c>
      <c r="T553">
        <v>1.00606</v>
      </c>
      <c r="U553">
        <v>1</v>
      </c>
      <c r="V553">
        <v>14.261</v>
      </c>
      <c r="W553">
        <v>2.508</v>
      </c>
      <c r="X553">
        <v>84.762</v>
      </c>
      <c r="Y553">
        <v>34.301</v>
      </c>
      <c r="Z553">
        <v>50.139</v>
      </c>
      <c r="AA553">
        <v>185.97</v>
      </c>
      <c r="AB553">
        <v>0.99802</v>
      </c>
      <c r="AC553">
        <v>195</v>
      </c>
      <c r="AD553">
        <v>0</v>
      </c>
      <c r="AG553">
        <v>12</v>
      </c>
      <c r="AH553">
        <v>3</v>
      </c>
      <c r="AI553">
        <v>79</v>
      </c>
      <c r="AJ553">
        <v>34</v>
      </c>
      <c r="AK553">
        <v>67</v>
      </c>
    </row>
    <row r="554" spans="1:37">
      <c r="A554" t="s">
        <v>1005</v>
      </c>
      <c r="B554" t="s">
        <v>1754</v>
      </c>
      <c r="C554">
        <v>38.9</v>
      </c>
      <c r="D554" t="s">
        <v>1476</v>
      </c>
      <c r="E554">
        <v>9</v>
      </c>
      <c r="F554">
        <v>0</v>
      </c>
      <c r="G554">
        <v>0</v>
      </c>
      <c r="I554">
        <v>1.10318</v>
      </c>
      <c r="J554">
        <v>0.99912</v>
      </c>
      <c r="K554">
        <v>1.01588</v>
      </c>
      <c r="L554">
        <v>0.9625</v>
      </c>
      <c r="M554">
        <v>0.87342</v>
      </c>
      <c r="N554">
        <v>0.87939</v>
      </c>
      <c r="O554">
        <v>0.8858200000000001</v>
      </c>
      <c r="P554">
        <v>1.00223</v>
      </c>
      <c r="Q554">
        <v>1</v>
      </c>
      <c r="R554">
        <v>1</v>
      </c>
      <c r="S554">
        <v>1</v>
      </c>
      <c r="T554">
        <v>1.0123</v>
      </c>
      <c r="U554">
        <v>1</v>
      </c>
      <c r="V554">
        <v>19.45</v>
      </c>
      <c r="W554">
        <v>3.96</v>
      </c>
      <c r="X554">
        <v>72.401</v>
      </c>
      <c r="Y554">
        <v>28.839</v>
      </c>
      <c r="Z554">
        <v>43.672</v>
      </c>
      <c r="AA554">
        <v>168.323</v>
      </c>
      <c r="AB554">
        <v>1.21151</v>
      </c>
      <c r="AC554">
        <v>225</v>
      </c>
      <c r="AD554">
        <v>0</v>
      </c>
      <c r="AG554">
        <v>18</v>
      </c>
      <c r="AH554">
        <v>8</v>
      </c>
      <c r="AI554">
        <v>105</v>
      </c>
      <c r="AJ554">
        <v>35</v>
      </c>
      <c r="AK554">
        <v>59</v>
      </c>
    </row>
    <row r="555" spans="1:37">
      <c r="A555" t="s">
        <v>444</v>
      </c>
      <c r="B555" t="s">
        <v>1751</v>
      </c>
      <c r="C555">
        <v>38</v>
      </c>
      <c r="D555" t="s">
        <v>1476</v>
      </c>
      <c r="E555">
        <v>10</v>
      </c>
      <c r="F555">
        <v>0</v>
      </c>
      <c r="G555">
        <v>0</v>
      </c>
      <c r="I555">
        <v>1.10337</v>
      </c>
      <c r="J555">
        <v>0.99172</v>
      </c>
      <c r="K555">
        <v>1.01588</v>
      </c>
      <c r="L555">
        <v>0.96206</v>
      </c>
      <c r="M555">
        <v>0.89982</v>
      </c>
      <c r="N555">
        <v>0.9054</v>
      </c>
      <c r="O555">
        <v>0.80737</v>
      </c>
      <c r="P555">
        <v>1.00117</v>
      </c>
      <c r="Q555">
        <v>1</v>
      </c>
      <c r="R555">
        <v>1</v>
      </c>
      <c r="S555">
        <v>1.05475</v>
      </c>
      <c r="T555">
        <v>1.05475</v>
      </c>
      <c r="U555">
        <v>1</v>
      </c>
      <c r="V555">
        <v>69.48399999999999</v>
      </c>
      <c r="W555">
        <v>8.1</v>
      </c>
      <c r="X555">
        <v>54.064</v>
      </c>
      <c r="Y555">
        <v>10.995</v>
      </c>
      <c r="Z555">
        <v>37.997</v>
      </c>
      <c r="AA555">
        <v>180.64</v>
      </c>
      <c r="AB555">
        <v>1.02333</v>
      </c>
      <c r="AC555">
        <v>198</v>
      </c>
      <c r="AD555">
        <v>0</v>
      </c>
      <c r="AG555">
        <v>85</v>
      </c>
      <c r="AH555">
        <v>7</v>
      </c>
      <c r="AI555">
        <v>62</v>
      </c>
      <c r="AJ555">
        <v>9</v>
      </c>
      <c r="AK555">
        <v>35</v>
      </c>
    </row>
    <row r="556" spans="1:37">
      <c r="A556" t="s">
        <v>1006</v>
      </c>
      <c r="B556" t="s">
        <v>1751</v>
      </c>
      <c r="C556">
        <v>38.5</v>
      </c>
      <c r="D556" t="s">
        <v>1476</v>
      </c>
      <c r="E556">
        <v>11</v>
      </c>
      <c r="F556">
        <v>0</v>
      </c>
      <c r="G556">
        <v>0</v>
      </c>
      <c r="I556">
        <v>1.10356</v>
      </c>
      <c r="J556">
        <v>0.98882</v>
      </c>
      <c r="K556">
        <v>1.01588</v>
      </c>
      <c r="L556">
        <v>0.96166</v>
      </c>
      <c r="M556">
        <v>0.87231</v>
      </c>
      <c r="N556">
        <v>0.90413</v>
      </c>
      <c r="O556">
        <v>0.80371</v>
      </c>
      <c r="P556">
        <v>1.00079</v>
      </c>
      <c r="Q556">
        <v>1</v>
      </c>
      <c r="R556">
        <v>1</v>
      </c>
      <c r="S556">
        <v>1.05479</v>
      </c>
      <c r="T556">
        <v>1.05338</v>
      </c>
      <c r="U556">
        <v>1</v>
      </c>
      <c r="V556">
        <v>65.214</v>
      </c>
      <c r="W556">
        <v>8.115</v>
      </c>
      <c r="X556">
        <v>52.172</v>
      </c>
      <c r="Y556">
        <v>9.945</v>
      </c>
      <c r="Z556">
        <v>38.396</v>
      </c>
      <c r="AA556">
        <v>173.843</v>
      </c>
      <c r="AB556">
        <v>1.02346</v>
      </c>
      <c r="AC556">
        <v>181</v>
      </c>
      <c r="AD556">
        <v>0</v>
      </c>
      <c r="AG556">
        <v>66</v>
      </c>
      <c r="AH556">
        <v>8</v>
      </c>
      <c r="AI556">
        <v>54</v>
      </c>
      <c r="AJ556">
        <v>16</v>
      </c>
      <c r="AK556">
        <v>37</v>
      </c>
    </row>
    <row r="557" spans="1:37">
      <c r="A557" t="s">
        <v>1007</v>
      </c>
      <c r="B557" t="s">
        <v>1751</v>
      </c>
      <c r="C557">
        <v>35.5</v>
      </c>
      <c r="D557" t="s">
        <v>1476</v>
      </c>
      <c r="E557">
        <v>12</v>
      </c>
      <c r="F557">
        <v>0</v>
      </c>
      <c r="G557">
        <v>0</v>
      </c>
      <c r="I557">
        <v>1.10374</v>
      </c>
      <c r="J557">
        <v>0.98797</v>
      </c>
      <c r="K557">
        <v>1.01588</v>
      </c>
      <c r="L557">
        <v>0.9613</v>
      </c>
      <c r="M557">
        <v>0.89715</v>
      </c>
      <c r="N557">
        <v>0.89805</v>
      </c>
      <c r="O557">
        <v>0.8080000000000001</v>
      </c>
      <c r="P557">
        <v>1.00053</v>
      </c>
      <c r="Q557">
        <v>1</v>
      </c>
      <c r="R557">
        <v>1</v>
      </c>
      <c r="S557">
        <v>1.06385</v>
      </c>
      <c r="T557">
        <v>1.05231</v>
      </c>
      <c r="U557">
        <v>1</v>
      </c>
      <c r="V557">
        <v>65.72799999999999</v>
      </c>
      <c r="W557">
        <v>8.127000000000001</v>
      </c>
      <c r="X557">
        <v>57.025</v>
      </c>
      <c r="Y557">
        <v>10.849</v>
      </c>
      <c r="Z557">
        <v>37.87</v>
      </c>
      <c r="AA557">
        <v>179.6</v>
      </c>
      <c r="AB557">
        <v>1.13797</v>
      </c>
      <c r="AC557">
        <v>190</v>
      </c>
      <c r="AD557">
        <v>0</v>
      </c>
      <c r="AG557">
        <v>76</v>
      </c>
      <c r="AH557">
        <v>7</v>
      </c>
      <c r="AI557">
        <v>59</v>
      </c>
      <c r="AJ557">
        <v>10</v>
      </c>
      <c r="AK557">
        <v>38</v>
      </c>
    </row>
    <row r="558" spans="1:37">
      <c r="A558" t="s">
        <v>1008</v>
      </c>
      <c r="B558" t="s">
        <v>1751</v>
      </c>
      <c r="C558">
        <v>35.2</v>
      </c>
      <c r="D558" t="s">
        <v>1476</v>
      </c>
      <c r="E558">
        <v>13</v>
      </c>
      <c r="F558">
        <v>0</v>
      </c>
      <c r="G558">
        <v>0</v>
      </c>
      <c r="I558">
        <v>1.10393</v>
      </c>
      <c r="J558">
        <v>0.99405</v>
      </c>
      <c r="K558">
        <v>1.01588</v>
      </c>
      <c r="L558">
        <v>0.96097</v>
      </c>
      <c r="M558">
        <v>0.9412</v>
      </c>
      <c r="N558">
        <v>0.89093</v>
      </c>
      <c r="O558">
        <v>0.81911</v>
      </c>
      <c r="P558">
        <v>1.00037</v>
      </c>
      <c r="Q558">
        <v>1</v>
      </c>
      <c r="R558">
        <v>1</v>
      </c>
      <c r="S558">
        <v>1.05401</v>
      </c>
      <c r="T558">
        <v>1.04861</v>
      </c>
      <c r="U558">
        <v>1</v>
      </c>
      <c r="V558">
        <v>63.835</v>
      </c>
      <c r="W558">
        <v>7.807</v>
      </c>
      <c r="X558">
        <v>63.319</v>
      </c>
      <c r="Y558">
        <v>12.659</v>
      </c>
      <c r="Z558">
        <v>39.583</v>
      </c>
      <c r="AA558">
        <v>187.204</v>
      </c>
      <c r="AB558">
        <v>0.93766</v>
      </c>
      <c r="AC558">
        <v>174</v>
      </c>
      <c r="AD558">
        <v>0</v>
      </c>
      <c r="AG558">
        <v>66</v>
      </c>
      <c r="AH558">
        <v>8</v>
      </c>
      <c r="AI558">
        <v>55</v>
      </c>
      <c r="AJ558">
        <v>17</v>
      </c>
      <c r="AK558">
        <v>28</v>
      </c>
    </row>
    <row r="559" spans="1:37">
      <c r="A559" t="s">
        <v>1009</v>
      </c>
      <c r="B559" t="s">
        <v>1752</v>
      </c>
      <c r="C559">
        <v>36.4</v>
      </c>
      <c r="D559" t="s">
        <v>1476</v>
      </c>
      <c r="E559">
        <v>14</v>
      </c>
      <c r="F559">
        <v>0</v>
      </c>
      <c r="G559">
        <v>0</v>
      </c>
      <c r="I559">
        <v>1.10412</v>
      </c>
      <c r="J559">
        <v>0.99172</v>
      </c>
      <c r="K559">
        <v>1.01588</v>
      </c>
      <c r="L559">
        <v>0.96069</v>
      </c>
      <c r="M559">
        <v>1.16345</v>
      </c>
      <c r="N559">
        <v>0.86741</v>
      </c>
      <c r="O559">
        <v>0.86491</v>
      </c>
      <c r="P559">
        <v>1.00027</v>
      </c>
      <c r="Q559">
        <v>1</v>
      </c>
      <c r="R559">
        <v>1</v>
      </c>
      <c r="S559">
        <v>1.04945</v>
      </c>
      <c r="T559">
        <v>1.03645</v>
      </c>
      <c r="U559">
        <v>1</v>
      </c>
      <c r="V559">
        <v>59.847</v>
      </c>
      <c r="W559">
        <v>6.292</v>
      </c>
      <c r="X559">
        <v>94.095</v>
      </c>
      <c r="Y559">
        <v>21.335</v>
      </c>
      <c r="Z559">
        <v>47</v>
      </c>
      <c r="AA559">
        <v>228.569</v>
      </c>
      <c r="AB559">
        <v>0.96491</v>
      </c>
      <c r="AC559">
        <v>196</v>
      </c>
      <c r="AD559">
        <v>0</v>
      </c>
      <c r="AG559">
        <v>54</v>
      </c>
      <c r="AH559">
        <v>6</v>
      </c>
      <c r="AI559">
        <v>81</v>
      </c>
      <c r="AJ559">
        <v>27</v>
      </c>
      <c r="AK559">
        <v>28</v>
      </c>
    </row>
    <row r="560" spans="1:37">
      <c r="A560" t="s">
        <v>1010</v>
      </c>
      <c r="B560" t="s">
        <v>1753</v>
      </c>
      <c r="C560">
        <v>36.3</v>
      </c>
      <c r="D560" t="s">
        <v>1476</v>
      </c>
      <c r="E560">
        <v>15</v>
      </c>
      <c r="F560">
        <v>0</v>
      </c>
      <c r="G560">
        <v>0</v>
      </c>
      <c r="I560">
        <v>1.10431</v>
      </c>
      <c r="J560">
        <v>0.98025</v>
      </c>
      <c r="K560">
        <v>1.01588</v>
      </c>
      <c r="L560">
        <v>0.96045</v>
      </c>
      <c r="M560">
        <v>0.9621499999999999</v>
      </c>
      <c r="N560">
        <v>0.85302</v>
      </c>
      <c r="O560">
        <v>0.92037</v>
      </c>
      <c r="P560">
        <v>0.99669</v>
      </c>
      <c r="Q560">
        <v>1</v>
      </c>
      <c r="R560">
        <v>1</v>
      </c>
      <c r="S560">
        <v>1</v>
      </c>
      <c r="T560">
        <v>1.00862</v>
      </c>
      <c r="U560">
        <v>1</v>
      </c>
      <c r="V560">
        <v>13.6</v>
      </c>
      <c r="W560">
        <v>2.47</v>
      </c>
      <c r="X560">
        <v>81.80200000000001</v>
      </c>
      <c r="Y560">
        <v>32.2</v>
      </c>
      <c r="Z560">
        <v>46.911</v>
      </c>
      <c r="AA560">
        <v>176.982</v>
      </c>
      <c r="AB560">
        <v>1.01031</v>
      </c>
      <c r="AC560">
        <v>185</v>
      </c>
      <c r="AD560">
        <v>0</v>
      </c>
      <c r="AG560">
        <v>14</v>
      </c>
      <c r="AH560">
        <v>5</v>
      </c>
      <c r="AI560">
        <v>73</v>
      </c>
      <c r="AJ560">
        <v>34</v>
      </c>
      <c r="AK560">
        <v>59</v>
      </c>
    </row>
    <row r="561" spans="1:37">
      <c r="A561" t="s">
        <v>1011</v>
      </c>
      <c r="B561" t="s">
        <v>1754</v>
      </c>
      <c r="C561">
        <v>37.5</v>
      </c>
      <c r="D561" t="s">
        <v>1476</v>
      </c>
      <c r="E561">
        <v>16</v>
      </c>
      <c r="F561">
        <v>0</v>
      </c>
      <c r="G561">
        <v>0</v>
      </c>
      <c r="I561">
        <v>1.10449</v>
      </c>
      <c r="J561">
        <v>0.99333</v>
      </c>
      <c r="K561">
        <v>1.01588</v>
      </c>
      <c r="L561">
        <v>0.96026</v>
      </c>
      <c r="M561">
        <v>0.87133</v>
      </c>
      <c r="N561">
        <v>0.85414</v>
      </c>
      <c r="O561">
        <v>0.8835499999999999</v>
      </c>
      <c r="P561">
        <v>0.99333</v>
      </c>
      <c r="Q561">
        <v>1</v>
      </c>
      <c r="R561">
        <v>1</v>
      </c>
      <c r="S561">
        <v>1</v>
      </c>
      <c r="T561">
        <v>1.01477</v>
      </c>
      <c r="U561">
        <v>1</v>
      </c>
      <c r="V561">
        <v>18.699</v>
      </c>
      <c r="W561">
        <v>3.928</v>
      </c>
      <c r="X561">
        <v>69.39</v>
      </c>
      <c r="Y561">
        <v>27.01</v>
      </c>
      <c r="Z561">
        <v>42.29</v>
      </c>
      <c r="AA561">
        <v>161.317</v>
      </c>
      <c r="AB561">
        <v>1.0264</v>
      </c>
      <c r="AC561">
        <v>184</v>
      </c>
      <c r="AD561">
        <v>0</v>
      </c>
      <c r="AG561">
        <v>23</v>
      </c>
      <c r="AH561">
        <v>6</v>
      </c>
      <c r="AI561">
        <v>75</v>
      </c>
      <c r="AJ561">
        <v>27</v>
      </c>
      <c r="AK561">
        <v>53</v>
      </c>
    </row>
    <row r="562" spans="1:37">
      <c r="A562" t="s">
        <v>445</v>
      </c>
      <c r="B562" t="s">
        <v>1751</v>
      </c>
      <c r="C562">
        <v>37.8</v>
      </c>
      <c r="D562" t="s">
        <v>1476</v>
      </c>
      <c r="E562">
        <v>17</v>
      </c>
      <c r="F562">
        <v>0</v>
      </c>
      <c r="G562">
        <v>0</v>
      </c>
      <c r="I562">
        <v>1.10468</v>
      </c>
      <c r="J562">
        <v>1.01399</v>
      </c>
      <c r="K562">
        <v>1.01588</v>
      </c>
      <c r="L562">
        <v>0.96012</v>
      </c>
      <c r="M562">
        <v>0.9013</v>
      </c>
      <c r="N562">
        <v>0.8833800000000001</v>
      </c>
      <c r="O562">
        <v>0.80433</v>
      </c>
      <c r="P562">
        <v>0.99209</v>
      </c>
      <c r="Q562">
        <v>1</v>
      </c>
      <c r="R562">
        <v>1</v>
      </c>
      <c r="S562">
        <v>1.05424</v>
      </c>
      <c r="T562">
        <v>1.0569</v>
      </c>
      <c r="U562">
        <v>1</v>
      </c>
      <c r="V562">
        <v>68.56399999999999</v>
      </c>
      <c r="W562">
        <v>8.228999999999999</v>
      </c>
      <c r="X562">
        <v>52.577</v>
      </c>
      <c r="Y562">
        <v>10.46</v>
      </c>
      <c r="Z562">
        <v>38.693</v>
      </c>
      <c r="AA562">
        <v>178.523</v>
      </c>
      <c r="AB562">
        <v>1.03739</v>
      </c>
      <c r="AC562">
        <v>177</v>
      </c>
      <c r="AD562">
        <v>0</v>
      </c>
      <c r="AG562">
        <v>79</v>
      </c>
      <c r="AH562">
        <v>7</v>
      </c>
      <c r="AI562">
        <v>50</v>
      </c>
      <c r="AJ562">
        <v>9</v>
      </c>
      <c r="AK562">
        <v>32</v>
      </c>
    </row>
    <row r="563" spans="1:37">
      <c r="A563" t="s">
        <v>1012</v>
      </c>
      <c r="B563" t="s">
        <v>1751</v>
      </c>
      <c r="C563">
        <v>36.8</v>
      </c>
      <c r="D563" t="s">
        <v>1476</v>
      </c>
      <c r="E563">
        <v>18</v>
      </c>
      <c r="F563">
        <v>0</v>
      </c>
      <c r="G563">
        <v>0</v>
      </c>
      <c r="I563">
        <v>1.10487</v>
      </c>
      <c r="J563">
        <v>1.00126</v>
      </c>
      <c r="K563">
        <v>1.01588</v>
      </c>
      <c r="L563">
        <v>0.96003</v>
      </c>
      <c r="M563">
        <v>0.87368</v>
      </c>
      <c r="N563">
        <v>0.88208</v>
      </c>
      <c r="O563">
        <v>0.79993</v>
      </c>
      <c r="P563">
        <v>0.98934</v>
      </c>
      <c r="Q563">
        <v>1</v>
      </c>
      <c r="R563">
        <v>1</v>
      </c>
      <c r="S563">
        <v>1.05386</v>
      </c>
      <c r="T563">
        <v>1.05593</v>
      </c>
      <c r="U563">
        <v>1</v>
      </c>
      <c r="V563">
        <v>63.996</v>
      </c>
      <c r="W563">
        <v>8.175000000000001</v>
      </c>
      <c r="X563">
        <v>50.682</v>
      </c>
      <c r="Y563">
        <v>9.426</v>
      </c>
      <c r="Z563">
        <v>37.541</v>
      </c>
      <c r="AA563">
        <v>169.82</v>
      </c>
      <c r="AB563">
        <v>1.06243</v>
      </c>
      <c r="AC563">
        <v>172</v>
      </c>
      <c r="AD563">
        <v>0</v>
      </c>
      <c r="AG563">
        <v>67</v>
      </c>
      <c r="AH563">
        <v>7</v>
      </c>
      <c r="AI563">
        <v>48</v>
      </c>
      <c r="AJ563">
        <v>9</v>
      </c>
      <c r="AK563">
        <v>41</v>
      </c>
    </row>
    <row r="564" spans="1:37">
      <c r="A564" t="s">
        <v>1013</v>
      </c>
      <c r="B564" t="s">
        <v>1751</v>
      </c>
      <c r="C564">
        <v>38.1</v>
      </c>
      <c r="D564" t="s">
        <v>1476</v>
      </c>
      <c r="E564">
        <v>19</v>
      </c>
      <c r="F564">
        <v>0</v>
      </c>
      <c r="G564">
        <v>0</v>
      </c>
      <c r="I564">
        <v>1.10505</v>
      </c>
      <c r="J564">
        <v>1.00334</v>
      </c>
      <c r="K564">
        <v>1.01588</v>
      </c>
      <c r="L564">
        <v>0.96</v>
      </c>
      <c r="M564">
        <v>0.89908</v>
      </c>
      <c r="N564">
        <v>0.87704</v>
      </c>
      <c r="O564">
        <v>0.80324</v>
      </c>
      <c r="P564">
        <v>0.98651</v>
      </c>
      <c r="Q564">
        <v>1</v>
      </c>
      <c r="R564">
        <v>1</v>
      </c>
      <c r="S564">
        <v>1.05068</v>
      </c>
      <c r="T564">
        <v>1.0548</v>
      </c>
      <c r="U564">
        <v>1</v>
      </c>
      <c r="V564">
        <v>63.907</v>
      </c>
      <c r="W564">
        <v>8.176</v>
      </c>
      <c r="X564">
        <v>53.016</v>
      </c>
      <c r="Y564">
        <v>10.204</v>
      </c>
      <c r="Z564">
        <v>38.401</v>
      </c>
      <c r="AA564">
        <v>173.703</v>
      </c>
      <c r="AB564">
        <v>1.1071</v>
      </c>
      <c r="AC564">
        <v>197</v>
      </c>
      <c r="AD564">
        <v>0</v>
      </c>
      <c r="AG564">
        <v>72</v>
      </c>
      <c r="AH564">
        <v>7</v>
      </c>
      <c r="AI564">
        <v>66</v>
      </c>
      <c r="AJ564">
        <v>13</v>
      </c>
      <c r="AK564">
        <v>39</v>
      </c>
    </row>
    <row r="565" spans="1:37">
      <c r="A565" t="s">
        <v>1014</v>
      </c>
      <c r="B565" t="s">
        <v>1751</v>
      </c>
      <c r="C565">
        <v>39</v>
      </c>
      <c r="D565" t="s">
        <v>1476</v>
      </c>
      <c r="E565">
        <v>20</v>
      </c>
      <c r="F565">
        <v>0</v>
      </c>
      <c r="G565">
        <v>0</v>
      </c>
      <c r="I565">
        <v>1.10524</v>
      </c>
      <c r="J565">
        <v>1.00216</v>
      </c>
      <c r="K565">
        <v>1.01588</v>
      </c>
      <c r="L565">
        <v>0.96002</v>
      </c>
      <c r="M565">
        <v>0.94272</v>
      </c>
      <c r="N565">
        <v>0.87171</v>
      </c>
      <c r="O565">
        <v>0.8163</v>
      </c>
      <c r="P565">
        <v>0.98334</v>
      </c>
      <c r="Q565">
        <v>1</v>
      </c>
      <c r="R565">
        <v>1</v>
      </c>
      <c r="S565">
        <v>1.05533</v>
      </c>
      <c r="T565">
        <v>1.05088</v>
      </c>
      <c r="U565">
        <v>1</v>
      </c>
      <c r="V565">
        <v>62.247</v>
      </c>
      <c r="W565">
        <v>7.787</v>
      </c>
      <c r="X565">
        <v>58.782</v>
      </c>
      <c r="Y565">
        <v>11.662</v>
      </c>
      <c r="Z565">
        <v>41.416</v>
      </c>
      <c r="AA565">
        <v>181.894</v>
      </c>
      <c r="AB565">
        <v>1.06307</v>
      </c>
      <c r="AC565">
        <v>167</v>
      </c>
      <c r="AD565">
        <v>0</v>
      </c>
      <c r="AG565">
        <v>70</v>
      </c>
      <c r="AH565">
        <v>7</v>
      </c>
      <c r="AI565">
        <v>53</v>
      </c>
      <c r="AJ565">
        <v>13</v>
      </c>
      <c r="AK565">
        <v>24</v>
      </c>
    </row>
    <row r="566" spans="1:37">
      <c r="A566" t="s">
        <v>1015</v>
      </c>
      <c r="B566" t="s">
        <v>1752</v>
      </c>
      <c r="C566">
        <v>37.6</v>
      </c>
      <c r="D566" t="s">
        <v>1476</v>
      </c>
      <c r="E566">
        <v>21</v>
      </c>
      <c r="F566">
        <v>0</v>
      </c>
      <c r="G566">
        <v>0</v>
      </c>
      <c r="I566">
        <v>1.10543</v>
      </c>
      <c r="J566">
        <v>0.99393</v>
      </c>
      <c r="K566">
        <v>1.01588</v>
      </c>
      <c r="L566">
        <v>0.96009</v>
      </c>
      <c r="M566">
        <v>1.1602</v>
      </c>
      <c r="N566">
        <v>0.8486900000000001</v>
      </c>
      <c r="O566">
        <v>0.86399</v>
      </c>
      <c r="P566">
        <v>0.97892</v>
      </c>
      <c r="Q566">
        <v>1</v>
      </c>
      <c r="R566">
        <v>1</v>
      </c>
      <c r="S566">
        <v>1.04937</v>
      </c>
      <c r="T566">
        <v>1.03902</v>
      </c>
      <c r="U566">
        <v>1</v>
      </c>
      <c r="V566">
        <v>58.045</v>
      </c>
      <c r="W566">
        <v>6.119</v>
      </c>
      <c r="X566">
        <v>88.449</v>
      </c>
      <c r="Y566">
        <v>19.658</v>
      </c>
      <c r="Z566">
        <v>47.347</v>
      </c>
      <c r="AA566">
        <v>219.618</v>
      </c>
      <c r="AB566">
        <v>0.98242</v>
      </c>
      <c r="AC566">
        <v>238</v>
      </c>
      <c r="AD566">
        <v>0</v>
      </c>
      <c r="AG566">
        <v>70</v>
      </c>
      <c r="AH566">
        <v>2</v>
      </c>
      <c r="AI566">
        <v>96</v>
      </c>
      <c r="AJ566">
        <v>14</v>
      </c>
      <c r="AK566">
        <v>56</v>
      </c>
    </row>
    <row r="567" spans="1:37">
      <c r="A567" t="s">
        <v>1016</v>
      </c>
      <c r="B567" t="s">
        <v>1753</v>
      </c>
      <c r="C567">
        <v>37.6</v>
      </c>
      <c r="D567" t="s">
        <v>1476</v>
      </c>
      <c r="E567">
        <v>22</v>
      </c>
      <c r="F567">
        <v>0</v>
      </c>
      <c r="G567">
        <v>0</v>
      </c>
      <c r="I567">
        <v>1.10562</v>
      </c>
      <c r="J567">
        <v>0.9942800000000001</v>
      </c>
      <c r="K567">
        <v>1.01588</v>
      </c>
      <c r="L567">
        <v>0.96022</v>
      </c>
      <c r="M567">
        <v>0.95517</v>
      </c>
      <c r="N567">
        <v>0.8343</v>
      </c>
      <c r="O567">
        <v>0.91898</v>
      </c>
      <c r="P567">
        <v>0.97184</v>
      </c>
      <c r="Q567">
        <v>1</v>
      </c>
      <c r="R567">
        <v>1</v>
      </c>
      <c r="S567">
        <v>1</v>
      </c>
      <c r="T567">
        <v>1.01093</v>
      </c>
      <c r="U567">
        <v>1</v>
      </c>
      <c r="V567">
        <v>13.42</v>
      </c>
      <c r="W567">
        <v>2.483</v>
      </c>
      <c r="X567">
        <v>78.252</v>
      </c>
      <c r="Y567">
        <v>30.426</v>
      </c>
      <c r="Z567">
        <v>47.158</v>
      </c>
      <c r="AA567">
        <v>171.739</v>
      </c>
      <c r="AB567">
        <v>1.0327</v>
      </c>
      <c r="AC567">
        <v>161</v>
      </c>
      <c r="AD567">
        <v>0</v>
      </c>
      <c r="AG567">
        <v>4</v>
      </c>
      <c r="AH567">
        <v>3</v>
      </c>
      <c r="AI567">
        <v>78</v>
      </c>
      <c r="AJ567">
        <v>34</v>
      </c>
      <c r="AK567">
        <v>42</v>
      </c>
    </row>
    <row r="568" spans="1:37">
      <c r="A568" t="s">
        <v>1017</v>
      </c>
      <c r="B568" t="s">
        <v>1754</v>
      </c>
      <c r="C568">
        <v>38</v>
      </c>
      <c r="D568" t="s">
        <v>1476</v>
      </c>
      <c r="E568">
        <v>23</v>
      </c>
      <c r="F568">
        <v>0</v>
      </c>
      <c r="G568">
        <v>0</v>
      </c>
      <c r="I568">
        <v>1.1058</v>
      </c>
      <c r="J568">
        <v>0.994</v>
      </c>
      <c r="K568">
        <v>1.01588</v>
      </c>
      <c r="L568">
        <v>0.96039</v>
      </c>
      <c r="M568">
        <v>0.86686</v>
      </c>
      <c r="N568">
        <v>0.83895</v>
      </c>
      <c r="O568">
        <v>0.8813800000000001</v>
      </c>
      <c r="P568">
        <v>0.9694</v>
      </c>
      <c r="Q568">
        <v>1</v>
      </c>
      <c r="R568">
        <v>1</v>
      </c>
      <c r="S568">
        <v>1</v>
      </c>
      <c r="T568">
        <v>1.01711</v>
      </c>
      <c r="U568">
        <v>1</v>
      </c>
      <c r="V568">
        <v>18.255</v>
      </c>
      <c r="W568">
        <v>3.896</v>
      </c>
      <c r="X568">
        <v>66.151</v>
      </c>
      <c r="Y568">
        <v>25.413</v>
      </c>
      <c r="Z568">
        <v>41.547</v>
      </c>
      <c r="AA568">
        <v>155.262</v>
      </c>
      <c r="AB568">
        <v>0.95647</v>
      </c>
      <c r="AC568">
        <v>136</v>
      </c>
      <c r="AD568">
        <v>0</v>
      </c>
      <c r="AG568">
        <v>17</v>
      </c>
      <c r="AH568">
        <v>3</v>
      </c>
      <c r="AI568">
        <v>64</v>
      </c>
      <c r="AJ568">
        <v>21</v>
      </c>
      <c r="AK568">
        <v>31</v>
      </c>
    </row>
    <row r="569" spans="1:37">
      <c r="A569" t="s">
        <v>446</v>
      </c>
      <c r="B569" t="s">
        <v>1751</v>
      </c>
      <c r="C569">
        <v>37.6</v>
      </c>
      <c r="D569" t="s">
        <v>1476</v>
      </c>
      <c r="E569">
        <v>24</v>
      </c>
      <c r="F569">
        <v>0</v>
      </c>
      <c r="G569">
        <v>0</v>
      </c>
      <c r="I569">
        <v>1.10599</v>
      </c>
      <c r="J569">
        <v>0.98389</v>
      </c>
      <c r="K569">
        <v>1.01588</v>
      </c>
      <c r="L569">
        <v>0.96062</v>
      </c>
      <c r="M569">
        <v>0.90255</v>
      </c>
      <c r="N569">
        <v>0.871</v>
      </c>
      <c r="O569">
        <v>0.80169</v>
      </c>
      <c r="P569">
        <v>0.97337</v>
      </c>
      <c r="Q569">
        <v>1</v>
      </c>
      <c r="R569">
        <v>1</v>
      </c>
      <c r="S569">
        <v>1.05195</v>
      </c>
      <c r="T569">
        <v>1.05936</v>
      </c>
      <c r="U569">
        <v>1</v>
      </c>
      <c r="V569">
        <v>64.89400000000001</v>
      </c>
      <c r="W569">
        <v>7.896</v>
      </c>
      <c r="X569">
        <v>48.829</v>
      </c>
      <c r="Y569">
        <v>9.646000000000001</v>
      </c>
      <c r="Z569">
        <v>36.52</v>
      </c>
      <c r="AA569">
        <v>167.784</v>
      </c>
      <c r="AB569">
        <v>0.99414</v>
      </c>
      <c r="AC569">
        <v>167</v>
      </c>
      <c r="AD569">
        <v>0</v>
      </c>
      <c r="AG569">
        <v>64</v>
      </c>
      <c r="AH569">
        <v>7</v>
      </c>
      <c r="AI569">
        <v>54</v>
      </c>
      <c r="AJ569">
        <v>8</v>
      </c>
      <c r="AK569">
        <v>34</v>
      </c>
    </row>
    <row r="570" spans="1:37">
      <c r="A570" t="s">
        <v>1018</v>
      </c>
      <c r="B570" t="s">
        <v>1751</v>
      </c>
      <c r="C570">
        <v>38.1</v>
      </c>
      <c r="D570" t="s">
        <v>1476</v>
      </c>
      <c r="E570">
        <v>25</v>
      </c>
      <c r="F570">
        <v>0</v>
      </c>
      <c r="G570">
        <v>0</v>
      </c>
      <c r="I570">
        <v>1.10618</v>
      </c>
      <c r="J570">
        <v>0.99692</v>
      </c>
      <c r="K570">
        <v>1.01588</v>
      </c>
      <c r="L570">
        <v>0.96089</v>
      </c>
      <c r="M570">
        <v>0.87552</v>
      </c>
      <c r="N570">
        <v>0.8722</v>
      </c>
      <c r="O570">
        <v>0.79771</v>
      </c>
      <c r="P570">
        <v>0.97056</v>
      </c>
      <c r="Q570">
        <v>1</v>
      </c>
      <c r="R570">
        <v>1</v>
      </c>
      <c r="S570">
        <v>1.05499</v>
      </c>
      <c r="T570">
        <v>1.05855</v>
      </c>
      <c r="U570">
        <v>1</v>
      </c>
      <c r="V570">
        <v>62.781</v>
      </c>
      <c r="W570">
        <v>8.064</v>
      </c>
      <c r="X570">
        <v>48.198</v>
      </c>
      <c r="Y570">
        <v>8.907999999999999</v>
      </c>
      <c r="Z570">
        <v>36.903</v>
      </c>
      <c r="AA570">
        <v>164.854</v>
      </c>
      <c r="AB570">
        <v>1.0672</v>
      </c>
      <c r="AC570">
        <v>167</v>
      </c>
      <c r="AD570">
        <v>0</v>
      </c>
      <c r="AG570">
        <v>72</v>
      </c>
      <c r="AH570">
        <v>6</v>
      </c>
      <c r="AI570">
        <v>52</v>
      </c>
      <c r="AJ570">
        <v>9</v>
      </c>
      <c r="AK570">
        <v>28</v>
      </c>
    </row>
    <row r="571" spans="1:37">
      <c r="A571" t="s">
        <v>1019</v>
      </c>
      <c r="B571" t="s">
        <v>1751</v>
      </c>
      <c r="C571">
        <v>36.8</v>
      </c>
      <c r="D571" t="s">
        <v>1476</v>
      </c>
      <c r="E571">
        <v>26</v>
      </c>
      <c r="F571">
        <v>0</v>
      </c>
      <c r="G571">
        <v>0</v>
      </c>
      <c r="I571">
        <v>1.10636</v>
      </c>
      <c r="J571">
        <v>0.99408</v>
      </c>
      <c r="K571">
        <v>1.01588</v>
      </c>
      <c r="L571">
        <v>0.9612000000000001</v>
      </c>
      <c r="M571">
        <v>0.89982</v>
      </c>
      <c r="N571">
        <v>0.86842</v>
      </c>
      <c r="O571">
        <v>0.80144</v>
      </c>
      <c r="P571">
        <v>0.96752</v>
      </c>
      <c r="Q571">
        <v>1</v>
      </c>
      <c r="R571">
        <v>1</v>
      </c>
      <c r="S571">
        <v>1.05457</v>
      </c>
      <c r="T571">
        <v>1.05725</v>
      </c>
      <c r="U571">
        <v>1</v>
      </c>
      <c r="V571">
        <v>62.458</v>
      </c>
      <c r="W571">
        <v>8.038</v>
      </c>
      <c r="X571">
        <v>51.584</v>
      </c>
      <c r="Y571">
        <v>9.695</v>
      </c>
      <c r="Z571">
        <v>36.725</v>
      </c>
      <c r="AA571">
        <v>168.5</v>
      </c>
      <c r="AB571">
        <v>0.94628</v>
      </c>
      <c r="AC571">
        <v>172</v>
      </c>
      <c r="AD571">
        <v>0</v>
      </c>
      <c r="AG571">
        <v>66</v>
      </c>
      <c r="AH571">
        <v>4</v>
      </c>
      <c r="AI571">
        <v>54</v>
      </c>
      <c r="AJ571">
        <v>16</v>
      </c>
      <c r="AK571">
        <v>32</v>
      </c>
    </row>
    <row r="572" spans="1:37">
      <c r="A572" t="s">
        <v>1020</v>
      </c>
      <c r="B572" t="s">
        <v>1751</v>
      </c>
      <c r="C572">
        <v>37.5</v>
      </c>
      <c r="D572" t="s">
        <v>1476</v>
      </c>
      <c r="E572">
        <v>27</v>
      </c>
      <c r="F572">
        <v>0</v>
      </c>
      <c r="G572">
        <v>0</v>
      </c>
      <c r="I572">
        <v>1.10655</v>
      </c>
      <c r="J572">
        <v>1.00237</v>
      </c>
      <c r="K572">
        <v>1.01588</v>
      </c>
      <c r="L572">
        <v>0.96156</v>
      </c>
      <c r="M572">
        <v>0.94291</v>
      </c>
      <c r="N572">
        <v>0.8648400000000001</v>
      </c>
      <c r="O572">
        <v>0.81293</v>
      </c>
      <c r="P572">
        <v>0.96672</v>
      </c>
      <c r="Q572">
        <v>1</v>
      </c>
      <c r="R572">
        <v>1</v>
      </c>
      <c r="S572">
        <v>1.05465</v>
      </c>
      <c r="T572">
        <v>1.05384</v>
      </c>
      <c r="U572">
        <v>1</v>
      </c>
      <c r="V572">
        <v>61.996</v>
      </c>
      <c r="W572">
        <v>7.82</v>
      </c>
      <c r="X572">
        <v>57.342</v>
      </c>
      <c r="Y572">
        <v>11.352</v>
      </c>
      <c r="Z572">
        <v>39.644</v>
      </c>
      <c r="AA572">
        <v>178.154</v>
      </c>
      <c r="AB572">
        <v>1.00539</v>
      </c>
      <c r="AC572">
        <v>187</v>
      </c>
      <c r="AD572">
        <v>0</v>
      </c>
      <c r="AG572">
        <v>61</v>
      </c>
      <c r="AH572">
        <v>7</v>
      </c>
      <c r="AI572">
        <v>72</v>
      </c>
      <c r="AJ572">
        <v>11</v>
      </c>
      <c r="AK572">
        <v>36</v>
      </c>
    </row>
    <row r="573" spans="1:37">
      <c r="A573" t="s">
        <v>1021</v>
      </c>
      <c r="B573" t="s">
        <v>1752</v>
      </c>
      <c r="C573">
        <v>35.5</v>
      </c>
      <c r="D573" t="s">
        <v>1476</v>
      </c>
      <c r="E573">
        <v>0</v>
      </c>
      <c r="F573">
        <v>0</v>
      </c>
      <c r="G573">
        <v>0</v>
      </c>
      <c r="I573">
        <v>1.10674</v>
      </c>
      <c r="J573">
        <v>0.99247</v>
      </c>
      <c r="K573">
        <v>1.01588</v>
      </c>
      <c r="L573">
        <v>0.96195</v>
      </c>
      <c r="M573">
        <v>1.16818</v>
      </c>
      <c r="N573">
        <v>0.84675</v>
      </c>
      <c r="O573">
        <v>0.86676</v>
      </c>
      <c r="P573">
        <v>1.07232</v>
      </c>
      <c r="Q573">
        <v>1</v>
      </c>
      <c r="R573">
        <v>1</v>
      </c>
      <c r="S573">
        <v>1.0491</v>
      </c>
      <c r="T573">
        <v>1.03875</v>
      </c>
      <c r="U573">
        <v>1</v>
      </c>
      <c r="V573">
        <v>60.135</v>
      </c>
      <c r="W573">
        <v>6.594</v>
      </c>
      <c r="X573">
        <v>100.254</v>
      </c>
      <c r="Y573">
        <v>22.273</v>
      </c>
      <c r="Z573">
        <v>51.771</v>
      </c>
      <c r="AA573">
        <v>241.026</v>
      </c>
      <c r="AB573">
        <v>1.00805</v>
      </c>
      <c r="AC573">
        <v>255</v>
      </c>
      <c r="AD573">
        <v>0</v>
      </c>
      <c r="AG573">
        <v>51</v>
      </c>
      <c r="AH573">
        <v>7</v>
      </c>
      <c r="AI573">
        <v>106</v>
      </c>
      <c r="AJ573">
        <v>25</v>
      </c>
      <c r="AK573">
        <v>66</v>
      </c>
    </row>
    <row r="574" spans="1:37">
      <c r="A574" t="s">
        <v>1022</v>
      </c>
      <c r="B574" t="s">
        <v>1753</v>
      </c>
      <c r="C574">
        <v>36.1</v>
      </c>
      <c r="D574" t="s">
        <v>1476</v>
      </c>
      <c r="E574">
        <v>1</v>
      </c>
      <c r="F574">
        <v>0</v>
      </c>
      <c r="G574">
        <v>0</v>
      </c>
      <c r="I574">
        <v>1.10693</v>
      </c>
      <c r="J574">
        <v>0.98104</v>
      </c>
      <c r="K574">
        <v>1.01588</v>
      </c>
      <c r="L574">
        <v>0.9623699999999999</v>
      </c>
      <c r="M574">
        <v>0.97272</v>
      </c>
      <c r="N574">
        <v>0.83421</v>
      </c>
      <c r="O574">
        <v>0.92119</v>
      </c>
      <c r="P574">
        <v>1.05667</v>
      </c>
      <c r="Q574">
        <v>1</v>
      </c>
      <c r="R574">
        <v>1</v>
      </c>
      <c r="S574">
        <v>1</v>
      </c>
      <c r="T574">
        <v>1.01228</v>
      </c>
      <c r="U574">
        <v>1</v>
      </c>
      <c r="V574">
        <v>13.644</v>
      </c>
      <c r="W574">
        <v>2.578</v>
      </c>
      <c r="X574">
        <v>85.78</v>
      </c>
      <c r="Y574">
        <v>33.129</v>
      </c>
      <c r="Z574">
        <v>50.169</v>
      </c>
      <c r="AA574">
        <v>185.301</v>
      </c>
      <c r="AB574">
        <v>0.99212</v>
      </c>
      <c r="AC574">
        <v>186</v>
      </c>
      <c r="AD574">
        <v>0</v>
      </c>
      <c r="AG574">
        <v>20</v>
      </c>
      <c r="AH574">
        <v>2</v>
      </c>
      <c r="AI574">
        <v>79</v>
      </c>
      <c r="AJ574">
        <v>41</v>
      </c>
      <c r="AK574">
        <v>44</v>
      </c>
    </row>
    <row r="575" spans="1:37">
      <c r="A575" t="s">
        <v>1023</v>
      </c>
      <c r="B575" t="s">
        <v>1754</v>
      </c>
      <c r="C575">
        <v>35.4</v>
      </c>
      <c r="D575" t="s">
        <v>1476</v>
      </c>
      <c r="E575">
        <v>2</v>
      </c>
      <c r="F575">
        <v>0</v>
      </c>
      <c r="G575">
        <v>0</v>
      </c>
      <c r="I575">
        <v>1.10711</v>
      </c>
      <c r="J575">
        <v>0.97634</v>
      </c>
      <c r="K575">
        <v>1.01588</v>
      </c>
      <c r="L575">
        <v>0.96283</v>
      </c>
      <c r="M575">
        <v>0.87882</v>
      </c>
      <c r="N575">
        <v>0.8426399999999999</v>
      </c>
      <c r="O575">
        <v>0.8843299999999999</v>
      </c>
      <c r="P575">
        <v>1.0367</v>
      </c>
      <c r="Q575">
        <v>1</v>
      </c>
      <c r="R575">
        <v>1</v>
      </c>
      <c r="S575">
        <v>1</v>
      </c>
      <c r="T575">
        <v>1.0183</v>
      </c>
      <c r="U575">
        <v>1</v>
      </c>
      <c r="V575">
        <v>18.452</v>
      </c>
      <c r="W575">
        <v>3.997</v>
      </c>
      <c r="X575">
        <v>72.10299999999999</v>
      </c>
      <c r="Y575">
        <v>27.484</v>
      </c>
      <c r="Z575">
        <v>42.777</v>
      </c>
      <c r="AA575">
        <v>164.813</v>
      </c>
      <c r="AB575">
        <v>1.00779</v>
      </c>
      <c r="AC575">
        <v>183</v>
      </c>
      <c r="AD575">
        <v>0</v>
      </c>
      <c r="AG575">
        <v>25</v>
      </c>
      <c r="AH575">
        <v>4</v>
      </c>
      <c r="AI575">
        <v>72</v>
      </c>
      <c r="AJ575">
        <v>31</v>
      </c>
      <c r="AK575">
        <v>51</v>
      </c>
    </row>
    <row r="576" spans="1:37">
      <c r="A576" t="s">
        <v>447</v>
      </c>
      <c r="B576" t="s">
        <v>1751</v>
      </c>
      <c r="C576">
        <v>37</v>
      </c>
      <c r="D576" t="s">
        <v>1476</v>
      </c>
      <c r="E576">
        <v>3</v>
      </c>
      <c r="F576">
        <v>0</v>
      </c>
      <c r="G576">
        <v>0</v>
      </c>
      <c r="I576">
        <v>1.1073</v>
      </c>
      <c r="J576">
        <v>0.98136</v>
      </c>
      <c r="K576">
        <v>1.01588</v>
      </c>
      <c r="L576">
        <v>0.9633</v>
      </c>
      <c r="M576">
        <v>0.90003</v>
      </c>
      <c r="N576">
        <v>0.87322</v>
      </c>
      <c r="O576">
        <v>0.80282</v>
      </c>
      <c r="P576">
        <v>1.01921</v>
      </c>
      <c r="Q576">
        <v>1</v>
      </c>
      <c r="R576">
        <v>1</v>
      </c>
      <c r="S576">
        <v>1.05434</v>
      </c>
      <c r="T576">
        <v>1.05978</v>
      </c>
      <c r="U576">
        <v>1</v>
      </c>
      <c r="V576">
        <v>67.03700000000001</v>
      </c>
      <c r="W576">
        <v>8.31</v>
      </c>
      <c r="X576">
        <v>53.178</v>
      </c>
      <c r="Y576">
        <v>10.426</v>
      </c>
      <c r="Z576">
        <v>38.33</v>
      </c>
      <c r="AA576">
        <v>177.281</v>
      </c>
      <c r="AB576">
        <v>1.01921</v>
      </c>
      <c r="AC576">
        <v>155</v>
      </c>
      <c r="AD576">
        <v>0</v>
      </c>
      <c r="AG576">
        <v>66</v>
      </c>
      <c r="AH576">
        <v>3</v>
      </c>
      <c r="AI576">
        <v>39</v>
      </c>
      <c r="AJ576">
        <v>9</v>
      </c>
      <c r="AK576">
        <v>38</v>
      </c>
    </row>
    <row r="577" spans="1:37">
      <c r="A577" t="s">
        <v>1024</v>
      </c>
      <c r="B577" t="s">
        <v>1751</v>
      </c>
      <c r="C577">
        <v>35.1</v>
      </c>
      <c r="D577" t="s">
        <v>1476</v>
      </c>
      <c r="E577">
        <v>4</v>
      </c>
      <c r="F577">
        <v>0</v>
      </c>
      <c r="G577">
        <v>0</v>
      </c>
      <c r="I577">
        <v>1.10749</v>
      </c>
      <c r="J577">
        <v>0.97078</v>
      </c>
      <c r="K577">
        <v>1.01588</v>
      </c>
      <c r="L577">
        <v>0.96379</v>
      </c>
      <c r="M577">
        <v>0.87182</v>
      </c>
      <c r="N577">
        <v>0.87823</v>
      </c>
      <c r="O577">
        <v>0.80099</v>
      </c>
      <c r="P577">
        <v>1.013</v>
      </c>
      <c r="Q577">
        <v>1</v>
      </c>
      <c r="R577">
        <v>1</v>
      </c>
      <c r="S577">
        <v>1.05686</v>
      </c>
      <c r="T577">
        <v>1.05859</v>
      </c>
      <c r="U577">
        <v>1</v>
      </c>
      <c r="V577">
        <v>62.884</v>
      </c>
      <c r="W577">
        <v>8.156000000000001</v>
      </c>
      <c r="X577">
        <v>52.294</v>
      </c>
      <c r="Y577">
        <v>9.532</v>
      </c>
      <c r="Z577">
        <v>37.214</v>
      </c>
      <c r="AA577">
        <v>170.079</v>
      </c>
      <c r="AB577">
        <v>1.0352</v>
      </c>
      <c r="AC577">
        <v>178</v>
      </c>
      <c r="AD577">
        <v>0</v>
      </c>
      <c r="AG577">
        <v>80</v>
      </c>
      <c r="AH577">
        <v>6</v>
      </c>
      <c r="AI577">
        <v>55</v>
      </c>
      <c r="AJ577">
        <v>6</v>
      </c>
      <c r="AK577">
        <v>31</v>
      </c>
    </row>
    <row r="578" spans="1:37">
      <c r="A578" t="s">
        <v>1025</v>
      </c>
      <c r="B578" t="s">
        <v>1751</v>
      </c>
      <c r="C578">
        <v>34.4</v>
      </c>
      <c r="D578" t="s">
        <v>1476</v>
      </c>
      <c r="E578">
        <v>5</v>
      </c>
      <c r="F578">
        <v>0</v>
      </c>
      <c r="G578">
        <v>0</v>
      </c>
      <c r="I578">
        <v>1.10767</v>
      </c>
      <c r="J578">
        <v>0.96854</v>
      </c>
      <c r="K578">
        <v>1.01588</v>
      </c>
      <c r="L578">
        <v>0.9643</v>
      </c>
      <c r="M578">
        <v>0.89694</v>
      </c>
      <c r="N578">
        <v>0.87949</v>
      </c>
      <c r="O578">
        <v>0.80422</v>
      </c>
      <c r="P578">
        <v>1.0088</v>
      </c>
      <c r="Q578">
        <v>1</v>
      </c>
      <c r="R578">
        <v>1</v>
      </c>
      <c r="S578">
        <v>1.05502</v>
      </c>
      <c r="T578">
        <v>1.05747</v>
      </c>
      <c r="U578">
        <v>1</v>
      </c>
      <c r="V578">
        <v>62.926</v>
      </c>
      <c r="W578">
        <v>8.18</v>
      </c>
      <c r="X578">
        <v>55.462</v>
      </c>
      <c r="Y578">
        <v>10.512</v>
      </c>
      <c r="Z578">
        <v>37.36</v>
      </c>
      <c r="AA578">
        <v>174.441</v>
      </c>
      <c r="AB578">
        <v>0.9639</v>
      </c>
      <c r="AC578">
        <v>194</v>
      </c>
      <c r="AD578">
        <v>0</v>
      </c>
      <c r="AG578">
        <v>82</v>
      </c>
      <c r="AH578">
        <v>6</v>
      </c>
      <c r="AI578">
        <v>58</v>
      </c>
      <c r="AJ578">
        <v>16</v>
      </c>
      <c r="AK578">
        <v>32</v>
      </c>
    </row>
    <row r="579" spans="1:37">
      <c r="A579" t="s">
        <v>1026</v>
      </c>
      <c r="B579" t="s">
        <v>1751</v>
      </c>
      <c r="C579">
        <v>37.1</v>
      </c>
      <c r="D579" t="s">
        <v>1476</v>
      </c>
      <c r="E579">
        <v>6</v>
      </c>
      <c r="F579">
        <v>0</v>
      </c>
      <c r="G579">
        <v>0</v>
      </c>
      <c r="I579">
        <v>1.10786</v>
      </c>
      <c r="J579">
        <v>0.96431</v>
      </c>
      <c r="K579">
        <v>1.01588</v>
      </c>
      <c r="L579">
        <v>0.9648099999999999</v>
      </c>
      <c r="M579">
        <v>0.94209</v>
      </c>
      <c r="N579">
        <v>0.8741</v>
      </c>
      <c r="O579">
        <v>0.81808</v>
      </c>
      <c r="P579">
        <v>1.00605</v>
      </c>
      <c r="Q579">
        <v>1</v>
      </c>
      <c r="R579">
        <v>1</v>
      </c>
      <c r="S579">
        <v>1.05479</v>
      </c>
      <c r="T579">
        <v>1.05421</v>
      </c>
      <c r="U579">
        <v>1</v>
      </c>
      <c r="V579">
        <v>61.629</v>
      </c>
      <c r="W579">
        <v>7.667</v>
      </c>
      <c r="X579">
        <v>60.317</v>
      </c>
      <c r="Y579">
        <v>11.871</v>
      </c>
      <c r="Z579">
        <v>40.154</v>
      </c>
      <c r="AA579">
        <v>181.637</v>
      </c>
      <c r="AB579">
        <v>1.01045</v>
      </c>
      <c r="AC579">
        <v>188</v>
      </c>
      <c r="AD579">
        <v>0</v>
      </c>
      <c r="AG579">
        <v>51</v>
      </c>
      <c r="AH579">
        <v>9</v>
      </c>
      <c r="AI579">
        <v>67</v>
      </c>
      <c r="AJ579">
        <v>12</v>
      </c>
      <c r="AK579">
        <v>49</v>
      </c>
    </row>
    <row r="580" spans="1:37">
      <c r="A580" t="s">
        <v>1027</v>
      </c>
      <c r="B580" t="s">
        <v>1752</v>
      </c>
      <c r="C580">
        <v>36.6</v>
      </c>
      <c r="D580" t="s">
        <v>1476</v>
      </c>
      <c r="E580">
        <v>7</v>
      </c>
      <c r="F580">
        <v>0</v>
      </c>
      <c r="G580">
        <v>0</v>
      </c>
      <c r="I580">
        <v>1.10805</v>
      </c>
      <c r="J580">
        <v>0.95745</v>
      </c>
      <c r="K580">
        <v>0.95756</v>
      </c>
      <c r="L580">
        <v>0.96533</v>
      </c>
      <c r="M580">
        <v>1.16248</v>
      </c>
      <c r="N580">
        <v>0.85864</v>
      </c>
      <c r="O580">
        <v>0.86553</v>
      </c>
      <c r="P580">
        <v>1.00439</v>
      </c>
      <c r="Q580">
        <v>1</v>
      </c>
      <c r="R580">
        <v>1</v>
      </c>
      <c r="S580">
        <v>1.04766</v>
      </c>
      <c r="T580">
        <v>1.04246</v>
      </c>
      <c r="U580">
        <v>1</v>
      </c>
      <c r="V580">
        <v>54.679</v>
      </c>
      <c r="W580">
        <v>5.722</v>
      </c>
      <c r="X580">
        <v>85.137</v>
      </c>
      <c r="Y580">
        <v>19.256</v>
      </c>
      <c r="Z580">
        <v>44.29</v>
      </c>
      <c r="AA580">
        <v>209.084</v>
      </c>
      <c r="AB580">
        <v>1.05454</v>
      </c>
      <c r="AC580">
        <v>214</v>
      </c>
      <c r="AD580">
        <v>0</v>
      </c>
      <c r="AG580">
        <v>57</v>
      </c>
      <c r="AH580">
        <v>6</v>
      </c>
      <c r="AI580">
        <v>82</v>
      </c>
      <c r="AJ580">
        <v>22</v>
      </c>
      <c r="AK580">
        <v>47</v>
      </c>
    </row>
    <row r="581" spans="1:37">
      <c r="A581" t="s">
        <v>1028</v>
      </c>
      <c r="B581" t="s">
        <v>1753</v>
      </c>
      <c r="C581">
        <v>36.9</v>
      </c>
      <c r="D581" t="s">
        <v>1476</v>
      </c>
      <c r="E581">
        <v>8</v>
      </c>
      <c r="F581">
        <v>0</v>
      </c>
      <c r="G581">
        <v>0</v>
      </c>
      <c r="I581">
        <v>1.10824</v>
      </c>
      <c r="J581">
        <v>0.9520999999999999</v>
      </c>
      <c r="K581">
        <v>0.95756</v>
      </c>
      <c r="L581">
        <v>0.96584</v>
      </c>
      <c r="M581">
        <v>0.96326</v>
      </c>
      <c r="N581">
        <v>0.8486399999999999</v>
      </c>
      <c r="O581">
        <v>0.92035</v>
      </c>
      <c r="P581">
        <v>1.00345</v>
      </c>
      <c r="Q581">
        <v>1</v>
      </c>
      <c r="R581">
        <v>1</v>
      </c>
      <c r="S581">
        <v>1</v>
      </c>
      <c r="T581">
        <v>1.01448</v>
      </c>
      <c r="U581">
        <v>1</v>
      </c>
      <c r="V581">
        <v>12.586</v>
      </c>
      <c r="W581">
        <v>2.31</v>
      </c>
      <c r="X581">
        <v>76.04000000000001</v>
      </c>
      <c r="Y581">
        <v>29.746</v>
      </c>
      <c r="Z581">
        <v>44.12</v>
      </c>
      <c r="AA581">
        <v>164.803</v>
      </c>
      <c r="AB581">
        <v>1.05341</v>
      </c>
      <c r="AC581">
        <v>187</v>
      </c>
      <c r="AD581">
        <v>0</v>
      </c>
      <c r="AG581">
        <v>12</v>
      </c>
      <c r="AH581">
        <v>0</v>
      </c>
      <c r="AI581">
        <v>88</v>
      </c>
      <c r="AJ581">
        <v>36</v>
      </c>
      <c r="AK581">
        <v>51</v>
      </c>
    </row>
    <row r="582" spans="1:37">
      <c r="A582" t="s">
        <v>1029</v>
      </c>
      <c r="B582" t="s">
        <v>1754</v>
      </c>
      <c r="C582">
        <v>37.8</v>
      </c>
      <c r="D582" t="s">
        <v>1476</v>
      </c>
      <c r="E582">
        <v>9</v>
      </c>
      <c r="F582">
        <v>0</v>
      </c>
      <c r="G582">
        <v>0</v>
      </c>
      <c r="I582">
        <v>1.10842</v>
      </c>
      <c r="J582">
        <v>0.95147</v>
      </c>
      <c r="K582">
        <v>0.95756</v>
      </c>
      <c r="L582">
        <v>0.96635</v>
      </c>
      <c r="M582">
        <v>0.87316</v>
      </c>
      <c r="N582">
        <v>0.85699</v>
      </c>
      <c r="O582">
        <v>0.884</v>
      </c>
      <c r="P582">
        <v>1.00223</v>
      </c>
      <c r="Q582">
        <v>1</v>
      </c>
      <c r="R582">
        <v>1</v>
      </c>
      <c r="S582">
        <v>1</v>
      </c>
      <c r="T582">
        <v>1.02044</v>
      </c>
      <c r="U582">
        <v>1</v>
      </c>
      <c r="V582">
        <v>17.228</v>
      </c>
      <c r="W582">
        <v>3.63</v>
      </c>
      <c r="X582">
        <v>64.634</v>
      </c>
      <c r="Y582">
        <v>25.101</v>
      </c>
      <c r="Z582">
        <v>39.209</v>
      </c>
      <c r="AA582">
        <v>149.803</v>
      </c>
      <c r="AB582">
        <v>1.08219</v>
      </c>
      <c r="AC582">
        <v>172</v>
      </c>
      <c r="AD582">
        <v>0</v>
      </c>
      <c r="AG582">
        <v>23</v>
      </c>
      <c r="AH582">
        <v>7</v>
      </c>
      <c r="AI582">
        <v>66</v>
      </c>
      <c r="AJ582">
        <v>28</v>
      </c>
      <c r="AK582">
        <v>48</v>
      </c>
    </row>
    <row r="583" spans="1:37">
      <c r="A583" t="s">
        <v>448</v>
      </c>
      <c r="B583" t="s">
        <v>1751</v>
      </c>
      <c r="C583">
        <v>39.4</v>
      </c>
      <c r="D583" t="s">
        <v>1476</v>
      </c>
      <c r="E583">
        <v>10</v>
      </c>
      <c r="F583">
        <v>0</v>
      </c>
      <c r="G583">
        <v>0</v>
      </c>
      <c r="I583">
        <v>1.10861</v>
      </c>
      <c r="J583">
        <v>0.9527099999999999</v>
      </c>
      <c r="K583">
        <v>0.95756</v>
      </c>
      <c r="L583">
        <v>0.96683</v>
      </c>
      <c r="M583">
        <v>0.90085</v>
      </c>
      <c r="N583">
        <v>0.89288</v>
      </c>
      <c r="O583">
        <v>0.80437</v>
      </c>
      <c r="P583">
        <v>1.00117</v>
      </c>
      <c r="Q583">
        <v>1</v>
      </c>
      <c r="R583">
        <v>1</v>
      </c>
      <c r="S583">
        <v>1.05299</v>
      </c>
      <c r="T583">
        <v>1.06233</v>
      </c>
      <c r="U583">
        <v>1</v>
      </c>
      <c r="V583">
        <v>62.882</v>
      </c>
      <c r="W583">
        <v>7.542</v>
      </c>
      <c r="X583">
        <v>48.296</v>
      </c>
      <c r="Y583">
        <v>9.743</v>
      </c>
      <c r="Z583">
        <v>35.298</v>
      </c>
      <c r="AA583">
        <v>163.761</v>
      </c>
      <c r="AB583">
        <v>1.05028</v>
      </c>
      <c r="AC583">
        <v>178</v>
      </c>
      <c r="AD583">
        <v>0</v>
      </c>
      <c r="AG583">
        <v>66</v>
      </c>
      <c r="AH583">
        <v>7</v>
      </c>
      <c r="AI583">
        <v>52</v>
      </c>
      <c r="AJ583">
        <v>11</v>
      </c>
      <c r="AK583">
        <v>42</v>
      </c>
    </row>
    <row r="584" spans="1:37">
      <c r="A584" t="s">
        <v>1030</v>
      </c>
      <c r="B584" t="s">
        <v>1751</v>
      </c>
      <c r="C584">
        <v>36.3</v>
      </c>
      <c r="D584" t="s">
        <v>1476</v>
      </c>
      <c r="E584">
        <v>11</v>
      </c>
      <c r="F584">
        <v>0</v>
      </c>
      <c r="G584">
        <v>0</v>
      </c>
      <c r="I584">
        <v>1.1088</v>
      </c>
      <c r="J584">
        <v>0.9496599999999999</v>
      </c>
      <c r="K584">
        <v>0.95756</v>
      </c>
      <c r="L584">
        <v>0.9673</v>
      </c>
      <c r="M584">
        <v>0.87183</v>
      </c>
      <c r="N584">
        <v>0.8963100000000001</v>
      </c>
      <c r="O584">
        <v>0.80265</v>
      </c>
      <c r="P584">
        <v>1.00079</v>
      </c>
      <c r="Q584">
        <v>1</v>
      </c>
      <c r="R584">
        <v>1</v>
      </c>
      <c r="S584">
        <v>1.05912</v>
      </c>
      <c r="T584">
        <v>1.06076</v>
      </c>
      <c r="U584">
        <v>1</v>
      </c>
      <c r="V584">
        <v>59.531</v>
      </c>
      <c r="W584">
        <v>7.525</v>
      </c>
      <c r="X584">
        <v>48.866</v>
      </c>
      <c r="Y584">
        <v>9.038</v>
      </c>
      <c r="Z584">
        <v>34.559</v>
      </c>
      <c r="AA584">
        <v>159.518</v>
      </c>
      <c r="AB584">
        <v>0.92904</v>
      </c>
      <c r="AC584">
        <v>149</v>
      </c>
      <c r="AD584">
        <v>0</v>
      </c>
      <c r="AG584">
        <v>52</v>
      </c>
      <c r="AH584">
        <v>11</v>
      </c>
      <c r="AI584">
        <v>53</v>
      </c>
      <c r="AJ584">
        <v>4</v>
      </c>
      <c r="AK584">
        <v>29</v>
      </c>
    </row>
    <row r="585" spans="1:37">
      <c r="A585" t="s">
        <v>1031</v>
      </c>
      <c r="B585" t="s">
        <v>1751</v>
      </c>
      <c r="C585">
        <v>36</v>
      </c>
      <c r="D585" t="s">
        <v>1476</v>
      </c>
      <c r="E585">
        <v>12</v>
      </c>
      <c r="F585">
        <v>0</v>
      </c>
      <c r="G585">
        <v>0</v>
      </c>
      <c r="I585">
        <v>1.10898</v>
      </c>
      <c r="J585">
        <v>0.94328</v>
      </c>
      <c r="K585">
        <v>0.95756</v>
      </c>
      <c r="L585">
        <v>0.96775</v>
      </c>
      <c r="M585">
        <v>0.89684</v>
      </c>
      <c r="N585">
        <v>0.89751</v>
      </c>
      <c r="O585">
        <v>0.80743</v>
      </c>
      <c r="P585">
        <v>1.00054</v>
      </c>
      <c r="Q585">
        <v>1</v>
      </c>
      <c r="R585">
        <v>1</v>
      </c>
      <c r="S585">
        <v>1.05518</v>
      </c>
      <c r="T585">
        <v>1.05942</v>
      </c>
      <c r="U585">
        <v>1</v>
      </c>
      <c r="V585">
        <v>59.259</v>
      </c>
      <c r="W585">
        <v>7.435</v>
      </c>
      <c r="X585">
        <v>51.742</v>
      </c>
      <c r="Y585">
        <v>9.917</v>
      </c>
      <c r="Z585">
        <v>34.844</v>
      </c>
      <c r="AA585">
        <v>163.197</v>
      </c>
      <c r="AB585">
        <v>1.01756</v>
      </c>
      <c r="AC585">
        <v>148</v>
      </c>
      <c r="AD585">
        <v>0</v>
      </c>
      <c r="AG585">
        <v>43</v>
      </c>
      <c r="AH585">
        <v>7</v>
      </c>
      <c r="AI585">
        <v>68</v>
      </c>
      <c r="AJ585">
        <v>5</v>
      </c>
      <c r="AK585">
        <v>25</v>
      </c>
    </row>
    <row r="586" spans="1:37">
      <c r="A586" t="s">
        <v>1032</v>
      </c>
      <c r="B586" t="s">
        <v>1751</v>
      </c>
      <c r="C586">
        <v>38.3</v>
      </c>
      <c r="D586" t="s">
        <v>1476</v>
      </c>
      <c r="E586">
        <v>13</v>
      </c>
      <c r="F586">
        <v>0</v>
      </c>
      <c r="G586">
        <v>0</v>
      </c>
      <c r="I586">
        <v>1.10917</v>
      </c>
      <c r="J586">
        <v>0.9563199999999999</v>
      </c>
      <c r="K586">
        <v>0.95756</v>
      </c>
      <c r="L586">
        <v>0.96816</v>
      </c>
      <c r="M586">
        <v>0.94157</v>
      </c>
      <c r="N586">
        <v>0.8962599999999999</v>
      </c>
      <c r="O586">
        <v>0.82129</v>
      </c>
      <c r="P586">
        <v>1.00037</v>
      </c>
      <c r="Q586">
        <v>1</v>
      </c>
      <c r="R586">
        <v>1</v>
      </c>
      <c r="S586">
        <v>1.05483</v>
      </c>
      <c r="T586">
        <v>1.05624</v>
      </c>
      <c r="U586">
        <v>1</v>
      </c>
      <c r="V586">
        <v>59.594</v>
      </c>
      <c r="W586">
        <v>7.122</v>
      </c>
      <c r="X586">
        <v>57.839</v>
      </c>
      <c r="Y586">
        <v>11.669</v>
      </c>
      <c r="Z586">
        <v>38.001</v>
      </c>
      <c r="AA586">
        <v>174.226</v>
      </c>
      <c r="AB586">
        <v>1.02777</v>
      </c>
      <c r="AC586">
        <v>167</v>
      </c>
      <c r="AD586">
        <v>0</v>
      </c>
      <c r="AG586">
        <v>52</v>
      </c>
      <c r="AH586">
        <v>6</v>
      </c>
      <c r="AI586">
        <v>56</v>
      </c>
      <c r="AJ586">
        <v>8</v>
      </c>
      <c r="AK586">
        <v>45</v>
      </c>
    </row>
    <row r="587" spans="1:37">
      <c r="A587" t="s">
        <v>1033</v>
      </c>
      <c r="B587" t="s">
        <v>1752</v>
      </c>
      <c r="C587">
        <v>37.9</v>
      </c>
      <c r="D587" t="s">
        <v>1476</v>
      </c>
      <c r="E587">
        <v>14</v>
      </c>
      <c r="F587">
        <v>0</v>
      </c>
      <c r="G587">
        <v>0</v>
      </c>
      <c r="I587">
        <v>1.10936</v>
      </c>
      <c r="J587">
        <v>0.95992</v>
      </c>
      <c r="K587">
        <v>0.95756</v>
      </c>
      <c r="L587">
        <v>0.96855</v>
      </c>
      <c r="M587">
        <v>1.16332</v>
      </c>
      <c r="N587">
        <v>0.88102</v>
      </c>
      <c r="O587">
        <v>0.86749</v>
      </c>
      <c r="P587">
        <v>1.00027</v>
      </c>
      <c r="Q587">
        <v>1</v>
      </c>
      <c r="R587">
        <v>1</v>
      </c>
      <c r="S587">
        <v>1.0515</v>
      </c>
      <c r="T587">
        <v>1.04421</v>
      </c>
      <c r="U587">
        <v>1</v>
      </c>
      <c r="V587">
        <v>56.756</v>
      </c>
      <c r="W587">
        <v>5.769</v>
      </c>
      <c r="X587">
        <v>88.676</v>
      </c>
      <c r="Y587">
        <v>20.254</v>
      </c>
      <c r="Z587">
        <v>45.01</v>
      </c>
      <c r="AA587">
        <v>216.466</v>
      </c>
      <c r="AB587">
        <v>1.03629</v>
      </c>
      <c r="AC587">
        <v>210</v>
      </c>
      <c r="AD587">
        <v>0</v>
      </c>
      <c r="AG587">
        <v>58</v>
      </c>
      <c r="AH587">
        <v>10</v>
      </c>
      <c r="AI587">
        <v>82</v>
      </c>
      <c r="AJ587">
        <v>19</v>
      </c>
      <c r="AK587">
        <v>41</v>
      </c>
    </row>
    <row r="588" spans="1:37">
      <c r="A588" t="s">
        <v>1034</v>
      </c>
      <c r="B588" t="s">
        <v>1753</v>
      </c>
      <c r="C588">
        <v>36.4</v>
      </c>
      <c r="D588" t="s">
        <v>1476</v>
      </c>
      <c r="E588">
        <v>15</v>
      </c>
      <c r="F588">
        <v>0</v>
      </c>
      <c r="G588">
        <v>0</v>
      </c>
      <c r="I588">
        <v>1.10954</v>
      </c>
      <c r="J588">
        <v>0.95857</v>
      </c>
      <c r="K588">
        <v>0.95756</v>
      </c>
      <c r="L588">
        <v>0.96889</v>
      </c>
      <c r="M588">
        <v>0.96423</v>
      </c>
      <c r="N588">
        <v>0.87468</v>
      </c>
      <c r="O588">
        <v>0.92109</v>
      </c>
      <c r="P588">
        <v>0.99669</v>
      </c>
      <c r="Q588">
        <v>1</v>
      </c>
      <c r="R588">
        <v>1</v>
      </c>
      <c r="S588">
        <v>1</v>
      </c>
      <c r="T588">
        <v>1.01624</v>
      </c>
      <c r="U588">
        <v>1</v>
      </c>
      <c r="V588">
        <v>13.11</v>
      </c>
      <c r="W588">
        <v>2.333</v>
      </c>
      <c r="X588">
        <v>79.69499999999999</v>
      </c>
      <c r="Y588">
        <v>31.666</v>
      </c>
      <c r="Z588">
        <v>44.061</v>
      </c>
      <c r="AA588">
        <v>170.864</v>
      </c>
      <c r="AB588">
        <v>1.00167</v>
      </c>
      <c r="AC588">
        <v>157</v>
      </c>
      <c r="AD588">
        <v>0</v>
      </c>
      <c r="AG588">
        <v>11</v>
      </c>
      <c r="AH588">
        <v>5</v>
      </c>
      <c r="AI588">
        <v>69</v>
      </c>
      <c r="AJ588">
        <v>28</v>
      </c>
      <c r="AK588">
        <v>44</v>
      </c>
    </row>
    <row r="589" spans="1:37">
      <c r="A589" t="s">
        <v>1035</v>
      </c>
      <c r="B589" t="s">
        <v>1754</v>
      </c>
      <c r="C589">
        <v>38.6</v>
      </c>
      <c r="D589" t="s">
        <v>1476</v>
      </c>
      <c r="E589">
        <v>16</v>
      </c>
      <c r="F589">
        <v>0</v>
      </c>
      <c r="G589">
        <v>0</v>
      </c>
      <c r="I589">
        <v>1.10973</v>
      </c>
      <c r="J589">
        <v>0.9623699999999999</v>
      </c>
      <c r="K589">
        <v>0.95756</v>
      </c>
      <c r="L589">
        <v>0.96919</v>
      </c>
      <c r="M589">
        <v>0.8728399999999999</v>
      </c>
      <c r="N589">
        <v>0.88259</v>
      </c>
      <c r="O589">
        <v>0.8854300000000001</v>
      </c>
      <c r="P589">
        <v>0.99333</v>
      </c>
      <c r="Q589">
        <v>1</v>
      </c>
      <c r="R589">
        <v>1</v>
      </c>
      <c r="S589">
        <v>1</v>
      </c>
      <c r="T589">
        <v>1.02217</v>
      </c>
      <c r="U589">
        <v>1</v>
      </c>
      <c r="V589">
        <v>18.02</v>
      </c>
      <c r="W589">
        <v>3.676</v>
      </c>
      <c r="X589">
        <v>67.342</v>
      </c>
      <c r="Y589">
        <v>26.643</v>
      </c>
      <c r="Z589">
        <v>39.844</v>
      </c>
      <c r="AA589">
        <v>155.526</v>
      </c>
      <c r="AB589">
        <v>1.03499</v>
      </c>
      <c r="AC589">
        <v>167</v>
      </c>
      <c r="AD589">
        <v>0</v>
      </c>
      <c r="AG589">
        <v>17</v>
      </c>
      <c r="AH589">
        <v>2</v>
      </c>
      <c r="AI589">
        <v>75</v>
      </c>
      <c r="AJ589">
        <v>28</v>
      </c>
      <c r="AK589">
        <v>45</v>
      </c>
    </row>
    <row r="590" spans="1:37">
      <c r="A590" t="s">
        <v>449</v>
      </c>
      <c r="B590" t="s">
        <v>1751</v>
      </c>
      <c r="C590">
        <v>37.7</v>
      </c>
      <c r="D590" t="s">
        <v>1476</v>
      </c>
      <c r="E590">
        <v>17</v>
      </c>
      <c r="F590">
        <v>0</v>
      </c>
      <c r="G590">
        <v>0</v>
      </c>
      <c r="I590">
        <v>1.10992</v>
      </c>
      <c r="J590">
        <v>0.96832</v>
      </c>
      <c r="K590">
        <v>0.95756</v>
      </c>
      <c r="L590">
        <v>0.96945</v>
      </c>
      <c r="M590">
        <v>0.89966</v>
      </c>
      <c r="N590">
        <v>0.91575</v>
      </c>
      <c r="O590">
        <v>0.80636</v>
      </c>
      <c r="P590">
        <v>0.9921</v>
      </c>
      <c r="Q590">
        <v>1</v>
      </c>
      <c r="R590">
        <v>1</v>
      </c>
      <c r="S590">
        <v>1.04958</v>
      </c>
      <c r="T590">
        <v>1.06423</v>
      </c>
      <c r="U590">
        <v>1</v>
      </c>
      <c r="V590">
        <v>65.47499999999999</v>
      </c>
      <c r="W590">
        <v>7.66</v>
      </c>
      <c r="X590">
        <v>51.124</v>
      </c>
      <c r="Y590">
        <v>10.39</v>
      </c>
      <c r="Z590">
        <v>34.925</v>
      </c>
      <c r="AA590">
        <v>169.574</v>
      </c>
      <c r="AB590">
        <v>0.91879</v>
      </c>
      <c r="AC590">
        <v>152</v>
      </c>
      <c r="AD590">
        <v>0</v>
      </c>
      <c r="AG590">
        <v>68</v>
      </c>
      <c r="AH590">
        <v>6</v>
      </c>
      <c r="AI590">
        <v>34</v>
      </c>
      <c r="AJ590">
        <v>14</v>
      </c>
      <c r="AK590">
        <v>30</v>
      </c>
    </row>
    <row r="591" spans="1:37">
      <c r="A591" t="s">
        <v>1036</v>
      </c>
      <c r="B591" t="s">
        <v>1751</v>
      </c>
      <c r="C591">
        <v>38.9</v>
      </c>
      <c r="D591" t="s">
        <v>1476</v>
      </c>
      <c r="E591">
        <v>18</v>
      </c>
      <c r="F591">
        <v>0</v>
      </c>
      <c r="G591">
        <v>0</v>
      </c>
      <c r="I591">
        <v>1.11011</v>
      </c>
      <c r="J591">
        <v>0.9742499999999999</v>
      </c>
      <c r="K591">
        <v>0.95756</v>
      </c>
      <c r="L591">
        <v>0.96966</v>
      </c>
      <c r="M591">
        <v>0.8722</v>
      </c>
      <c r="N591">
        <v>0.9215</v>
      </c>
      <c r="O591">
        <v>0.80404</v>
      </c>
      <c r="P591">
        <v>0.98934</v>
      </c>
      <c r="Q591">
        <v>1</v>
      </c>
      <c r="R591">
        <v>1</v>
      </c>
      <c r="S591">
        <v>1.05867</v>
      </c>
      <c r="T591">
        <v>1.06297</v>
      </c>
      <c r="U591">
        <v>1</v>
      </c>
      <c r="V591">
        <v>63.204</v>
      </c>
      <c r="W591">
        <v>7.762</v>
      </c>
      <c r="X591">
        <v>50.612</v>
      </c>
      <c r="Y591">
        <v>9.581</v>
      </c>
      <c r="Z591">
        <v>35.962</v>
      </c>
      <c r="AA591">
        <v>167.121</v>
      </c>
      <c r="AB591">
        <v>0.9830100000000001</v>
      </c>
      <c r="AC591">
        <v>195</v>
      </c>
      <c r="AD591">
        <v>0</v>
      </c>
      <c r="AG591">
        <v>64</v>
      </c>
      <c r="AH591">
        <v>18</v>
      </c>
      <c r="AI591">
        <v>59</v>
      </c>
      <c r="AJ591">
        <v>7</v>
      </c>
      <c r="AK591">
        <v>47</v>
      </c>
    </row>
    <row r="592" spans="1:37">
      <c r="A592" t="s">
        <v>1037</v>
      </c>
      <c r="B592" t="s">
        <v>1751</v>
      </c>
      <c r="C592">
        <v>37.6</v>
      </c>
      <c r="D592" t="s">
        <v>1476</v>
      </c>
      <c r="E592">
        <v>19</v>
      </c>
      <c r="F592">
        <v>0</v>
      </c>
      <c r="G592">
        <v>0</v>
      </c>
      <c r="I592">
        <v>1.11029</v>
      </c>
      <c r="J592">
        <v>0.97877</v>
      </c>
      <c r="K592">
        <v>0.95756</v>
      </c>
      <c r="L592">
        <v>0.96982</v>
      </c>
      <c r="M592">
        <v>0.89732</v>
      </c>
      <c r="N592">
        <v>0.92178</v>
      </c>
      <c r="O592">
        <v>0.81028</v>
      </c>
      <c r="P592">
        <v>0.98653</v>
      </c>
      <c r="Q592">
        <v>1</v>
      </c>
      <c r="R592">
        <v>1</v>
      </c>
      <c r="S592">
        <v>1.05535</v>
      </c>
      <c r="T592">
        <v>1.06214</v>
      </c>
      <c r="U592">
        <v>1</v>
      </c>
      <c r="V592">
        <v>63.948</v>
      </c>
      <c r="W592">
        <v>7.613</v>
      </c>
      <c r="X592">
        <v>54.049</v>
      </c>
      <c r="Y592">
        <v>10.556</v>
      </c>
      <c r="Z592">
        <v>36.148</v>
      </c>
      <c r="AA592">
        <v>172.315</v>
      </c>
      <c r="AB592">
        <v>0.99066</v>
      </c>
      <c r="AC592">
        <v>171</v>
      </c>
      <c r="AD592">
        <v>0</v>
      </c>
      <c r="AG592">
        <v>70</v>
      </c>
      <c r="AH592">
        <v>1</v>
      </c>
      <c r="AI592">
        <v>57</v>
      </c>
      <c r="AJ592">
        <v>13</v>
      </c>
      <c r="AK592">
        <v>30</v>
      </c>
    </row>
    <row r="593" spans="1:37">
      <c r="A593" t="s">
        <v>1038</v>
      </c>
      <c r="B593" t="s">
        <v>1751</v>
      </c>
      <c r="C593">
        <v>37.3</v>
      </c>
      <c r="D593" t="s">
        <v>1476</v>
      </c>
      <c r="E593">
        <v>20</v>
      </c>
      <c r="F593">
        <v>0</v>
      </c>
      <c r="G593">
        <v>0</v>
      </c>
      <c r="I593">
        <v>1.11048</v>
      </c>
      <c r="J593">
        <v>0.98108</v>
      </c>
      <c r="K593">
        <v>0.95756</v>
      </c>
      <c r="L593">
        <v>0.96993</v>
      </c>
      <c r="M593">
        <v>0.94103</v>
      </c>
      <c r="N593">
        <v>0.92086</v>
      </c>
      <c r="O593">
        <v>0.82254</v>
      </c>
      <c r="P593">
        <v>0.98339</v>
      </c>
      <c r="Q593">
        <v>1</v>
      </c>
      <c r="R593">
        <v>1</v>
      </c>
      <c r="S593">
        <v>1.05989</v>
      </c>
      <c r="T593">
        <v>1.05861</v>
      </c>
      <c r="U593">
        <v>1</v>
      </c>
      <c r="V593">
        <v>63.305</v>
      </c>
      <c r="W593">
        <v>7.321</v>
      </c>
      <c r="X593">
        <v>61.01</v>
      </c>
      <c r="Y593">
        <v>12.484</v>
      </c>
      <c r="Z593">
        <v>38.062</v>
      </c>
      <c r="AA593">
        <v>182.183</v>
      </c>
      <c r="AB593">
        <v>1.10136</v>
      </c>
      <c r="AC593">
        <v>211</v>
      </c>
      <c r="AD593">
        <v>0</v>
      </c>
      <c r="AG593">
        <v>62</v>
      </c>
      <c r="AH593">
        <v>12</v>
      </c>
      <c r="AI593">
        <v>73</v>
      </c>
      <c r="AJ593">
        <v>14</v>
      </c>
      <c r="AK593">
        <v>50</v>
      </c>
    </row>
    <row r="594" spans="1:37">
      <c r="A594" t="s">
        <v>1039</v>
      </c>
      <c r="B594" t="s">
        <v>1752</v>
      </c>
      <c r="C594">
        <v>39.1</v>
      </c>
      <c r="D594" t="s">
        <v>1476</v>
      </c>
      <c r="E594">
        <v>21</v>
      </c>
      <c r="F594">
        <v>0</v>
      </c>
      <c r="G594">
        <v>0</v>
      </c>
      <c r="I594">
        <v>1.11067</v>
      </c>
      <c r="J594">
        <v>0.98705</v>
      </c>
      <c r="K594">
        <v>0.95756</v>
      </c>
      <c r="L594">
        <v>0.96999</v>
      </c>
      <c r="M594">
        <v>1.16243</v>
      </c>
      <c r="N594">
        <v>0.9061900000000001</v>
      </c>
      <c r="O594">
        <v>0.86765</v>
      </c>
      <c r="P594">
        <v>0.97894</v>
      </c>
      <c r="Q594">
        <v>1</v>
      </c>
      <c r="R594">
        <v>1</v>
      </c>
      <c r="S594">
        <v>1.04573</v>
      </c>
      <c r="T594">
        <v>1.04631</v>
      </c>
      <c r="U594">
        <v>1</v>
      </c>
      <c r="V594">
        <v>59.577</v>
      </c>
      <c r="W594">
        <v>5.912</v>
      </c>
      <c r="X594">
        <v>91.76300000000001</v>
      </c>
      <c r="Y594">
        <v>21.352</v>
      </c>
      <c r="Z594">
        <v>45.247</v>
      </c>
      <c r="AA594">
        <v>223.851</v>
      </c>
      <c r="AB594">
        <v>0.89396</v>
      </c>
      <c r="AC594">
        <v>181</v>
      </c>
      <c r="AD594">
        <v>0</v>
      </c>
      <c r="AG594">
        <v>55</v>
      </c>
      <c r="AH594">
        <v>0</v>
      </c>
      <c r="AI594">
        <v>68</v>
      </c>
      <c r="AJ594">
        <v>19</v>
      </c>
      <c r="AK594">
        <v>39</v>
      </c>
    </row>
    <row r="595" spans="1:37">
      <c r="A595" t="s">
        <v>1040</v>
      </c>
      <c r="B595" t="s">
        <v>1753</v>
      </c>
      <c r="C595">
        <v>38.8</v>
      </c>
      <c r="D595" t="s">
        <v>1476</v>
      </c>
      <c r="E595">
        <v>22</v>
      </c>
      <c r="F595">
        <v>0</v>
      </c>
      <c r="G595">
        <v>0</v>
      </c>
      <c r="I595">
        <v>1.11085</v>
      </c>
      <c r="J595">
        <v>0.9895</v>
      </c>
      <c r="K595">
        <v>0.95756</v>
      </c>
      <c r="L595">
        <v>0.97001</v>
      </c>
      <c r="M595">
        <v>0.9597</v>
      </c>
      <c r="N595">
        <v>0.89884</v>
      </c>
      <c r="O595">
        <v>0.92136</v>
      </c>
      <c r="P595">
        <v>0.97182</v>
      </c>
      <c r="Q595">
        <v>1</v>
      </c>
      <c r="R595">
        <v>1</v>
      </c>
      <c r="S595">
        <v>1</v>
      </c>
      <c r="T595">
        <v>1.01783</v>
      </c>
      <c r="U595">
        <v>1</v>
      </c>
      <c r="V595">
        <v>13.881</v>
      </c>
      <c r="W595">
        <v>2.387</v>
      </c>
      <c r="X595">
        <v>82.087</v>
      </c>
      <c r="Y595">
        <v>33.301</v>
      </c>
      <c r="Z595">
        <v>45.714</v>
      </c>
      <c r="AA595">
        <v>177.369</v>
      </c>
      <c r="AB595">
        <v>1.08294</v>
      </c>
      <c r="AC595">
        <v>194</v>
      </c>
      <c r="AD595">
        <v>0</v>
      </c>
      <c r="AG595">
        <v>10</v>
      </c>
      <c r="AH595">
        <v>1</v>
      </c>
      <c r="AI595">
        <v>93</v>
      </c>
      <c r="AJ595">
        <v>40</v>
      </c>
      <c r="AK595">
        <v>50</v>
      </c>
    </row>
    <row r="596" spans="1:37">
      <c r="A596" t="s">
        <v>1041</v>
      </c>
      <c r="B596" t="s">
        <v>1754</v>
      </c>
      <c r="C596">
        <v>39</v>
      </c>
      <c r="D596" t="s">
        <v>1476</v>
      </c>
      <c r="E596">
        <v>23</v>
      </c>
      <c r="F596">
        <v>0</v>
      </c>
      <c r="G596">
        <v>0</v>
      </c>
      <c r="I596">
        <v>1.11104</v>
      </c>
      <c r="J596">
        <v>0.99342</v>
      </c>
      <c r="K596">
        <v>0.95756</v>
      </c>
      <c r="L596">
        <v>0.97016</v>
      </c>
      <c r="M596">
        <v>0.87003</v>
      </c>
      <c r="N596">
        <v>0.90735</v>
      </c>
      <c r="O596">
        <v>0.88609</v>
      </c>
      <c r="P596">
        <v>0.96937</v>
      </c>
      <c r="Q596">
        <v>1</v>
      </c>
      <c r="R596">
        <v>1</v>
      </c>
      <c r="S596">
        <v>1</v>
      </c>
      <c r="T596">
        <v>1.02391</v>
      </c>
      <c r="U596">
        <v>1</v>
      </c>
      <c r="V596">
        <v>19.062</v>
      </c>
      <c r="W596">
        <v>3.76</v>
      </c>
      <c r="X596">
        <v>70.22499999999999</v>
      </c>
      <c r="Y596">
        <v>28.223</v>
      </c>
      <c r="Z596">
        <v>40.344</v>
      </c>
      <c r="AA596">
        <v>161.615</v>
      </c>
      <c r="AB596">
        <v>0.94126</v>
      </c>
      <c r="AC596">
        <v>154</v>
      </c>
      <c r="AD596">
        <v>0</v>
      </c>
      <c r="AG596">
        <v>17</v>
      </c>
      <c r="AH596">
        <v>6</v>
      </c>
      <c r="AI596">
        <v>74</v>
      </c>
      <c r="AJ596">
        <v>18</v>
      </c>
      <c r="AK596">
        <v>39</v>
      </c>
    </row>
    <row r="597" spans="1:37">
      <c r="A597" t="s">
        <v>450</v>
      </c>
      <c r="B597" t="s">
        <v>1751</v>
      </c>
      <c r="C597">
        <v>40</v>
      </c>
      <c r="D597" t="s">
        <v>82</v>
      </c>
      <c r="E597">
        <v>24</v>
      </c>
      <c r="F597">
        <v>0</v>
      </c>
      <c r="G597">
        <v>0</v>
      </c>
      <c r="I597">
        <v>1.11123</v>
      </c>
      <c r="J597">
        <v>0.99144</v>
      </c>
      <c r="K597">
        <v>0.95756</v>
      </c>
      <c r="L597">
        <v>0.9704700000000001</v>
      </c>
      <c r="M597">
        <v>0.9185</v>
      </c>
      <c r="N597">
        <v>0.95062</v>
      </c>
      <c r="O597">
        <v>1</v>
      </c>
      <c r="P597">
        <v>0.97527</v>
      </c>
      <c r="Q597">
        <v>1</v>
      </c>
      <c r="R597">
        <v>1</v>
      </c>
      <c r="S597">
        <v>1.09974</v>
      </c>
      <c r="T597">
        <v>1.05982</v>
      </c>
      <c r="U597">
        <v>1</v>
      </c>
      <c r="V597">
        <v>77.952</v>
      </c>
      <c r="W597">
        <v>45.968</v>
      </c>
      <c r="X597">
        <v>52.766</v>
      </c>
      <c r="Y597">
        <v>12.096</v>
      </c>
      <c r="Z597">
        <v>36.44</v>
      </c>
      <c r="AA597">
        <v>225.223</v>
      </c>
      <c r="AB597">
        <v>0.99169</v>
      </c>
      <c r="AC597">
        <v>232</v>
      </c>
      <c r="AD597">
        <v>0</v>
      </c>
      <c r="AG597">
        <v>87</v>
      </c>
      <c r="AH597">
        <v>37</v>
      </c>
      <c r="AI597">
        <v>49</v>
      </c>
      <c r="AJ597">
        <v>12</v>
      </c>
      <c r="AK597">
        <v>47</v>
      </c>
    </row>
    <row r="598" spans="1:37">
      <c r="A598" t="s">
        <v>1042</v>
      </c>
      <c r="B598" t="s">
        <v>1751</v>
      </c>
      <c r="C598">
        <v>40</v>
      </c>
      <c r="D598" t="s">
        <v>82</v>
      </c>
      <c r="E598">
        <v>25</v>
      </c>
      <c r="F598">
        <v>0</v>
      </c>
      <c r="G598">
        <v>0</v>
      </c>
      <c r="I598">
        <v>1.11142</v>
      </c>
      <c r="J598">
        <v>0.98038</v>
      </c>
      <c r="K598">
        <v>0.95756</v>
      </c>
      <c r="L598">
        <v>0.97092</v>
      </c>
      <c r="M598">
        <v>0.89436</v>
      </c>
      <c r="N598">
        <v>0.95416</v>
      </c>
      <c r="O598">
        <v>1</v>
      </c>
      <c r="P598">
        <v>0.97275</v>
      </c>
      <c r="Q598">
        <v>1</v>
      </c>
      <c r="R598">
        <v>1</v>
      </c>
      <c r="S598">
        <v>1.09751</v>
      </c>
      <c r="T598">
        <v>1.05921</v>
      </c>
      <c r="U598">
        <v>1</v>
      </c>
      <c r="V598">
        <v>73.81</v>
      </c>
      <c r="W598">
        <v>45.237</v>
      </c>
      <c r="X598">
        <v>50.618</v>
      </c>
      <c r="Y598">
        <v>10.905</v>
      </c>
      <c r="Z598">
        <v>35.549</v>
      </c>
      <c r="AA598">
        <v>216.118</v>
      </c>
      <c r="AB598">
        <v>0.9477</v>
      </c>
      <c r="AC598">
        <v>195</v>
      </c>
      <c r="AD598">
        <v>0</v>
      </c>
      <c r="AG598">
        <v>66</v>
      </c>
      <c r="AH598">
        <v>44</v>
      </c>
      <c r="AI598">
        <v>39</v>
      </c>
      <c r="AJ598">
        <v>9</v>
      </c>
      <c r="AK598">
        <v>37</v>
      </c>
    </row>
    <row r="599" spans="1:37">
      <c r="A599" t="s">
        <v>1043</v>
      </c>
      <c r="B599" t="s">
        <v>1751</v>
      </c>
      <c r="C599">
        <v>37.9</v>
      </c>
      <c r="D599" t="s">
        <v>82</v>
      </c>
      <c r="E599">
        <v>26</v>
      </c>
      <c r="F599">
        <v>0</v>
      </c>
      <c r="G599">
        <v>0</v>
      </c>
      <c r="I599">
        <v>1.1116</v>
      </c>
      <c r="J599">
        <v>0.97761</v>
      </c>
      <c r="K599">
        <v>0.95756</v>
      </c>
      <c r="L599">
        <v>0.97153</v>
      </c>
      <c r="M599">
        <v>0.9142</v>
      </c>
      <c r="N599">
        <v>0.95253</v>
      </c>
      <c r="O599">
        <v>1</v>
      </c>
      <c r="P599">
        <v>0.96994</v>
      </c>
      <c r="Q599">
        <v>1</v>
      </c>
      <c r="R599">
        <v>1</v>
      </c>
      <c r="S599">
        <v>1.09796</v>
      </c>
      <c r="T599">
        <v>1.0586</v>
      </c>
      <c r="U599">
        <v>1</v>
      </c>
      <c r="V599">
        <v>74.098</v>
      </c>
      <c r="W599">
        <v>44.749</v>
      </c>
      <c r="X599">
        <v>54.25</v>
      </c>
      <c r="Y599">
        <v>12.074</v>
      </c>
      <c r="Z599">
        <v>35.402</v>
      </c>
      <c r="AA599">
        <v>220.572</v>
      </c>
      <c r="AB599">
        <v>0.95586</v>
      </c>
      <c r="AC599">
        <v>207</v>
      </c>
      <c r="AD599">
        <v>0</v>
      </c>
      <c r="AG599">
        <v>75</v>
      </c>
      <c r="AH599">
        <v>45</v>
      </c>
      <c r="AI599">
        <v>41</v>
      </c>
      <c r="AJ599">
        <v>9</v>
      </c>
      <c r="AK599">
        <v>37</v>
      </c>
    </row>
    <row r="600" spans="1:37">
      <c r="A600" t="s">
        <v>1044</v>
      </c>
      <c r="B600" t="s">
        <v>1751</v>
      </c>
      <c r="C600">
        <v>37.6</v>
      </c>
      <c r="D600" t="s">
        <v>82</v>
      </c>
      <c r="E600">
        <v>27</v>
      </c>
      <c r="F600">
        <v>0</v>
      </c>
      <c r="G600">
        <v>0</v>
      </c>
      <c r="I600">
        <v>1.11179</v>
      </c>
      <c r="J600">
        <v>0.97654</v>
      </c>
      <c r="K600">
        <v>0.95756</v>
      </c>
      <c r="L600">
        <v>0.97229</v>
      </c>
      <c r="M600">
        <v>0.94151</v>
      </c>
      <c r="N600">
        <v>0.95024</v>
      </c>
      <c r="O600">
        <v>1</v>
      </c>
      <c r="P600">
        <v>0.96904</v>
      </c>
      <c r="Q600">
        <v>1</v>
      </c>
      <c r="R600">
        <v>1</v>
      </c>
      <c r="S600">
        <v>1.09602</v>
      </c>
      <c r="T600">
        <v>1.05611</v>
      </c>
      <c r="U600">
        <v>1</v>
      </c>
      <c r="V600">
        <v>72.753</v>
      </c>
      <c r="W600">
        <v>42.537</v>
      </c>
      <c r="X600">
        <v>61.304</v>
      </c>
      <c r="Y600">
        <v>14.147</v>
      </c>
      <c r="Z600">
        <v>37.267</v>
      </c>
      <c r="AA600">
        <v>228.008</v>
      </c>
      <c r="AB600">
        <v>0.94869</v>
      </c>
      <c r="AC600">
        <v>224</v>
      </c>
      <c r="AD600">
        <v>0</v>
      </c>
      <c r="AG600">
        <v>59</v>
      </c>
      <c r="AH600">
        <v>41</v>
      </c>
      <c r="AI600">
        <v>62</v>
      </c>
      <c r="AJ600">
        <v>21</v>
      </c>
      <c r="AK600">
        <v>41</v>
      </c>
    </row>
    <row r="601" spans="1:37">
      <c r="A601" t="s">
        <v>1045</v>
      </c>
      <c r="B601" t="s">
        <v>1752</v>
      </c>
      <c r="C601">
        <v>36.1</v>
      </c>
      <c r="D601" t="s">
        <v>82</v>
      </c>
      <c r="E601">
        <v>28</v>
      </c>
      <c r="F601">
        <v>0</v>
      </c>
      <c r="G601">
        <v>0</v>
      </c>
      <c r="I601">
        <v>1.11198</v>
      </c>
      <c r="J601">
        <v>0.95714</v>
      </c>
      <c r="K601">
        <v>0.95756</v>
      </c>
      <c r="L601">
        <v>0.97317</v>
      </c>
      <c r="M601">
        <v>1.10175</v>
      </c>
      <c r="N601">
        <v>0.93625</v>
      </c>
      <c r="O601">
        <v>1</v>
      </c>
      <c r="P601">
        <v>0.96588</v>
      </c>
      <c r="Q601">
        <v>1</v>
      </c>
      <c r="R601">
        <v>1</v>
      </c>
      <c r="S601">
        <v>1.07431</v>
      </c>
      <c r="T601">
        <v>1.04714</v>
      </c>
      <c r="U601">
        <v>1</v>
      </c>
      <c r="V601">
        <v>67.318</v>
      </c>
      <c r="W601">
        <v>33.725</v>
      </c>
      <c r="X601">
        <v>92.864</v>
      </c>
      <c r="Y601">
        <v>23.862</v>
      </c>
      <c r="Z601">
        <v>41.987</v>
      </c>
      <c r="AA601">
        <v>259.756</v>
      </c>
      <c r="AB601">
        <v>1.1776</v>
      </c>
      <c r="AC601">
        <v>335</v>
      </c>
      <c r="AD601">
        <v>0</v>
      </c>
      <c r="AG601">
        <v>95</v>
      </c>
      <c r="AH601">
        <v>37</v>
      </c>
      <c r="AI601">
        <v>113</v>
      </c>
      <c r="AJ601">
        <v>34</v>
      </c>
      <c r="AK601">
        <v>56</v>
      </c>
    </row>
    <row r="602" spans="1:37">
      <c r="A602" t="s">
        <v>1046</v>
      </c>
      <c r="B602" t="s">
        <v>1753</v>
      </c>
      <c r="C602">
        <v>35.7</v>
      </c>
      <c r="D602" t="s">
        <v>82</v>
      </c>
      <c r="E602">
        <v>29</v>
      </c>
      <c r="F602">
        <v>0</v>
      </c>
      <c r="G602">
        <v>0</v>
      </c>
      <c r="I602">
        <v>1.11216</v>
      </c>
      <c r="J602">
        <v>0.95705</v>
      </c>
      <c r="K602">
        <v>0.95756</v>
      </c>
      <c r="L602">
        <v>0.97419</v>
      </c>
      <c r="M602">
        <v>0.8525</v>
      </c>
      <c r="N602">
        <v>0.9257</v>
      </c>
      <c r="O602">
        <v>1</v>
      </c>
      <c r="P602">
        <v>0.95907</v>
      </c>
      <c r="Q602">
        <v>1</v>
      </c>
      <c r="R602">
        <v>1</v>
      </c>
      <c r="S602">
        <v>1.01097</v>
      </c>
      <c r="T602">
        <v>1.02016</v>
      </c>
      <c r="U602">
        <v>1</v>
      </c>
      <c r="V602">
        <v>15.625</v>
      </c>
      <c r="W602">
        <v>13.613</v>
      </c>
      <c r="X602">
        <v>82.625</v>
      </c>
      <c r="Y602">
        <v>37.374</v>
      </c>
      <c r="Z602">
        <v>42.186</v>
      </c>
      <c r="AA602">
        <v>191.423</v>
      </c>
      <c r="AB602">
        <v>0.99359</v>
      </c>
      <c r="AC602">
        <v>197</v>
      </c>
      <c r="AD602">
        <v>0</v>
      </c>
      <c r="AG602">
        <v>18</v>
      </c>
      <c r="AH602">
        <v>23</v>
      </c>
      <c r="AI602">
        <v>77</v>
      </c>
      <c r="AJ602">
        <v>42</v>
      </c>
      <c r="AK602">
        <v>37</v>
      </c>
    </row>
    <row r="603" spans="1:37">
      <c r="A603" t="s">
        <v>1047</v>
      </c>
      <c r="B603" t="s">
        <v>1754</v>
      </c>
      <c r="C603">
        <v>35.9</v>
      </c>
      <c r="D603" t="s">
        <v>82</v>
      </c>
      <c r="E603">
        <v>30</v>
      </c>
      <c r="F603">
        <v>0</v>
      </c>
      <c r="G603">
        <v>0</v>
      </c>
      <c r="I603">
        <v>1.11235</v>
      </c>
      <c r="J603">
        <v>0.94886</v>
      </c>
      <c r="K603">
        <v>0.95756</v>
      </c>
      <c r="L603">
        <v>0.97532</v>
      </c>
      <c r="M603">
        <v>0.80909</v>
      </c>
      <c r="N603">
        <v>0.93423</v>
      </c>
      <c r="O603">
        <v>1</v>
      </c>
      <c r="P603">
        <v>0.9612000000000001</v>
      </c>
      <c r="Q603">
        <v>1</v>
      </c>
      <c r="R603">
        <v>1</v>
      </c>
      <c r="S603">
        <v>1.01826</v>
      </c>
      <c r="T603">
        <v>1.02575</v>
      </c>
      <c r="U603">
        <v>1</v>
      </c>
      <c r="V603">
        <v>21.206</v>
      </c>
      <c r="W603">
        <v>21.242</v>
      </c>
      <c r="X603">
        <v>69.94</v>
      </c>
      <c r="Y603">
        <v>31.33</v>
      </c>
      <c r="Z603">
        <v>36.949</v>
      </c>
      <c r="AA603">
        <v>180.667</v>
      </c>
      <c r="AB603">
        <v>0.98228</v>
      </c>
      <c r="AC603">
        <v>176</v>
      </c>
      <c r="AD603">
        <v>0</v>
      </c>
      <c r="AG603">
        <v>17</v>
      </c>
      <c r="AH603">
        <v>21</v>
      </c>
      <c r="AI603">
        <v>72</v>
      </c>
      <c r="AJ603">
        <v>34</v>
      </c>
      <c r="AK603">
        <v>32</v>
      </c>
    </row>
    <row r="604" spans="1:37">
      <c r="A604" t="s">
        <v>451</v>
      </c>
      <c r="B604" t="s">
        <v>1751</v>
      </c>
      <c r="C604">
        <v>35.4</v>
      </c>
      <c r="D604" t="s">
        <v>82</v>
      </c>
      <c r="E604">
        <v>31</v>
      </c>
      <c r="F604">
        <v>0</v>
      </c>
      <c r="G604">
        <v>0</v>
      </c>
      <c r="I604">
        <v>1.11254</v>
      </c>
      <c r="J604">
        <v>0.96052</v>
      </c>
      <c r="K604">
        <v>0.95756</v>
      </c>
      <c r="L604">
        <v>0.97655</v>
      </c>
      <c r="M604">
        <v>0.91722</v>
      </c>
      <c r="N604">
        <v>0.96354</v>
      </c>
      <c r="O604">
        <v>1</v>
      </c>
      <c r="P604">
        <v>0.97037</v>
      </c>
      <c r="Q604">
        <v>1</v>
      </c>
      <c r="R604">
        <v>1</v>
      </c>
      <c r="S604">
        <v>1.09932</v>
      </c>
      <c r="T604">
        <v>1.06189</v>
      </c>
      <c r="U604">
        <v>1</v>
      </c>
      <c r="V604">
        <v>77.783</v>
      </c>
      <c r="W604">
        <v>44.886</v>
      </c>
      <c r="X604">
        <v>53.938</v>
      </c>
      <c r="Y604">
        <v>12.338</v>
      </c>
      <c r="Z604">
        <v>33.159</v>
      </c>
      <c r="AA604">
        <v>222.104</v>
      </c>
      <c r="AB604">
        <v>0.98511</v>
      </c>
      <c r="AC604">
        <v>217</v>
      </c>
      <c r="AD604">
        <v>0</v>
      </c>
      <c r="AG604">
        <v>61</v>
      </c>
      <c r="AH604">
        <v>45</v>
      </c>
      <c r="AI604">
        <v>58</v>
      </c>
      <c r="AJ604">
        <v>15</v>
      </c>
      <c r="AK604">
        <v>38</v>
      </c>
    </row>
    <row r="605" spans="1:37">
      <c r="A605" t="s">
        <v>1048</v>
      </c>
      <c r="B605" t="s">
        <v>1751</v>
      </c>
      <c r="C605">
        <v>34</v>
      </c>
      <c r="D605" t="s">
        <v>82</v>
      </c>
      <c r="E605">
        <v>32</v>
      </c>
      <c r="F605">
        <v>0</v>
      </c>
      <c r="G605">
        <v>0</v>
      </c>
      <c r="I605">
        <v>1.11272</v>
      </c>
      <c r="J605">
        <v>0.97204</v>
      </c>
      <c r="K605">
        <v>0.95756</v>
      </c>
      <c r="L605">
        <v>0.97787</v>
      </c>
      <c r="M605">
        <v>0.89109</v>
      </c>
      <c r="N605">
        <v>0.96833</v>
      </c>
      <c r="O605">
        <v>1</v>
      </c>
      <c r="P605">
        <v>0.97022</v>
      </c>
      <c r="Q605">
        <v>1</v>
      </c>
      <c r="R605">
        <v>1</v>
      </c>
      <c r="S605">
        <v>1.09831</v>
      </c>
      <c r="T605">
        <v>1.06118</v>
      </c>
      <c r="U605">
        <v>1</v>
      </c>
      <c r="V605">
        <v>75.679</v>
      </c>
      <c r="W605">
        <v>44.565</v>
      </c>
      <c r="X605">
        <v>54.475</v>
      </c>
      <c r="Y605">
        <v>11.644</v>
      </c>
      <c r="Z605">
        <v>33.056</v>
      </c>
      <c r="AA605">
        <v>219.419</v>
      </c>
      <c r="AB605">
        <v>1.1533</v>
      </c>
      <c r="AC605">
        <v>248</v>
      </c>
      <c r="AD605">
        <v>0</v>
      </c>
      <c r="AG605">
        <v>81</v>
      </c>
      <c r="AH605">
        <v>56</v>
      </c>
      <c r="AI605">
        <v>61</v>
      </c>
      <c r="AJ605">
        <v>12</v>
      </c>
      <c r="AK605">
        <v>38</v>
      </c>
    </row>
    <row r="606" spans="1:37">
      <c r="A606" t="s">
        <v>1049</v>
      </c>
      <c r="B606" t="s">
        <v>1751</v>
      </c>
      <c r="C606">
        <v>36.1</v>
      </c>
      <c r="D606" t="s">
        <v>82</v>
      </c>
      <c r="E606">
        <v>0</v>
      </c>
      <c r="F606">
        <v>0</v>
      </c>
      <c r="G606">
        <v>0</v>
      </c>
      <c r="I606">
        <v>1.11291</v>
      </c>
      <c r="J606">
        <v>0.9841299999999999</v>
      </c>
      <c r="K606">
        <v>0.95756</v>
      </c>
      <c r="L606">
        <v>0.97927</v>
      </c>
      <c r="M606">
        <v>0.91007</v>
      </c>
      <c r="N606">
        <v>0.96356</v>
      </c>
      <c r="O606">
        <v>1</v>
      </c>
      <c r="P606">
        <v>1.06011</v>
      </c>
      <c r="Q606">
        <v>1</v>
      </c>
      <c r="R606">
        <v>1</v>
      </c>
      <c r="S606">
        <v>1.09638</v>
      </c>
      <c r="T606">
        <v>1.05736</v>
      </c>
      <c r="U606">
        <v>1</v>
      </c>
      <c r="V606">
        <v>79.602</v>
      </c>
      <c r="W606">
        <v>49.157</v>
      </c>
      <c r="X606">
        <v>65.07599999999999</v>
      </c>
      <c r="Y606">
        <v>14.345</v>
      </c>
      <c r="Z606">
        <v>40.063</v>
      </c>
      <c r="AA606">
        <v>248.242</v>
      </c>
      <c r="AB606">
        <v>0.9972</v>
      </c>
      <c r="AC606">
        <v>256</v>
      </c>
      <c r="AD606">
        <v>0</v>
      </c>
      <c r="AG606">
        <v>77</v>
      </c>
      <c r="AH606">
        <v>48</v>
      </c>
      <c r="AI606">
        <v>63</v>
      </c>
      <c r="AJ606">
        <v>12</v>
      </c>
      <c r="AK606">
        <v>56</v>
      </c>
    </row>
    <row r="607" spans="1:37">
      <c r="A607" t="s">
        <v>1050</v>
      </c>
      <c r="B607" t="s">
        <v>1751</v>
      </c>
      <c r="C607">
        <v>35.6</v>
      </c>
      <c r="D607" t="s">
        <v>82</v>
      </c>
      <c r="E607">
        <v>1</v>
      </c>
      <c r="F607">
        <v>0</v>
      </c>
      <c r="G607">
        <v>0</v>
      </c>
      <c r="I607">
        <v>1.1131</v>
      </c>
      <c r="J607">
        <v>0.9775199999999999</v>
      </c>
      <c r="K607">
        <v>0.95756</v>
      </c>
      <c r="L607">
        <v>0.98073</v>
      </c>
      <c r="M607">
        <v>0.9397799999999999</v>
      </c>
      <c r="N607">
        <v>0.96211</v>
      </c>
      <c r="O607">
        <v>1</v>
      </c>
      <c r="P607">
        <v>1.04146</v>
      </c>
      <c r="Q607">
        <v>1</v>
      </c>
      <c r="R607">
        <v>1</v>
      </c>
      <c r="S607">
        <v>1.09054</v>
      </c>
      <c r="T607">
        <v>1.05561</v>
      </c>
      <c r="U607">
        <v>1</v>
      </c>
      <c r="V607">
        <v>77.173</v>
      </c>
      <c r="W607">
        <v>45.49</v>
      </c>
      <c r="X607">
        <v>70.36</v>
      </c>
      <c r="Y607">
        <v>16.58</v>
      </c>
      <c r="Z607">
        <v>40.663</v>
      </c>
      <c r="AA607">
        <v>250.266</v>
      </c>
      <c r="AB607">
        <v>0.9938900000000001</v>
      </c>
      <c r="AC607">
        <v>232</v>
      </c>
      <c r="AD607">
        <v>0</v>
      </c>
      <c r="AG607">
        <v>81</v>
      </c>
      <c r="AH607">
        <v>34</v>
      </c>
      <c r="AI607">
        <v>51</v>
      </c>
      <c r="AJ607">
        <v>19</v>
      </c>
      <c r="AK607">
        <v>47</v>
      </c>
    </row>
    <row r="608" spans="1:37">
      <c r="A608" t="s">
        <v>1051</v>
      </c>
      <c r="B608" t="s">
        <v>1752</v>
      </c>
      <c r="C608">
        <v>35.4</v>
      </c>
      <c r="D608" t="s">
        <v>82</v>
      </c>
      <c r="E608">
        <v>2</v>
      </c>
      <c r="F608">
        <v>0</v>
      </c>
      <c r="G608">
        <v>0</v>
      </c>
      <c r="I608">
        <v>1.11329</v>
      </c>
      <c r="J608">
        <v>0.97978</v>
      </c>
      <c r="K608">
        <v>0.95756</v>
      </c>
      <c r="L608">
        <v>0.98223</v>
      </c>
      <c r="M608">
        <v>1.10823</v>
      </c>
      <c r="N608">
        <v>0.94872</v>
      </c>
      <c r="O608">
        <v>1</v>
      </c>
      <c r="P608">
        <v>1.03066</v>
      </c>
      <c r="Q608">
        <v>1</v>
      </c>
      <c r="R608">
        <v>1</v>
      </c>
      <c r="S608">
        <v>1.07206</v>
      </c>
      <c r="T608">
        <v>1.0469</v>
      </c>
      <c r="U608">
        <v>1</v>
      </c>
      <c r="V608">
        <v>72.687</v>
      </c>
      <c r="W608">
        <v>36.504</v>
      </c>
      <c r="X608">
        <v>106.491</v>
      </c>
      <c r="Y608">
        <v>27.743</v>
      </c>
      <c r="Z608">
        <v>47.177</v>
      </c>
      <c r="AA608">
        <v>290.601</v>
      </c>
      <c r="AB608">
        <v>1.05556</v>
      </c>
      <c r="AC608">
        <v>303</v>
      </c>
      <c r="AD608">
        <v>0</v>
      </c>
      <c r="AG608">
        <v>88</v>
      </c>
      <c r="AH608">
        <v>35</v>
      </c>
      <c r="AI608">
        <v>110</v>
      </c>
      <c r="AJ608">
        <v>25</v>
      </c>
      <c r="AK608">
        <v>45</v>
      </c>
    </row>
    <row r="609" spans="1:37">
      <c r="A609" t="s">
        <v>1052</v>
      </c>
      <c r="B609" t="s">
        <v>1753</v>
      </c>
      <c r="C609">
        <v>34.2</v>
      </c>
      <c r="D609" t="s">
        <v>82</v>
      </c>
      <c r="E609">
        <v>3</v>
      </c>
      <c r="F609">
        <v>0</v>
      </c>
      <c r="G609">
        <v>0</v>
      </c>
      <c r="I609">
        <v>1.11347</v>
      </c>
      <c r="J609">
        <v>0.97288</v>
      </c>
      <c r="K609">
        <v>0.95756</v>
      </c>
      <c r="L609">
        <v>0.98376</v>
      </c>
      <c r="M609">
        <v>0.8702299999999999</v>
      </c>
      <c r="N609">
        <v>0.94313</v>
      </c>
      <c r="O609">
        <v>1</v>
      </c>
      <c r="P609">
        <v>1.02468</v>
      </c>
      <c r="Q609">
        <v>1</v>
      </c>
      <c r="R609">
        <v>1</v>
      </c>
      <c r="S609">
        <v>1.01044</v>
      </c>
      <c r="T609">
        <v>1.02079</v>
      </c>
      <c r="U609">
        <v>1</v>
      </c>
      <c r="V609">
        <v>16.637</v>
      </c>
      <c r="W609">
        <v>14.529</v>
      </c>
      <c r="X609">
        <v>94.69499999999999</v>
      </c>
      <c r="Y609">
        <v>42.812</v>
      </c>
      <c r="Z609">
        <v>45.794</v>
      </c>
      <c r="AA609">
        <v>214.467</v>
      </c>
      <c r="AB609">
        <v>1.06143</v>
      </c>
      <c r="AC609">
        <v>239</v>
      </c>
      <c r="AD609">
        <v>0</v>
      </c>
      <c r="AG609">
        <v>18</v>
      </c>
      <c r="AH609">
        <v>13</v>
      </c>
      <c r="AI609">
        <v>111</v>
      </c>
      <c r="AJ609">
        <v>49</v>
      </c>
      <c r="AK609">
        <v>48</v>
      </c>
    </row>
    <row r="610" spans="1:37">
      <c r="A610" t="s">
        <v>1053</v>
      </c>
      <c r="B610" t="s">
        <v>1754</v>
      </c>
      <c r="C610">
        <v>34.4</v>
      </c>
      <c r="D610" t="s">
        <v>82</v>
      </c>
      <c r="E610">
        <v>4</v>
      </c>
      <c r="F610">
        <v>0</v>
      </c>
      <c r="G610">
        <v>0</v>
      </c>
      <c r="I610">
        <v>1.11366</v>
      </c>
      <c r="J610">
        <v>0.96463</v>
      </c>
      <c r="K610">
        <v>0.95756</v>
      </c>
      <c r="L610">
        <v>0.98531</v>
      </c>
      <c r="M610">
        <v>0.82042</v>
      </c>
      <c r="N610">
        <v>0.9488799999999999</v>
      </c>
      <c r="O610">
        <v>1</v>
      </c>
      <c r="P610">
        <v>1.01569</v>
      </c>
      <c r="Q610">
        <v>1</v>
      </c>
      <c r="R610">
        <v>1</v>
      </c>
      <c r="S610">
        <v>1.01755</v>
      </c>
      <c r="T610">
        <v>1.02624</v>
      </c>
      <c r="U610">
        <v>1</v>
      </c>
      <c r="V610">
        <v>22.503</v>
      </c>
      <c r="W610">
        <v>22.582</v>
      </c>
      <c r="X610">
        <v>79.318</v>
      </c>
      <c r="Y610">
        <v>35.501</v>
      </c>
      <c r="Z610">
        <v>39.781</v>
      </c>
      <c r="AA610">
        <v>199.685</v>
      </c>
      <c r="AB610">
        <v>0.9365</v>
      </c>
      <c r="AC610">
        <v>162</v>
      </c>
      <c r="AD610">
        <v>0</v>
      </c>
      <c r="AG610">
        <v>16</v>
      </c>
      <c r="AH610">
        <v>14</v>
      </c>
      <c r="AI610">
        <v>73</v>
      </c>
      <c r="AJ610">
        <v>32</v>
      </c>
      <c r="AK610">
        <v>27</v>
      </c>
    </row>
    <row r="611" spans="1:37">
      <c r="A611" t="s">
        <v>452</v>
      </c>
      <c r="B611" t="s">
        <v>1751</v>
      </c>
      <c r="C611">
        <v>32.1</v>
      </c>
      <c r="D611" t="s">
        <v>82</v>
      </c>
      <c r="E611">
        <v>5</v>
      </c>
      <c r="F611">
        <v>0</v>
      </c>
      <c r="G611">
        <v>0</v>
      </c>
      <c r="I611">
        <v>1.11385</v>
      </c>
      <c r="J611">
        <v>0.96665</v>
      </c>
      <c r="K611">
        <v>1.03089</v>
      </c>
      <c r="L611">
        <v>0.98685</v>
      </c>
      <c r="M611">
        <v>0.90907</v>
      </c>
      <c r="N611">
        <v>0.9791800000000001</v>
      </c>
      <c r="O611">
        <v>1</v>
      </c>
      <c r="P611">
        <v>1.0081</v>
      </c>
      <c r="Q611">
        <v>1</v>
      </c>
      <c r="R611">
        <v>1</v>
      </c>
      <c r="S611">
        <v>1</v>
      </c>
      <c r="T611">
        <v>1.06498</v>
      </c>
      <c r="U611">
        <v>1</v>
      </c>
      <c r="V611">
        <v>85.06699999999999</v>
      </c>
      <c r="W611">
        <v>37.498</v>
      </c>
      <c r="X611">
        <v>63.441</v>
      </c>
      <c r="Y611">
        <v>14.743</v>
      </c>
      <c r="Z611">
        <v>33.963</v>
      </c>
      <c r="AA611">
        <v>234.713</v>
      </c>
      <c r="AB611">
        <v>0.98202</v>
      </c>
      <c r="AC611">
        <v>255</v>
      </c>
      <c r="AD611">
        <v>0</v>
      </c>
      <c r="AG611">
        <v>97</v>
      </c>
      <c r="AH611">
        <v>36</v>
      </c>
      <c r="AI611">
        <v>66</v>
      </c>
      <c r="AJ611">
        <v>17</v>
      </c>
      <c r="AK611">
        <v>39</v>
      </c>
    </row>
    <row r="612" spans="1:37">
      <c r="A612" t="s">
        <v>1054</v>
      </c>
      <c r="B612" t="s">
        <v>1751</v>
      </c>
      <c r="C612">
        <v>33.7</v>
      </c>
      <c r="D612" t="s">
        <v>82</v>
      </c>
      <c r="E612">
        <v>6</v>
      </c>
      <c r="F612">
        <v>0</v>
      </c>
      <c r="G612">
        <v>0</v>
      </c>
      <c r="I612">
        <v>1.11403</v>
      </c>
      <c r="J612">
        <v>0.96687</v>
      </c>
      <c r="K612">
        <v>1.03089</v>
      </c>
      <c r="L612">
        <v>0.98838</v>
      </c>
      <c r="M612">
        <v>0.88419</v>
      </c>
      <c r="N612">
        <v>0.97416</v>
      </c>
      <c r="O612">
        <v>1</v>
      </c>
      <c r="P612">
        <v>1.00543</v>
      </c>
      <c r="Q612">
        <v>1</v>
      </c>
      <c r="R612">
        <v>1</v>
      </c>
      <c r="S612">
        <v>1</v>
      </c>
      <c r="T612">
        <v>1.06431</v>
      </c>
      <c r="U612">
        <v>1</v>
      </c>
      <c r="V612">
        <v>81.16200000000001</v>
      </c>
      <c r="W612">
        <v>37.504</v>
      </c>
      <c r="X612">
        <v>59.981</v>
      </c>
      <c r="Y612">
        <v>13.23</v>
      </c>
      <c r="Z612">
        <v>34.596</v>
      </c>
      <c r="AA612">
        <v>226.473</v>
      </c>
      <c r="AB612">
        <v>0.97456</v>
      </c>
      <c r="AC612">
        <v>243</v>
      </c>
      <c r="AD612">
        <v>0</v>
      </c>
      <c r="AG612">
        <v>85</v>
      </c>
      <c r="AH612">
        <v>31</v>
      </c>
      <c r="AI612">
        <v>76</v>
      </c>
      <c r="AJ612">
        <v>14</v>
      </c>
      <c r="AK612">
        <v>37</v>
      </c>
    </row>
    <row r="613" spans="1:37">
      <c r="A613" t="s">
        <v>1055</v>
      </c>
      <c r="B613" t="s">
        <v>1751</v>
      </c>
      <c r="C613">
        <v>34.7</v>
      </c>
      <c r="D613" t="s">
        <v>82</v>
      </c>
      <c r="E613">
        <v>7</v>
      </c>
      <c r="F613">
        <v>0</v>
      </c>
      <c r="G613">
        <v>0</v>
      </c>
      <c r="I613">
        <v>1.11422</v>
      </c>
      <c r="J613">
        <v>0.96446</v>
      </c>
      <c r="K613">
        <v>1.03089</v>
      </c>
      <c r="L613">
        <v>0.98986</v>
      </c>
      <c r="M613">
        <v>0.90713</v>
      </c>
      <c r="N613">
        <v>0.9706</v>
      </c>
      <c r="O613">
        <v>1</v>
      </c>
      <c r="P613">
        <v>1.00368</v>
      </c>
      <c r="Q613">
        <v>1</v>
      </c>
      <c r="R613">
        <v>1</v>
      </c>
      <c r="S613">
        <v>1</v>
      </c>
      <c r="T613">
        <v>1.06326</v>
      </c>
      <c r="U613">
        <v>1</v>
      </c>
      <c r="V613">
        <v>81.108</v>
      </c>
      <c r="W613">
        <v>37.43</v>
      </c>
      <c r="X613">
        <v>62.626</v>
      </c>
      <c r="Y613">
        <v>14.257</v>
      </c>
      <c r="Z613">
        <v>35.689</v>
      </c>
      <c r="AA613">
        <v>231.11</v>
      </c>
      <c r="AB613">
        <v>0.97973</v>
      </c>
      <c r="AC613">
        <v>219</v>
      </c>
      <c r="AD613">
        <v>0</v>
      </c>
      <c r="AG613">
        <v>87</v>
      </c>
      <c r="AH613">
        <v>37</v>
      </c>
      <c r="AI613">
        <v>56</v>
      </c>
      <c r="AJ613">
        <v>13</v>
      </c>
      <c r="AK613">
        <v>26</v>
      </c>
    </row>
    <row r="614" spans="1:37">
      <c r="A614" t="s">
        <v>1056</v>
      </c>
      <c r="B614" t="s">
        <v>1751</v>
      </c>
      <c r="C614">
        <v>34.9</v>
      </c>
      <c r="D614" t="s">
        <v>82</v>
      </c>
      <c r="E614">
        <v>8</v>
      </c>
      <c r="F614">
        <v>0</v>
      </c>
      <c r="G614">
        <v>0</v>
      </c>
      <c r="I614">
        <v>1.11441</v>
      </c>
      <c r="J614">
        <v>0.95573</v>
      </c>
      <c r="K614">
        <v>1.03089</v>
      </c>
      <c r="L614">
        <v>0.9913</v>
      </c>
      <c r="M614">
        <v>0.93933</v>
      </c>
      <c r="N614">
        <v>0.9675</v>
      </c>
      <c r="O614">
        <v>1</v>
      </c>
      <c r="P614">
        <v>1.00254</v>
      </c>
      <c r="Q614">
        <v>1</v>
      </c>
      <c r="R614">
        <v>1</v>
      </c>
      <c r="S614">
        <v>1</v>
      </c>
      <c r="T614">
        <v>1.06048</v>
      </c>
      <c r="U614">
        <v>1</v>
      </c>
      <c r="V614">
        <v>78.91800000000001</v>
      </c>
      <c r="W614">
        <v>35.268</v>
      </c>
      <c r="X614">
        <v>69.239</v>
      </c>
      <c r="Y614">
        <v>16.472</v>
      </c>
      <c r="Z614">
        <v>37.377</v>
      </c>
      <c r="AA614">
        <v>237.275</v>
      </c>
      <c r="AB614">
        <v>0.92604</v>
      </c>
      <c r="AC614">
        <v>220</v>
      </c>
      <c r="AD614">
        <v>0</v>
      </c>
      <c r="AG614">
        <v>60</v>
      </c>
      <c r="AH614">
        <v>40</v>
      </c>
      <c r="AI614">
        <v>53</v>
      </c>
      <c r="AJ614">
        <v>17</v>
      </c>
      <c r="AK614">
        <v>50</v>
      </c>
    </row>
    <row r="615" spans="1:37">
      <c r="A615" t="s">
        <v>1057</v>
      </c>
      <c r="B615" t="s">
        <v>1752</v>
      </c>
      <c r="C615">
        <v>35.4</v>
      </c>
      <c r="D615" t="s">
        <v>82</v>
      </c>
      <c r="E615">
        <v>9</v>
      </c>
      <c r="F615">
        <v>0</v>
      </c>
      <c r="G615">
        <v>0</v>
      </c>
      <c r="I615">
        <v>1.1146</v>
      </c>
      <c r="J615">
        <v>0.95617</v>
      </c>
      <c r="K615">
        <v>1.03089</v>
      </c>
      <c r="L615">
        <v>0.9926700000000001</v>
      </c>
      <c r="M615">
        <v>1.11583</v>
      </c>
      <c r="N615">
        <v>0.95282</v>
      </c>
      <c r="O615">
        <v>1</v>
      </c>
      <c r="P615">
        <v>1.00188</v>
      </c>
      <c r="Q615">
        <v>1</v>
      </c>
      <c r="R615">
        <v>1</v>
      </c>
      <c r="S615">
        <v>1</v>
      </c>
      <c r="T615">
        <v>1.05</v>
      </c>
      <c r="U615">
        <v>1</v>
      </c>
      <c r="V615">
        <v>74.264</v>
      </c>
      <c r="W615">
        <v>29.747</v>
      </c>
      <c r="X615">
        <v>105.218</v>
      </c>
      <c r="Y615">
        <v>28.178</v>
      </c>
      <c r="Z615">
        <v>44.628</v>
      </c>
      <c r="AA615">
        <v>282.035</v>
      </c>
      <c r="AB615">
        <v>1.02657</v>
      </c>
      <c r="AC615">
        <v>274</v>
      </c>
      <c r="AD615">
        <v>0</v>
      </c>
      <c r="AG615">
        <v>61</v>
      </c>
      <c r="AH615">
        <v>45</v>
      </c>
      <c r="AI615">
        <v>110</v>
      </c>
      <c r="AJ615">
        <v>15</v>
      </c>
      <c r="AK615">
        <v>43</v>
      </c>
    </row>
    <row r="616" spans="1:37">
      <c r="A616" t="s">
        <v>1058</v>
      </c>
      <c r="B616" t="s">
        <v>1753</v>
      </c>
      <c r="C616">
        <v>36.7</v>
      </c>
      <c r="D616" t="s">
        <v>82</v>
      </c>
      <c r="E616">
        <v>10</v>
      </c>
      <c r="F616">
        <v>0</v>
      </c>
      <c r="G616">
        <v>0</v>
      </c>
      <c r="I616">
        <v>1.11478</v>
      </c>
      <c r="J616">
        <v>0.96348</v>
      </c>
      <c r="K616">
        <v>1.03089</v>
      </c>
      <c r="L616">
        <v>0.99396</v>
      </c>
      <c r="M616">
        <v>0.87604</v>
      </c>
      <c r="N616">
        <v>0.93884</v>
      </c>
      <c r="O616">
        <v>1</v>
      </c>
      <c r="P616">
        <v>1.00151</v>
      </c>
      <c r="Q616">
        <v>1</v>
      </c>
      <c r="R616">
        <v>1</v>
      </c>
      <c r="S616">
        <v>1</v>
      </c>
      <c r="T616">
        <v>1.02198</v>
      </c>
      <c r="U616">
        <v>1</v>
      </c>
      <c r="V616">
        <v>17.929</v>
      </c>
      <c r="W616">
        <v>13.13</v>
      </c>
      <c r="X616">
        <v>97.605</v>
      </c>
      <c r="Y616">
        <v>44.647</v>
      </c>
      <c r="Z616">
        <v>49.702</v>
      </c>
      <c r="AA616">
        <v>223.013</v>
      </c>
      <c r="AB616">
        <v>1.04951</v>
      </c>
      <c r="AC616">
        <v>215</v>
      </c>
      <c r="AD616">
        <v>0</v>
      </c>
      <c r="AG616">
        <v>22</v>
      </c>
      <c r="AH616">
        <v>14</v>
      </c>
      <c r="AI616">
        <v>96</v>
      </c>
      <c r="AJ616">
        <v>40</v>
      </c>
      <c r="AK616">
        <v>43</v>
      </c>
    </row>
    <row r="617" spans="1:37">
      <c r="A617" t="s">
        <v>1059</v>
      </c>
      <c r="B617" t="s">
        <v>1754</v>
      </c>
      <c r="C617">
        <v>36.2</v>
      </c>
      <c r="D617" t="s">
        <v>82</v>
      </c>
      <c r="E617">
        <v>11</v>
      </c>
      <c r="F617">
        <v>0</v>
      </c>
      <c r="G617">
        <v>0</v>
      </c>
      <c r="I617">
        <v>1.11497</v>
      </c>
      <c r="J617">
        <v>0.9644</v>
      </c>
      <c r="K617">
        <v>1.03089</v>
      </c>
      <c r="L617">
        <v>0.99515</v>
      </c>
      <c r="M617">
        <v>0.82352</v>
      </c>
      <c r="N617">
        <v>0.94646</v>
      </c>
      <c r="O617">
        <v>1</v>
      </c>
      <c r="P617">
        <v>1.00096</v>
      </c>
      <c r="Q617">
        <v>1</v>
      </c>
      <c r="R617">
        <v>1</v>
      </c>
      <c r="S617">
        <v>1</v>
      </c>
      <c r="T617">
        <v>1.02761</v>
      </c>
      <c r="U617">
        <v>1</v>
      </c>
      <c r="V617">
        <v>24.515</v>
      </c>
      <c r="W617">
        <v>20.679</v>
      </c>
      <c r="X617">
        <v>83.727</v>
      </c>
      <c r="Y617">
        <v>37.812</v>
      </c>
      <c r="Z617">
        <v>43.551</v>
      </c>
      <c r="AA617">
        <v>210.285</v>
      </c>
      <c r="AB617">
        <v>0.94318</v>
      </c>
      <c r="AC617">
        <v>208</v>
      </c>
      <c r="AD617">
        <v>0</v>
      </c>
      <c r="AG617">
        <v>24</v>
      </c>
      <c r="AH617">
        <v>19</v>
      </c>
      <c r="AI617">
        <v>90</v>
      </c>
      <c r="AJ617">
        <v>35</v>
      </c>
      <c r="AK617">
        <v>40</v>
      </c>
    </row>
    <row r="618" spans="1:37">
      <c r="A618" t="s">
        <v>453</v>
      </c>
      <c r="B618" t="s">
        <v>1751</v>
      </c>
      <c r="C618">
        <v>35.9</v>
      </c>
      <c r="D618" t="s">
        <v>82</v>
      </c>
      <c r="E618">
        <v>12</v>
      </c>
      <c r="F618">
        <v>0</v>
      </c>
      <c r="G618">
        <v>0</v>
      </c>
      <c r="I618">
        <v>1.11516</v>
      </c>
      <c r="J618">
        <v>0.97148</v>
      </c>
      <c r="K618">
        <v>1.03089</v>
      </c>
      <c r="L618">
        <v>0.9962299999999999</v>
      </c>
      <c r="M618">
        <v>0.9120200000000001</v>
      </c>
      <c r="N618">
        <v>0.97194</v>
      </c>
      <c r="O618">
        <v>1</v>
      </c>
      <c r="P618">
        <v>1.00049</v>
      </c>
      <c r="Q618">
        <v>1</v>
      </c>
      <c r="R618">
        <v>1</v>
      </c>
      <c r="S618">
        <v>1</v>
      </c>
      <c r="T618">
        <v>1.06667</v>
      </c>
      <c r="U618">
        <v>1</v>
      </c>
      <c r="V618">
        <v>86.57899999999999</v>
      </c>
      <c r="W618">
        <v>37.921</v>
      </c>
      <c r="X618">
        <v>60.413</v>
      </c>
      <c r="Y618">
        <v>14.336</v>
      </c>
      <c r="Z618">
        <v>35.797</v>
      </c>
      <c r="AA618">
        <v>235.047</v>
      </c>
      <c r="AB618">
        <v>0.97059</v>
      </c>
      <c r="AC618">
        <v>247</v>
      </c>
      <c r="AD618">
        <v>0</v>
      </c>
      <c r="AG618">
        <v>99</v>
      </c>
      <c r="AH618">
        <v>36</v>
      </c>
      <c r="AI618">
        <v>60</v>
      </c>
      <c r="AJ618">
        <v>18</v>
      </c>
      <c r="AK618">
        <v>34</v>
      </c>
    </row>
    <row r="619" spans="1:37">
      <c r="A619" t="s">
        <v>1060</v>
      </c>
      <c r="B619" t="s">
        <v>1751</v>
      </c>
      <c r="C619">
        <v>34.5</v>
      </c>
      <c r="D619" t="s">
        <v>82</v>
      </c>
      <c r="E619">
        <v>13</v>
      </c>
      <c r="F619">
        <v>0</v>
      </c>
      <c r="G619">
        <v>0</v>
      </c>
      <c r="I619">
        <v>1.11534</v>
      </c>
      <c r="J619">
        <v>0.95987</v>
      </c>
      <c r="K619">
        <v>1.03089</v>
      </c>
      <c r="L619">
        <v>0.9972</v>
      </c>
      <c r="M619">
        <v>0.88484</v>
      </c>
      <c r="N619">
        <v>0.97524</v>
      </c>
      <c r="O619">
        <v>1</v>
      </c>
      <c r="P619">
        <v>1.00033</v>
      </c>
      <c r="Q619">
        <v>1</v>
      </c>
      <c r="R619">
        <v>1</v>
      </c>
      <c r="S619">
        <v>1</v>
      </c>
      <c r="T619">
        <v>1.06551</v>
      </c>
      <c r="U619">
        <v>1</v>
      </c>
      <c r="V619">
        <v>81.595</v>
      </c>
      <c r="W619">
        <v>37.512</v>
      </c>
      <c r="X619">
        <v>59.328</v>
      </c>
      <c r="Y619">
        <v>13.156</v>
      </c>
      <c r="Z619">
        <v>34.793</v>
      </c>
      <c r="AA619">
        <v>226.384</v>
      </c>
      <c r="AB619">
        <v>0.97343</v>
      </c>
      <c r="AC619">
        <v>219</v>
      </c>
      <c r="AD619">
        <v>0</v>
      </c>
      <c r="AG619">
        <v>81</v>
      </c>
      <c r="AH619">
        <v>43</v>
      </c>
      <c r="AI619">
        <v>53</v>
      </c>
      <c r="AJ619">
        <v>10</v>
      </c>
      <c r="AK619">
        <v>32</v>
      </c>
    </row>
    <row r="620" spans="1:37">
      <c r="A620" t="s">
        <v>1061</v>
      </c>
      <c r="B620" t="s">
        <v>1751</v>
      </c>
      <c r="C620">
        <v>34.7</v>
      </c>
      <c r="D620" t="s">
        <v>82</v>
      </c>
      <c r="E620">
        <v>14</v>
      </c>
      <c r="F620">
        <v>0</v>
      </c>
      <c r="G620">
        <v>0</v>
      </c>
      <c r="I620">
        <v>1.11553</v>
      </c>
      <c r="J620">
        <v>0.95357</v>
      </c>
      <c r="K620">
        <v>1.03089</v>
      </c>
      <c r="L620">
        <v>0.99803</v>
      </c>
      <c r="M620">
        <v>0.90713</v>
      </c>
      <c r="N620">
        <v>0.97345</v>
      </c>
      <c r="O620">
        <v>1</v>
      </c>
      <c r="P620">
        <v>1.00022</v>
      </c>
      <c r="Q620">
        <v>1</v>
      </c>
      <c r="R620">
        <v>1</v>
      </c>
      <c r="S620">
        <v>1</v>
      </c>
      <c r="T620">
        <v>1.0643</v>
      </c>
      <c r="U620">
        <v>1</v>
      </c>
      <c r="V620">
        <v>81.17</v>
      </c>
      <c r="W620">
        <v>37.307</v>
      </c>
      <c r="X620">
        <v>62.536</v>
      </c>
      <c r="Y620">
        <v>14.252</v>
      </c>
      <c r="Z620">
        <v>35.453</v>
      </c>
      <c r="AA620">
        <v>230.718</v>
      </c>
      <c r="AB620">
        <v>0.9762</v>
      </c>
      <c r="AC620">
        <v>250</v>
      </c>
      <c r="AD620">
        <v>1</v>
      </c>
      <c r="AG620">
        <v>86</v>
      </c>
      <c r="AH620">
        <v>37</v>
      </c>
      <c r="AI620">
        <v>70</v>
      </c>
      <c r="AJ620">
        <v>18</v>
      </c>
      <c r="AK620">
        <v>39</v>
      </c>
    </row>
    <row r="621" spans="1:37">
      <c r="A621" t="s">
        <v>1062</v>
      </c>
      <c r="B621" t="s">
        <v>1751</v>
      </c>
      <c r="C621">
        <v>35.2</v>
      </c>
      <c r="D621" t="s">
        <v>82</v>
      </c>
      <c r="E621">
        <v>15</v>
      </c>
      <c r="F621">
        <v>0</v>
      </c>
      <c r="G621">
        <v>0</v>
      </c>
      <c r="I621">
        <v>1.11572</v>
      </c>
      <c r="J621">
        <v>0.95479</v>
      </c>
      <c r="K621">
        <v>1.03089</v>
      </c>
      <c r="L621">
        <v>0.99873</v>
      </c>
      <c r="M621">
        <v>0.9394</v>
      </c>
      <c r="N621">
        <v>0.96938</v>
      </c>
      <c r="O621">
        <v>1</v>
      </c>
      <c r="P621">
        <v>0.99756</v>
      </c>
      <c r="Q621">
        <v>1</v>
      </c>
      <c r="R621">
        <v>1</v>
      </c>
      <c r="S621">
        <v>1</v>
      </c>
      <c r="T621">
        <v>1.06156</v>
      </c>
      <c r="U621">
        <v>1</v>
      </c>
      <c r="V621">
        <v>79.654</v>
      </c>
      <c r="W621">
        <v>35.455</v>
      </c>
      <c r="X621">
        <v>69.35899999999999</v>
      </c>
      <c r="Y621">
        <v>16.536</v>
      </c>
      <c r="Z621">
        <v>37.551</v>
      </c>
      <c r="AA621">
        <v>238.555</v>
      </c>
      <c r="AB621">
        <v>0.9830100000000001</v>
      </c>
      <c r="AC621">
        <v>205</v>
      </c>
      <c r="AD621">
        <v>0</v>
      </c>
      <c r="AG621">
        <v>62</v>
      </c>
      <c r="AH621">
        <v>37</v>
      </c>
      <c r="AI621">
        <v>56</v>
      </c>
      <c r="AJ621">
        <v>16</v>
      </c>
      <c r="AK621">
        <v>34</v>
      </c>
    </row>
    <row r="622" spans="1:37">
      <c r="A622" t="s">
        <v>1063</v>
      </c>
      <c r="B622" t="s">
        <v>1752</v>
      </c>
      <c r="C622">
        <v>35.1</v>
      </c>
      <c r="D622" t="s">
        <v>82</v>
      </c>
      <c r="E622">
        <v>16</v>
      </c>
      <c r="F622">
        <v>0</v>
      </c>
      <c r="G622">
        <v>0</v>
      </c>
      <c r="I622">
        <v>1.1159</v>
      </c>
      <c r="J622">
        <v>0.95829</v>
      </c>
      <c r="K622">
        <v>1.03089</v>
      </c>
      <c r="L622">
        <v>0.9992799999999999</v>
      </c>
      <c r="M622">
        <v>1.11573</v>
      </c>
      <c r="N622">
        <v>0.95621</v>
      </c>
      <c r="O622">
        <v>1</v>
      </c>
      <c r="P622">
        <v>0.99439</v>
      </c>
      <c r="Q622">
        <v>1</v>
      </c>
      <c r="R622">
        <v>1</v>
      </c>
      <c r="S622">
        <v>1</v>
      </c>
      <c r="T622">
        <v>1.05105</v>
      </c>
      <c r="U622">
        <v>1</v>
      </c>
      <c r="V622">
        <v>75.04300000000001</v>
      </c>
      <c r="W622">
        <v>29.935</v>
      </c>
      <c r="X622">
        <v>106.099</v>
      </c>
      <c r="Y622">
        <v>28.4</v>
      </c>
      <c r="Z622">
        <v>44.491</v>
      </c>
      <c r="AA622">
        <v>283.967</v>
      </c>
      <c r="AB622">
        <v>0.99154</v>
      </c>
      <c r="AC622">
        <v>277</v>
      </c>
      <c r="AD622">
        <v>0</v>
      </c>
      <c r="AG622">
        <v>60</v>
      </c>
      <c r="AH622">
        <v>36</v>
      </c>
      <c r="AI622">
        <v>109</v>
      </c>
      <c r="AJ622">
        <v>31</v>
      </c>
      <c r="AK622">
        <v>41</v>
      </c>
    </row>
    <row r="623" spans="1:37">
      <c r="A623" t="s">
        <v>1064</v>
      </c>
      <c r="B623" t="s">
        <v>1753</v>
      </c>
      <c r="C623">
        <v>34.5</v>
      </c>
      <c r="D623" t="s">
        <v>82</v>
      </c>
      <c r="E623">
        <v>17</v>
      </c>
      <c r="F623">
        <v>0</v>
      </c>
      <c r="G623">
        <v>0</v>
      </c>
      <c r="I623">
        <v>1.11609</v>
      </c>
      <c r="J623">
        <v>0.95599</v>
      </c>
      <c r="K623">
        <v>1.03089</v>
      </c>
      <c r="L623">
        <v>0.99968</v>
      </c>
      <c r="M623">
        <v>0.87727</v>
      </c>
      <c r="N623">
        <v>0.94875</v>
      </c>
      <c r="O623">
        <v>1</v>
      </c>
      <c r="P623">
        <v>0.9898</v>
      </c>
      <c r="Q623">
        <v>1</v>
      </c>
      <c r="R623">
        <v>1</v>
      </c>
      <c r="S623">
        <v>1</v>
      </c>
      <c r="T623">
        <v>1.02298</v>
      </c>
      <c r="U623">
        <v>1</v>
      </c>
      <c r="V623">
        <v>17.897</v>
      </c>
      <c r="W623">
        <v>13.05</v>
      </c>
      <c r="X623">
        <v>99.054</v>
      </c>
      <c r="Y623">
        <v>44.974</v>
      </c>
      <c r="Z623">
        <v>47.73</v>
      </c>
      <c r="AA623">
        <v>222.704</v>
      </c>
      <c r="AB623">
        <v>1.04299</v>
      </c>
      <c r="AC623">
        <v>220</v>
      </c>
      <c r="AD623">
        <v>0</v>
      </c>
      <c r="AG623">
        <v>16</v>
      </c>
      <c r="AH623">
        <v>13</v>
      </c>
      <c r="AI623">
        <v>100</v>
      </c>
      <c r="AJ623">
        <v>47</v>
      </c>
      <c r="AK623">
        <v>44</v>
      </c>
    </row>
    <row r="624" spans="1:37">
      <c r="A624" t="s">
        <v>1065</v>
      </c>
      <c r="B624" t="s">
        <v>1754</v>
      </c>
      <c r="C624">
        <v>34.1</v>
      </c>
      <c r="D624" t="s">
        <v>82</v>
      </c>
      <c r="E624">
        <v>18</v>
      </c>
      <c r="F624">
        <v>0</v>
      </c>
      <c r="G624">
        <v>0</v>
      </c>
      <c r="I624">
        <v>1.11628</v>
      </c>
      <c r="J624">
        <v>0.95979</v>
      </c>
      <c r="K624">
        <v>1.03089</v>
      </c>
      <c r="L624">
        <v>0.99992</v>
      </c>
      <c r="M624">
        <v>0.82407</v>
      </c>
      <c r="N624">
        <v>0.95623</v>
      </c>
      <c r="O624">
        <v>1</v>
      </c>
      <c r="P624">
        <v>0.987</v>
      </c>
      <c r="Q624">
        <v>1</v>
      </c>
      <c r="R624">
        <v>1</v>
      </c>
      <c r="S624">
        <v>1</v>
      </c>
      <c r="T624">
        <v>1.02861</v>
      </c>
      <c r="U624">
        <v>1</v>
      </c>
      <c r="V624">
        <v>24.49</v>
      </c>
      <c r="W624">
        <v>20.561</v>
      </c>
      <c r="X624">
        <v>84.961</v>
      </c>
      <c r="Y624">
        <v>38.06</v>
      </c>
      <c r="Z624">
        <v>41.818</v>
      </c>
      <c r="AA624">
        <v>209.89</v>
      </c>
      <c r="AB624">
        <v>1.00027</v>
      </c>
      <c r="AC624">
        <v>231</v>
      </c>
      <c r="AD624">
        <v>0</v>
      </c>
      <c r="AG624">
        <v>27</v>
      </c>
      <c r="AH624">
        <v>18</v>
      </c>
      <c r="AI624">
        <v>94</v>
      </c>
      <c r="AJ624">
        <v>38</v>
      </c>
      <c r="AK624">
        <v>54</v>
      </c>
    </row>
    <row r="625" spans="1:37">
      <c r="A625" t="s">
        <v>454</v>
      </c>
      <c r="B625" t="s">
        <v>1751</v>
      </c>
      <c r="C625">
        <v>34.8</v>
      </c>
      <c r="D625" t="s">
        <v>82</v>
      </c>
      <c r="E625">
        <v>19</v>
      </c>
      <c r="F625">
        <v>0</v>
      </c>
      <c r="G625">
        <v>0</v>
      </c>
      <c r="I625">
        <v>1.11647</v>
      </c>
      <c r="J625">
        <v>0.97254</v>
      </c>
      <c r="K625">
        <v>1.03089</v>
      </c>
      <c r="L625">
        <v>1</v>
      </c>
      <c r="M625">
        <v>0.91212</v>
      </c>
      <c r="N625">
        <v>0.97523</v>
      </c>
      <c r="O625">
        <v>1</v>
      </c>
      <c r="P625">
        <v>0.9876200000000001</v>
      </c>
      <c r="Q625">
        <v>1</v>
      </c>
      <c r="R625">
        <v>1</v>
      </c>
      <c r="S625">
        <v>1</v>
      </c>
      <c r="T625">
        <v>1.06786</v>
      </c>
      <c r="U625">
        <v>1</v>
      </c>
      <c r="V625">
        <v>86.794</v>
      </c>
      <c r="W625">
        <v>37.823</v>
      </c>
      <c r="X625">
        <v>60.572</v>
      </c>
      <c r="Y625">
        <v>14.317</v>
      </c>
      <c r="Z625">
        <v>34.851</v>
      </c>
      <c r="AA625">
        <v>234.357</v>
      </c>
      <c r="AB625">
        <v>1.03391</v>
      </c>
      <c r="AC625">
        <v>256</v>
      </c>
      <c r="AD625">
        <v>0</v>
      </c>
      <c r="AG625">
        <v>109</v>
      </c>
      <c r="AH625">
        <v>28</v>
      </c>
      <c r="AI625">
        <v>69</v>
      </c>
      <c r="AJ625">
        <v>11</v>
      </c>
      <c r="AK625">
        <v>39</v>
      </c>
    </row>
    <row r="626" spans="1:37">
      <c r="A626" t="s">
        <v>1066</v>
      </c>
      <c r="B626" t="s">
        <v>1751</v>
      </c>
      <c r="C626">
        <v>32</v>
      </c>
      <c r="D626" t="s">
        <v>82</v>
      </c>
      <c r="E626">
        <v>20</v>
      </c>
      <c r="F626">
        <v>0</v>
      </c>
      <c r="G626">
        <v>0</v>
      </c>
      <c r="I626">
        <v>1.11665</v>
      </c>
      <c r="J626">
        <v>0.96283</v>
      </c>
      <c r="K626">
        <v>1.03089</v>
      </c>
      <c r="L626">
        <v>1.00003</v>
      </c>
      <c r="M626">
        <v>0.88341</v>
      </c>
      <c r="N626">
        <v>0.98546</v>
      </c>
      <c r="O626">
        <v>1</v>
      </c>
      <c r="P626">
        <v>0.98499</v>
      </c>
      <c r="Q626">
        <v>1</v>
      </c>
      <c r="R626">
        <v>1</v>
      </c>
      <c r="S626">
        <v>1</v>
      </c>
      <c r="T626">
        <v>1.06644</v>
      </c>
      <c r="U626">
        <v>1</v>
      </c>
      <c r="V626">
        <v>81.77500000000001</v>
      </c>
      <c r="W626">
        <v>37.387</v>
      </c>
      <c r="X626">
        <v>61.263</v>
      </c>
      <c r="Y626">
        <v>13.392</v>
      </c>
      <c r="Z626">
        <v>33.18</v>
      </c>
      <c r="AA626">
        <v>226.997</v>
      </c>
      <c r="AB626">
        <v>0.94682</v>
      </c>
      <c r="AC626">
        <v>210</v>
      </c>
      <c r="AD626">
        <v>0</v>
      </c>
      <c r="AG626">
        <v>80</v>
      </c>
      <c r="AH626">
        <v>36</v>
      </c>
      <c r="AI626">
        <v>62</v>
      </c>
      <c r="AJ626">
        <v>9</v>
      </c>
      <c r="AK626">
        <v>23</v>
      </c>
    </row>
    <row r="627" spans="1:37">
      <c r="A627" t="s">
        <v>1067</v>
      </c>
      <c r="B627" t="s">
        <v>1751</v>
      </c>
      <c r="C627">
        <v>34.1</v>
      </c>
      <c r="D627" t="s">
        <v>82</v>
      </c>
      <c r="E627">
        <v>21</v>
      </c>
      <c r="F627">
        <v>0</v>
      </c>
      <c r="G627">
        <v>0</v>
      </c>
      <c r="I627">
        <v>1.11684</v>
      </c>
      <c r="J627">
        <v>0.96267</v>
      </c>
      <c r="K627">
        <v>1.03089</v>
      </c>
      <c r="L627">
        <v>1.0001</v>
      </c>
      <c r="M627">
        <v>0.9075</v>
      </c>
      <c r="N627">
        <v>0.9762</v>
      </c>
      <c r="O627">
        <v>1</v>
      </c>
      <c r="P627">
        <v>0.98234</v>
      </c>
      <c r="Q627">
        <v>1</v>
      </c>
      <c r="R627">
        <v>1</v>
      </c>
      <c r="S627">
        <v>1</v>
      </c>
      <c r="T627">
        <v>1.06561</v>
      </c>
      <c r="U627">
        <v>1</v>
      </c>
      <c r="V627">
        <v>81.702</v>
      </c>
      <c r="W627">
        <v>37.325</v>
      </c>
      <c r="X627">
        <v>62.363</v>
      </c>
      <c r="Y627">
        <v>14.173</v>
      </c>
      <c r="Z627">
        <v>34.707</v>
      </c>
      <c r="AA627">
        <v>230.27</v>
      </c>
      <c r="AB627">
        <v>1.00472</v>
      </c>
      <c r="AC627">
        <v>247</v>
      </c>
      <c r="AD627">
        <v>1</v>
      </c>
      <c r="AG627">
        <v>89</v>
      </c>
      <c r="AH627">
        <v>41</v>
      </c>
      <c r="AI627">
        <v>62</v>
      </c>
      <c r="AJ627">
        <v>21</v>
      </c>
      <c r="AK627">
        <v>34</v>
      </c>
    </row>
    <row r="628" spans="1:37">
      <c r="A628" t="s">
        <v>1068</v>
      </c>
      <c r="B628" t="s">
        <v>1751</v>
      </c>
      <c r="C628">
        <v>34.9</v>
      </c>
      <c r="D628" t="s">
        <v>82</v>
      </c>
      <c r="E628">
        <v>22</v>
      </c>
      <c r="F628">
        <v>0</v>
      </c>
      <c r="G628">
        <v>0</v>
      </c>
      <c r="I628">
        <v>1.11703</v>
      </c>
      <c r="J628">
        <v>0.97972</v>
      </c>
      <c r="K628">
        <v>1.03089</v>
      </c>
      <c r="L628">
        <v>1.00023</v>
      </c>
      <c r="M628">
        <v>0.93958</v>
      </c>
      <c r="N628">
        <v>0.97114</v>
      </c>
      <c r="O628">
        <v>1</v>
      </c>
      <c r="P628">
        <v>0.97923</v>
      </c>
      <c r="Q628">
        <v>1</v>
      </c>
      <c r="R628">
        <v>1</v>
      </c>
      <c r="S628">
        <v>1</v>
      </c>
      <c r="T628">
        <v>1.06289</v>
      </c>
      <c r="U628">
        <v>1</v>
      </c>
      <c r="V628">
        <v>81.43000000000001</v>
      </c>
      <c r="W628">
        <v>36.034</v>
      </c>
      <c r="X628">
        <v>69.898</v>
      </c>
      <c r="Y628">
        <v>16.642</v>
      </c>
      <c r="Z628">
        <v>37.484</v>
      </c>
      <c r="AA628">
        <v>241.488</v>
      </c>
      <c r="AB628">
        <v>1.04353</v>
      </c>
      <c r="AC628">
        <v>249</v>
      </c>
      <c r="AD628">
        <v>0</v>
      </c>
      <c r="AG628">
        <v>81</v>
      </c>
      <c r="AH628">
        <v>42</v>
      </c>
      <c r="AI628">
        <v>65</v>
      </c>
      <c r="AJ628">
        <v>24</v>
      </c>
      <c r="AK628">
        <v>37</v>
      </c>
    </row>
    <row r="629" spans="1:37">
      <c r="A629" t="s">
        <v>1069</v>
      </c>
      <c r="B629" t="s">
        <v>1752</v>
      </c>
      <c r="C629">
        <v>34.7</v>
      </c>
      <c r="D629" t="s">
        <v>82</v>
      </c>
      <c r="E629">
        <v>23</v>
      </c>
      <c r="F629">
        <v>0</v>
      </c>
      <c r="G629">
        <v>0</v>
      </c>
      <c r="I629">
        <v>1.11721</v>
      </c>
      <c r="J629">
        <v>0.97217</v>
      </c>
      <c r="K629">
        <v>1.03089</v>
      </c>
      <c r="L629">
        <v>1.00042</v>
      </c>
      <c r="M629">
        <v>1.1145</v>
      </c>
      <c r="N629">
        <v>0.95872</v>
      </c>
      <c r="O629">
        <v>1</v>
      </c>
      <c r="P629">
        <v>0.97424</v>
      </c>
      <c r="Q629">
        <v>1</v>
      </c>
      <c r="R629">
        <v>1</v>
      </c>
      <c r="S629">
        <v>1</v>
      </c>
      <c r="T629">
        <v>1.0523</v>
      </c>
      <c r="U629">
        <v>1</v>
      </c>
      <c r="V629">
        <v>75.806</v>
      </c>
      <c r="W629">
        <v>30.068</v>
      </c>
      <c r="X629">
        <v>105.798</v>
      </c>
      <c r="Y629">
        <v>28.266</v>
      </c>
      <c r="Z629">
        <v>43.836</v>
      </c>
      <c r="AA629">
        <v>283.774</v>
      </c>
      <c r="AB629">
        <v>1.06756</v>
      </c>
      <c r="AC629">
        <v>311</v>
      </c>
      <c r="AD629">
        <v>0</v>
      </c>
      <c r="AG629">
        <v>96</v>
      </c>
      <c r="AH629">
        <v>27</v>
      </c>
      <c r="AI629">
        <v>114</v>
      </c>
      <c r="AJ629">
        <v>34</v>
      </c>
      <c r="AK629">
        <v>40</v>
      </c>
    </row>
    <row r="630" spans="1:37">
      <c r="A630" t="s">
        <v>1070</v>
      </c>
      <c r="B630" t="s">
        <v>1753</v>
      </c>
      <c r="C630">
        <v>34.3</v>
      </c>
      <c r="D630" t="s">
        <v>82</v>
      </c>
      <c r="E630">
        <v>24</v>
      </c>
      <c r="F630">
        <v>0</v>
      </c>
      <c r="G630">
        <v>0</v>
      </c>
      <c r="I630">
        <v>1.1174</v>
      </c>
      <c r="J630">
        <v>0.97741</v>
      </c>
      <c r="K630">
        <v>1.03089</v>
      </c>
      <c r="L630">
        <v>1.00065</v>
      </c>
      <c r="M630">
        <v>0.87276</v>
      </c>
      <c r="N630">
        <v>0.9506599999999999</v>
      </c>
      <c r="O630">
        <v>1</v>
      </c>
      <c r="P630">
        <v>0.96569</v>
      </c>
      <c r="Q630">
        <v>1</v>
      </c>
      <c r="R630">
        <v>1</v>
      </c>
      <c r="S630">
        <v>1</v>
      </c>
      <c r="T630">
        <v>1.02392</v>
      </c>
      <c r="U630">
        <v>1</v>
      </c>
      <c r="V630">
        <v>18.214</v>
      </c>
      <c r="W630">
        <v>13.207</v>
      </c>
      <c r="X630">
        <v>99.273</v>
      </c>
      <c r="Y630">
        <v>45.02</v>
      </c>
      <c r="Z630">
        <v>47.501</v>
      </c>
      <c r="AA630">
        <v>223.216</v>
      </c>
      <c r="AB630">
        <v>0.98368</v>
      </c>
      <c r="AC630">
        <v>218</v>
      </c>
      <c r="AD630">
        <v>0</v>
      </c>
      <c r="AG630">
        <v>23</v>
      </c>
      <c r="AH630">
        <v>12</v>
      </c>
      <c r="AI630">
        <v>88</v>
      </c>
      <c r="AJ630">
        <v>44</v>
      </c>
      <c r="AK630">
        <v>51</v>
      </c>
    </row>
    <row r="631" spans="1:37">
      <c r="A631" t="s">
        <v>1071</v>
      </c>
      <c r="B631" t="s">
        <v>1754</v>
      </c>
      <c r="C631">
        <v>34.4</v>
      </c>
      <c r="D631" t="s">
        <v>82</v>
      </c>
      <c r="E631">
        <v>25</v>
      </c>
      <c r="F631">
        <v>0</v>
      </c>
      <c r="G631">
        <v>0</v>
      </c>
      <c r="I631">
        <v>1.11759</v>
      </c>
      <c r="J631">
        <v>0.9726</v>
      </c>
      <c r="K631">
        <v>1.03089</v>
      </c>
      <c r="L631">
        <v>1.00092</v>
      </c>
      <c r="M631">
        <v>0.83019</v>
      </c>
      <c r="N631">
        <v>0.9543199999999999</v>
      </c>
      <c r="O631">
        <v>1</v>
      </c>
      <c r="P631">
        <v>0.96395</v>
      </c>
      <c r="Q631">
        <v>1</v>
      </c>
      <c r="R631">
        <v>1</v>
      </c>
      <c r="S631">
        <v>1.06091</v>
      </c>
      <c r="T631">
        <v>1.02868</v>
      </c>
      <c r="U631">
        <v>1</v>
      </c>
      <c r="V631">
        <v>24.701</v>
      </c>
      <c r="W631">
        <v>22.275</v>
      </c>
      <c r="X631">
        <v>90.452</v>
      </c>
      <c r="Y631">
        <v>39.816</v>
      </c>
      <c r="Z631">
        <v>43.581</v>
      </c>
      <c r="AA631">
        <v>220.824</v>
      </c>
      <c r="AB631">
        <v>1.09529</v>
      </c>
      <c r="AC631">
        <v>239</v>
      </c>
      <c r="AD631">
        <v>0</v>
      </c>
      <c r="AG631">
        <v>29</v>
      </c>
      <c r="AH631">
        <v>26</v>
      </c>
      <c r="AI631">
        <v>110</v>
      </c>
      <c r="AJ631">
        <v>33</v>
      </c>
      <c r="AK631">
        <v>41</v>
      </c>
    </row>
    <row r="632" spans="1:37">
      <c r="A632" t="s">
        <v>455</v>
      </c>
      <c r="B632" t="s">
        <v>1751</v>
      </c>
      <c r="C632">
        <v>36</v>
      </c>
      <c r="D632" t="s">
        <v>82</v>
      </c>
      <c r="E632">
        <v>26</v>
      </c>
      <c r="F632">
        <v>0</v>
      </c>
      <c r="G632">
        <v>0</v>
      </c>
      <c r="I632">
        <v>1.11777</v>
      </c>
      <c r="J632">
        <v>0.97776</v>
      </c>
      <c r="K632">
        <v>1.03089</v>
      </c>
      <c r="L632">
        <v>1.00124</v>
      </c>
      <c r="M632">
        <v>0.90569</v>
      </c>
      <c r="N632">
        <v>0.9688</v>
      </c>
      <c r="O632">
        <v>1</v>
      </c>
      <c r="P632">
        <v>0.96933</v>
      </c>
      <c r="Q632">
        <v>1</v>
      </c>
      <c r="R632">
        <v>1.03629</v>
      </c>
      <c r="S632">
        <v>1.04545</v>
      </c>
      <c r="T632">
        <v>1.0649</v>
      </c>
      <c r="U632">
        <v>1</v>
      </c>
      <c r="V632">
        <v>86.863</v>
      </c>
      <c r="W632">
        <v>40.662</v>
      </c>
      <c r="X632">
        <v>70.98399999999999</v>
      </c>
      <c r="Y632">
        <v>15.946</v>
      </c>
      <c r="Z632">
        <v>36.441</v>
      </c>
      <c r="AA632">
        <v>250.896</v>
      </c>
      <c r="AB632">
        <v>0.94486</v>
      </c>
      <c r="AC632">
        <v>236</v>
      </c>
      <c r="AD632">
        <v>1</v>
      </c>
      <c r="AG632">
        <v>72</v>
      </c>
      <c r="AH632">
        <v>42</v>
      </c>
      <c r="AI632">
        <v>65</v>
      </c>
      <c r="AJ632">
        <v>16</v>
      </c>
      <c r="AK632">
        <v>41</v>
      </c>
    </row>
    <row r="633" spans="1:37">
      <c r="A633" t="s">
        <v>1072</v>
      </c>
      <c r="B633" t="s">
        <v>1755</v>
      </c>
      <c r="C633">
        <v>35.3</v>
      </c>
      <c r="D633" t="s">
        <v>82</v>
      </c>
      <c r="E633">
        <v>27</v>
      </c>
      <c r="F633">
        <v>0</v>
      </c>
      <c r="G633">
        <v>0</v>
      </c>
      <c r="I633">
        <v>1.11796</v>
      </c>
      <c r="J633">
        <v>0.97131</v>
      </c>
      <c r="K633">
        <v>1.03089</v>
      </c>
      <c r="L633">
        <v>1.0016</v>
      </c>
      <c r="M633">
        <v>0.89158</v>
      </c>
      <c r="N633">
        <v>0.94128</v>
      </c>
      <c r="O633">
        <v>1</v>
      </c>
      <c r="P633">
        <v>0.95918</v>
      </c>
      <c r="Q633">
        <v>1</v>
      </c>
      <c r="R633">
        <v>1.1462</v>
      </c>
      <c r="S633">
        <v>1.0619</v>
      </c>
      <c r="T633">
        <v>1.02701</v>
      </c>
      <c r="U633">
        <v>1</v>
      </c>
      <c r="V633">
        <v>24.67</v>
      </c>
      <c r="W633">
        <v>13.339</v>
      </c>
      <c r="X633">
        <v>115.75</v>
      </c>
      <c r="Y633">
        <v>49.174</v>
      </c>
      <c r="Z633">
        <v>48.28</v>
      </c>
      <c r="AA633">
        <v>251.212</v>
      </c>
      <c r="AB633">
        <v>0.91177</v>
      </c>
      <c r="AC633">
        <v>236</v>
      </c>
      <c r="AD633">
        <v>0</v>
      </c>
      <c r="AG633">
        <v>22</v>
      </c>
      <c r="AH633">
        <v>12</v>
      </c>
      <c r="AI633">
        <v>111</v>
      </c>
      <c r="AJ633">
        <v>45</v>
      </c>
      <c r="AK633">
        <v>46</v>
      </c>
    </row>
    <row r="634" spans="1:37">
      <c r="A634" t="s">
        <v>1073</v>
      </c>
      <c r="B634" t="s">
        <v>1751</v>
      </c>
      <c r="C634">
        <v>33.2</v>
      </c>
      <c r="D634" t="s">
        <v>82</v>
      </c>
      <c r="E634">
        <v>28</v>
      </c>
      <c r="F634">
        <v>0</v>
      </c>
      <c r="G634">
        <v>0</v>
      </c>
      <c r="I634">
        <v>1.11815</v>
      </c>
      <c r="J634">
        <v>0.9736</v>
      </c>
      <c r="K634">
        <v>1.03089</v>
      </c>
      <c r="L634">
        <v>1.002</v>
      </c>
      <c r="M634">
        <v>0.90567</v>
      </c>
      <c r="N634">
        <v>0.97868</v>
      </c>
      <c r="O634">
        <v>1</v>
      </c>
      <c r="P634">
        <v>0.96928</v>
      </c>
      <c r="Q634">
        <v>1</v>
      </c>
      <c r="R634">
        <v>1</v>
      </c>
      <c r="S634">
        <v>1.04584</v>
      </c>
      <c r="T634">
        <v>1.06416</v>
      </c>
      <c r="U634">
        <v>1</v>
      </c>
      <c r="V634">
        <v>82.47799999999999</v>
      </c>
      <c r="W634">
        <v>40.544</v>
      </c>
      <c r="X634">
        <v>68.133</v>
      </c>
      <c r="Y634">
        <v>15.117</v>
      </c>
      <c r="Z634">
        <v>35.86</v>
      </c>
      <c r="AA634">
        <v>242.132</v>
      </c>
      <c r="AB634">
        <v>1.06058</v>
      </c>
      <c r="AC634">
        <v>269</v>
      </c>
      <c r="AD634">
        <v>1</v>
      </c>
      <c r="AG634">
        <v>95</v>
      </c>
      <c r="AH634">
        <v>43</v>
      </c>
      <c r="AI634">
        <v>77</v>
      </c>
      <c r="AJ634">
        <v>20</v>
      </c>
      <c r="AK634">
        <v>34</v>
      </c>
    </row>
    <row r="635" spans="1:37">
      <c r="A635" t="s">
        <v>1074</v>
      </c>
      <c r="B635" t="s">
        <v>1751</v>
      </c>
      <c r="C635">
        <v>30.5</v>
      </c>
      <c r="D635" t="s">
        <v>82</v>
      </c>
      <c r="E635">
        <v>29</v>
      </c>
      <c r="F635">
        <v>0</v>
      </c>
      <c r="G635">
        <v>0</v>
      </c>
      <c r="I635">
        <v>1.11834</v>
      </c>
      <c r="J635">
        <v>0.96527</v>
      </c>
      <c r="K635">
        <v>1.03089</v>
      </c>
      <c r="L635">
        <v>1.00243</v>
      </c>
      <c r="M635">
        <v>0.9384400000000001</v>
      </c>
      <c r="N635">
        <v>0.99256</v>
      </c>
      <c r="O635">
        <v>1</v>
      </c>
      <c r="P635">
        <v>0.96853</v>
      </c>
      <c r="Q635">
        <v>1</v>
      </c>
      <c r="R635">
        <v>1</v>
      </c>
      <c r="S635">
        <v>1</v>
      </c>
      <c r="T635">
        <v>1.06304</v>
      </c>
      <c r="U635">
        <v>1</v>
      </c>
      <c r="V635">
        <v>80.191</v>
      </c>
      <c r="W635">
        <v>35.384</v>
      </c>
      <c r="X635">
        <v>74.254</v>
      </c>
      <c r="Y635">
        <v>17.199</v>
      </c>
      <c r="Z635">
        <v>34.496</v>
      </c>
      <c r="AA635">
        <v>241.524</v>
      </c>
      <c r="AB635">
        <v>1.05752</v>
      </c>
      <c r="AC635">
        <v>257</v>
      </c>
      <c r="AD635">
        <v>0</v>
      </c>
      <c r="AG635">
        <v>81</v>
      </c>
      <c r="AH635">
        <v>44</v>
      </c>
      <c r="AI635">
        <v>89</v>
      </c>
      <c r="AJ635">
        <v>18</v>
      </c>
      <c r="AK635">
        <v>25</v>
      </c>
    </row>
    <row r="636" spans="1:37">
      <c r="A636" t="s">
        <v>1075</v>
      </c>
      <c r="B636" t="s">
        <v>1752</v>
      </c>
      <c r="C636">
        <v>32</v>
      </c>
      <c r="D636" t="s">
        <v>82</v>
      </c>
      <c r="E636">
        <v>0</v>
      </c>
      <c r="F636">
        <v>0</v>
      </c>
      <c r="G636">
        <v>0</v>
      </c>
      <c r="I636">
        <v>1.11852</v>
      </c>
      <c r="J636">
        <v>0.97673</v>
      </c>
      <c r="K636">
        <v>1.03089</v>
      </c>
      <c r="L636">
        <v>1.00288</v>
      </c>
      <c r="M636">
        <v>1.12738</v>
      </c>
      <c r="N636">
        <v>0.97404</v>
      </c>
      <c r="O636">
        <v>1</v>
      </c>
      <c r="P636">
        <v>1.06906</v>
      </c>
      <c r="Q636">
        <v>1</v>
      </c>
      <c r="R636">
        <v>1</v>
      </c>
      <c r="S636">
        <v>1</v>
      </c>
      <c r="T636">
        <v>1.05023</v>
      </c>
      <c r="U636">
        <v>1</v>
      </c>
      <c r="V636">
        <v>79.358</v>
      </c>
      <c r="W636">
        <v>32.257</v>
      </c>
      <c r="X636">
        <v>126.426</v>
      </c>
      <c r="Y636">
        <v>33.25</v>
      </c>
      <c r="Z636">
        <v>48.199</v>
      </c>
      <c r="AA636">
        <v>319.49</v>
      </c>
      <c r="AB636">
        <v>0.94229</v>
      </c>
      <c r="AC636">
        <v>275</v>
      </c>
      <c r="AD636">
        <v>0</v>
      </c>
      <c r="AG636">
        <v>64</v>
      </c>
      <c r="AH636">
        <v>28</v>
      </c>
      <c r="AI636">
        <v>116</v>
      </c>
      <c r="AJ636">
        <v>31</v>
      </c>
      <c r="AK636">
        <v>36</v>
      </c>
    </row>
    <row r="637" spans="1:37">
      <c r="A637" t="s">
        <v>1076</v>
      </c>
      <c r="B637" t="s">
        <v>1753</v>
      </c>
      <c r="C637">
        <v>32.6</v>
      </c>
      <c r="D637" t="s">
        <v>82</v>
      </c>
      <c r="E637">
        <v>1</v>
      </c>
      <c r="F637">
        <v>0</v>
      </c>
      <c r="G637">
        <v>0</v>
      </c>
      <c r="I637">
        <v>1.11871</v>
      </c>
      <c r="J637">
        <v>0.98392</v>
      </c>
      <c r="K637">
        <v>1.03089</v>
      </c>
      <c r="L637">
        <v>1.00336</v>
      </c>
      <c r="M637">
        <v>0.89561</v>
      </c>
      <c r="N637">
        <v>0.96295</v>
      </c>
      <c r="O637">
        <v>1</v>
      </c>
      <c r="P637">
        <v>1.05527</v>
      </c>
      <c r="Q637">
        <v>1</v>
      </c>
      <c r="R637">
        <v>1</v>
      </c>
      <c r="S637">
        <v>1</v>
      </c>
      <c r="T637">
        <v>1.02388</v>
      </c>
      <c r="U637">
        <v>1</v>
      </c>
      <c r="V637">
        <v>18.964</v>
      </c>
      <c r="W637">
        <v>14.025</v>
      </c>
      <c r="X637">
        <v>113.992</v>
      </c>
      <c r="Y637">
        <v>51.182</v>
      </c>
      <c r="Z637">
        <v>51.772</v>
      </c>
      <c r="AA637">
        <v>249.936</v>
      </c>
      <c r="AB637">
        <v>0.99188</v>
      </c>
      <c r="AC637">
        <v>249</v>
      </c>
      <c r="AD637">
        <v>0</v>
      </c>
      <c r="AG637">
        <v>24</v>
      </c>
      <c r="AH637">
        <v>13</v>
      </c>
      <c r="AI637">
        <v>115</v>
      </c>
      <c r="AJ637">
        <v>53</v>
      </c>
      <c r="AK637">
        <v>44</v>
      </c>
    </row>
    <row r="638" spans="1:37">
      <c r="A638" t="s">
        <v>1077</v>
      </c>
      <c r="B638" t="s">
        <v>1754</v>
      </c>
      <c r="C638">
        <v>31.2</v>
      </c>
      <c r="D638" t="s">
        <v>82</v>
      </c>
      <c r="E638">
        <v>2</v>
      </c>
      <c r="F638">
        <v>0</v>
      </c>
      <c r="G638">
        <v>0</v>
      </c>
      <c r="I638">
        <v>1.1189</v>
      </c>
      <c r="J638">
        <v>0.97971</v>
      </c>
      <c r="K638">
        <v>1.03089</v>
      </c>
      <c r="L638">
        <v>1.00385</v>
      </c>
      <c r="M638">
        <v>0.83857</v>
      </c>
      <c r="N638">
        <v>0.97983</v>
      </c>
      <c r="O638">
        <v>1</v>
      </c>
      <c r="P638">
        <v>1.03532</v>
      </c>
      <c r="Q638">
        <v>1</v>
      </c>
      <c r="R638">
        <v>1</v>
      </c>
      <c r="S638">
        <v>1</v>
      </c>
      <c r="T638">
        <v>1.0293</v>
      </c>
      <c r="U638">
        <v>1</v>
      </c>
      <c r="V638">
        <v>25.617</v>
      </c>
      <c r="W638">
        <v>21.751</v>
      </c>
      <c r="X638">
        <v>97.929</v>
      </c>
      <c r="Y638">
        <v>43.047</v>
      </c>
      <c r="Z638">
        <v>43.746</v>
      </c>
      <c r="AA638">
        <v>232.09</v>
      </c>
      <c r="AB638">
        <v>1.01465</v>
      </c>
      <c r="AC638">
        <v>236</v>
      </c>
      <c r="AD638">
        <v>0</v>
      </c>
      <c r="AG638">
        <v>21</v>
      </c>
      <c r="AH638">
        <v>20</v>
      </c>
      <c r="AI638">
        <v>102</v>
      </c>
      <c r="AJ638">
        <v>50</v>
      </c>
      <c r="AK638">
        <v>43</v>
      </c>
    </row>
    <row r="639" spans="1:37">
      <c r="A639" t="s">
        <v>456</v>
      </c>
      <c r="B639" t="s">
        <v>1751</v>
      </c>
      <c r="C639">
        <v>32.2</v>
      </c>
      <c r="D639" t="s">
        <v>82</v>
      </c>
      <c r="E639">
        <v>3</v>
      </c>
      <c r="F639">
        <v>0</v>
      </c>
      <c r="G639">
        <v>0</v>
      </c>
      <c r="I639">
        <v>1.11908</v>
      </c>
      <c r="J639">
        <v>0.96997</v>
      </c>
      <c r="K639">
        <v>1.03089</v>
      </c>
      <c r="L639">
        <v>1.00436</v>
      </c>
      <c r="M639">
        <v>0.90832</v>
      </c>
      <c r="N639">
        <v>0.98432</v>
      </c>
      <c r="O639">
        <v>1</v>
      </c>
      <c r="P639">
        <v>1.01803</v>
      </c>
      <c r="Q639">
        <v>1</v>
      </c>
      <c r="R639">
        <v>1</v>
      </c>
      <c r="S639">
        <v>1</v>
      </c>
      <c r="T639">
        <v>1.06782</v>
      </c>
      <c r="U639">
        <v>1</v>
      </c>
      <c r="V639">
        <v>88.483</v>
      </c>
      <c r="W639">
        <v>38.928</v>
      </c>
      <c r="X639">
        <v>66.776</v>
      </c>
      <c r="Y639">
        <v>15.545</v>
      </c>
      <c r="Z639">
        <v>35.464</v>
      </c>
      <c r="AA639">
        <v>245.197</v>
      </c>
      <c r="AB639">
        <v>1.04173</v>
      </c>
      <c r="AC639">
        <v>245</v>
      </c>
      <c r="AD639">
        <v>0</v>
      </c>
      <c r="AG639">
        <v>100</v>
      </c>
      <c r="AH639">
        <v>40</v>
      </c>
      <c r="AI639">
        <v>69</v>
      </c>
      <c r="AJ639">
        <v>15</v>
      </c>
      <c r="AK639">
        <v>21</v>
      </c>
    </row>
    <row r="640" spans="1:37">
      <c r="A640" t="s">
        <v>1078</v>
      </c>
      <c r="B640" t="s">
        <v>1751</v>
      </c>
      <c r="C640">
        <v>32.3</v>
      </c>
      <c r="D640" t="s">
        <v>82</v>
      </c>
      <c r="E640">
        <v>4</v>
      </c>
      <c r="F640">
        <v>0</v>
      </c>
      <c r="G640">
        <v>0</v>
      </c>
      <c r="I640">
        <v>1.11927</v>
      </c>
      <c r="J640">
        <v>0.97375</v>
      </c>
      <c r="K640">
        <v>1.03089</v>
      </c>
      <c r="L640">
        <v>1.00488</v>
      </c>
      <c r="M640">
        <v>0.88228</v>
      </c>
      <c r="N640">
        <v>0.98429</v>
      </c>
      <c r="O640">
        <v>1</v>
      </c>
      <c r="P640">
        <v>1.01213</v>
      </c>
      <c r="Q640">
        <v>1</v>
      </c>
      <c r="R640">
        <v>1</v>
      </c>
      <c r="S640">
        <v>1</v>
      </c>
      <c r="T640">
        <v>1.06694</v>
      </c>
      <c r="U640">
        <v>1</v>
      </c>
      <c r="V640">
        <v>84.435</v>
      </c>
      <c r="W640">
        <v>38.939</v>
      </c>
      <c r="X640">
        <v>64.747</v>
      </c>
      <c r="Y640">
        <v>14.171</v>
      </c>
      <c r="Z640">
        <v>35.364</v>
      </c>
      <c r="AA640">
        <v>237.656</v>
      </c>
      <c r="AB640">
        <v>0.9265600000000001</v>
      </c>
      <c r="AC640">
        <v>216</v>
      </c>
      <c r="AD640">
        <v>0</v>
      </c>
      <c r="AG640">
        <v>76</v>
      </c>
      <c r="AH640">
        <v>29</v>
      </c>
      <c r="AI640">
        <v>61</v>
      </c>
      <c r="AJ640">
        <v>10</v>
      </c>
      <c r="AK640">
        <v>40</v>
      </c>
    </row>
    <row r="641" spans="1:37">
      <c r="A641" t="s">
        <v>1079</v>
      </c>
      <c r="B641" t="s">
        <v>1751</v>
      </c>
      <c r="C641">
        <v>32.5</v>
      </c>
      <c r="D641" t="s">
        <v>82</v>
      </c>
      <c r="E641">
        <v>5</v>
      </c>
      <c r="F641">
        <v>0</v>
      </c>
      <c r="G641">
        <v>0</v>
      </c>
      <c r="I641">
        <v>1.11946</v>
      </c>
      <c r="J641">
        <v>0.97604</v>
      </c>
      <c r="K641">
        <v>0.95379</v>
      </c>
      <c r="L641">
        <v>1.00539</v>
      </c>
      <c r="M641">
        <v>0.90532</v>
      </c>
      <c r="N641">
        <v>0.98229</v>
      </c>
      <c r="O641">
        <v>1</v>
      </c>
      <c r="P641">
        <v>1.00823</v>
      </c>
      <c r="Q641">
        <v>1</v>
      </c>
      <c r="R641">
        <v>1</v>
      </c>
      <c r="S641">
        <v>1</v>
      </c>
      <c r="T641">
        <v>1.06582</v>
      </c>
      <c r="U641">
        <v>1</v>
      </c>
      <c r="V641">
        <v>78.22199999999999</v>
      </c>
      <c r="W641">
        <v>36.033</v>
      </c>
      <c r="X641">
        <v>63.212</v>
      </c>
      <c r="Y641">
        <v>14.222</v>
      </c>
      <c r="Z641">
        <v>33.437</v>
      </c>
      <c r="AA641">
        <v>225.126</v>
      </c>
      <c r="AB641">
        <v>1.00518</v>
      </c>
      <c r="AC641">
        <v>221</v>
      </c>
      <c r="AD641">
        <v>0</v>
      </c>
      <c r="AG641">
        <v>93</v>
      </c>
      <c r="AH641">
        <v>21</v>
      </c>
      <c r="AI641">
        <v>58</v>
      </c>
      <c r="AJ641">
        <v>15</v>
      </c>
      <c r="AK641">
        <v>34</v>
      </c>
    </row>
    <row r="642" spans="1:37">
      <c r="A642" t="s">
        <v>1080</v>
      </c>
      <c r="B642" t="s">
        <v>1751</v>
      </c>
      <c r="C642">
        <v>31.1</v>
      </c>
      <c r="D642" t="s">
        <v>82</v>
      </c>
      <c r="E642">
        <v>6</v>
      </c>
      <c r="F642">
        <v>0</v>
      </c>
      <c r="G642">
        <v>0</v>
      </c>
      <c r="I642">
        <v>1.11964</v>
      </c>
      <c r="J642">
        <v>0.98285</v>
      </c>
      <c r="K642">
        <v>0.95379</v>
      </c>
      <c r="L642">
        <v>1.0059</v>
      </c>
      <c r="M642">
        <v>0.93811</v>
      </c>
      <c r="N642">
        <v>0.98835</v>
      </c>
      <c r="O642">
        <v>1</v>
      </c>
      <c r="P642">
        <v>1.0057</v>
      </c>
      <c r="Q642">
        <v>1</v>
      </c>
      <c r="R642">
        <v>1</v>
      </c>
      <c r="S642">
        <v>1</v>
      </c>
      <c r="T642">
        <v>1.06267</v>
      </c>
      <c r="U642">
        <v>1</v>
      </c>
      <c r="V642">
        <v>77.155</v>
      </c>
      <c r="W642">
        <v>34.428</v>
      </c>
      <c r="X642">
        <v>73.167</v>
      </c>
      <c r="Y642">
        <v>17.016</v>
      </c>
      <c r="Z642">
        <v>34.749</v>
      </c>
      <c r="AA642">
        <v>236.515</v>
      </c>
      <c r="AB642">
        <v>1.05584</v>
      </c>
      <c r="AC642">
        <v>224</v>
      </c>
      <c r="AD642">
        <v>0</v>
      </c>
      <c r="AG642">
        <v>64</v>
      </c>
      <c r="AH642">
        <v>22</v>
      </c>
      <c r="AI642">
        <v>70</v>
      </c>
      <c r="AJ642">
        <v>24</v>
      </c>
      <c r="AK642">
        <v>44</v>
      </c>
    </row>
    <row r="643" spans="1:37">
      <c r="A643" t="s">
        <v>1081</v>
      </c>
      <c r="B643" t="s">
        <v>1752</v>
      </c>
      <c r="C643">
        <v>31.5</v>
      </c>
      <c r="D643" t="s">
        <v>82</v>
      </c>
      <c r="E643">
        <v>7</v>
      </c>
      <c r="F643">
        <v>0</v>
      </c>
      <c r="G643">
        <v>0</v>
      </c>
      <c r="I643">
        <v>1.11983</v>
      </c>
      <c r="J643">
        <v>0.97922</v>
      </c>
      <c r="K643">
        <v>0.95379</v>
      </c>
      <c r="L643">
        <v>1.00641</v>
      </c>
      <c r="M643">
        <v>1.12319</v>
      </c>
      <c r="N643">
        <v>0.97867</v>
      </c>
      <c r="O643">
        <v>1</v>
      </c>
      <c r="P643">
        <v>1.00421</v>
      </c>
      <c r="Q643">
        <v>1</v>
      </c>
      <c r="R643">
        <v>1</v>
      </c>
      <c r="S643">
        <v>1</v>
      </c>
      <c r="T643">
        <v>1.0522</v>
      </c>
      <c r="U643">
        <v>1</v>
      </c>
      <c r="V643">
        <v>72.157</v>
      </c>
      <c r="W643">
        <v>28.869</v>
      </c>
      <c r="X643">
        <v>110.009</v>
      </c>
      <c r="Y643">
        <v>28.817</v>
      </c>
      <c r="Z643">
        <v>41.179</v>
      </c>
      <c r="AA643">
        <v>281.03</v>
      </c>
      <c r="AB643">
        <v>1.06554</v>
      </c>
      <c r="AC643">
        <v>294</v>
      </c>
      <c r="AD643">
        <v>0</v>
      </c>
      <c r="AG643">
        <v>80</v>
      </c>
      <c r="AH643">
        <v>27</v>
      </c>
      <c r="AI643">
        <v>114</v>
      </c>
      <c r="AJ643">
        <v>34</v>
      </c>
      <c r="AK643">
        <v>39</v>
      </c>
    </row>
    <row r="644" spans="1:37">
      <c r="A644" t="s">
        <v>1082</v>
      </c>
      <c r="B644" t="s">
        <v>1753</v>
      </c>
      <c r="C644">
        <v>30</v>
      </c>
      <c r="D644" t="s">
        <v>82</v>
      </c>
      <c r="E644">
        <v>8</v>
      </c>
      <c r="F644">
        <v>0</v>
      </c>
      <c r="G644">
        <v>0</v>
      </c>
      <c r="I644">
        <v>1.12002</v>
      </c>
      <c r="J644">
        <v>0.9758</v>
      </c>
      <c r="K644">
        <v>0.95379</v>
      </c>
      <c r="L644">
        <v>1.00689</v>
      </c>
      <c r="M644">
        <v>0.89641</v>
      </c>
      <c r="N644">
        <v>0.99242</v>
      </c>
      <c r="O644">
        <v>1</v>
      </c>
      <c r="P644">
        <v>1.00337</v>
      </c>
      <c r="Q644">
        <v>1</v>
      </c>
      <c r="R644">
        <v>1</v>
      </c>
      <c r="S644">
        <v>1</v>
      </c>
      <c r="T644">
        <v>1.02478</v>
      </c>
      <c r="U644">
        <v>1</v>
      </c>
      <c r="V644">
        <v>17.198</v>
      </c>
      <c r="W644">
        <v>12.584</v>
      </c>
      <c r="X644">
        <v>105.808</v>
      </c>
      <c r="Y644">
        <v>46.599</v>
      </c>
      <c r="Z644">
        <v>43.686</v>
      </c>
      <c r="AA644">
        <v>225.875</v>
      </c>
      <c r="AB644">
        <v>1.01756</v>
      </c>
      <c r="AC644">
        <v>239</v>
      </c>
      <c r="AD644">
        <v>0</v>
      </c>
      <c r="AG644">
        <v>17</v>
      </c>
      <c r="AH644">
        <v>17</v>
      </c>
      <c r="AI644">
        <v>106</v>
      </c>
      <c r="AJ644">
        <v>43</v>
      </c>
      <c r="AK644">
        <v>56</v>
      </c>
    </row>
    <row r="645" spans="1:37">
      <c r="A645" t="s">
        <v>1083</v>
      </c>
      <c r="B645" t="s">
        <v>1754</v>
      </c>
      <c r="C645">
        <v>29.5</v>
      </c>
      <c r="D645" t="s">
        <v>82</v>
      </c>
      <c r="E645">
        <v>9</v>
      </c>
      <c r="F645">
        <v>0</v>
      </c>
      <c r="G645">
        <v>0</v>
      </c>
      <c r="I645">
        <v>1.1202</v>
      </c>
      <c r="J645">
        <v>0.9879</v>
      </c>
      <c r="K645">
        <v>0.95379</v>
      </c>
      <c r="L645">
        <v>1.00736</v>
      </c>
      <c r="M645">
        <v>0.83911</v>
      </c>
      <c r="N645">
        <v>0.99951</v>
      </c>
      <c r="O645">
        <v>1</v>
      </c>
      <c r="P645">
        <v>1.00215</v>
      </c>
      <c r="Q645">
        <v>1</v>
      </c>
      <c r="R645">
        <v>1</v>
      </c>
      <c r="S645">
        <v>1</v>
      </c>
      <c r="T645">
        <v>1.03008</v>
      </c>
      <c r="U645">
        <v>1</v>
      </c>
      <c r="V645">
        <v>23.749</v>
      </c>
      <c r="W645">
        <v>20.023</v>
      </c>
      <c r="X645">
        <v>92.41</v>
      </c>
      <c r="Y645">
        <v>40.072</v>
      </c>
      <c r="Z645">
        <v>38.641</v>
      </c>
      <c r="AA645">
        <v>214.896</v>
      </c>
      <c r="AB645">
        <v>1.1112</v>
      </c>
      <c r="AC645">
        <v>233</v>
      </c>
      <c r="AD645">
        <v>0</v>
      </c>
      <c r="AG645">
        <v>31</v>
      </c>
      <c r="AH645">
        <v>15</v>
      </c>
      <c r="AI645">
        <v>104</v>
      </c>
      <c r="AJ645">
        <v>45</v>
      </c>
      <c r="AK645">
        <v>38</v>
      </c>
    </row>
    <row r="646" spans="1:37">
      <c r="A646" t="s">
        <v>457</v>
      </c>
      <c r="B646" t="s">
        <v>1751</v>
      </c>
      <c r="C646">
        <v>27.6</v>
      </c>
      <c r="D646" t="s">
        <v>82</v>
      </c>
      <c r="E646">
        <v>10</v>
      </c>
      <c r="F646">
        <v>0</v>
      </c>
      <c r="G646">
        <v>0</v>
      </c>
      <c r="I646">
        <v>1.12039</v>
      </c>
      <c r="J646">
        <v>0.97806</v>
      </c>
      <c r="K646">
        <v>0.95379</v>
      </c>
      <c r="L646">
        <v>1.0078</v>
      </c>
      <c r="M646">
        <v>0.90377</v>
      </c>
      <c r="N646">
        <v>1.01395</v>
      </c>
      <c r="O646">
        <v>1</v>
      </c>
      <c r="P646">
        <v>1.00111</v>
      </c>
      <c r="Q646">
        <v>1</v>
      </c>
      <c r="R646">
        <v>1</v>
      </c>
      <c r="S646">
        <v>1</v>
      </c>
      <c r="T646">
        <v>1.06755</v>
      </c>
      <c r="U646">
        <v>1</v>
      </c>
      <c r="V646">
        <v>82.32899999999999</v>
      </c>
      <c r="W646">
        <v>36.054</v>
      </c>
      <c r="X646">
        <v>68.57899999999999</v>
      </c>
      <c r="Y646">
        <v>15.409</v>
      </c>
      <c r="Z646">
        <v>30.502</v>
      </c>
      <c r="AA646">
        <v>232.872</v>
      </c>
      <c r="AB646">
        <v>1.01256</v>
      </c>
      <c r="AC646">
        <v>248</v>
      </c>
      <c r="AD646">
        <v>0</v>
      </c>
      <c r="AG646">
        <v>81</v>
      </c>
      <c r="AH646">
        <v>43</v>
      </c>
      <c r="AI646">
        <v>72</v>
      </c>
      <c r="AJ646">
        <v>14</v>
      </c>
      <c r="AK646">
        <v>38</v>
      </c>
    </row>
    <row r="647" spans="1:37">
      <c r="A647" t="s">
        <v>1084</v>
      </c>
      <c r="B647" t="s">
        <v>1751</v>
      </c>
      <c r="C647">
        <v>30.3</v>
      </c>
      <c r="D647" t="s">
        <v>82</v>
      </c>
      <c r="E647">
        <v>11</v>
      </c>
      <c r="F647">
        <v>0</v>
      </c>
      <c r="G647">
        <v>0</v>
      </c>
      <c r="I647">
        <v>1.12058</v>
      </c>
      <c r="J647">
        <v>0.98262</v>
      </c>
      <c r="K647">
        <v>0.95379</v>
      </c>
      <c r="L647">
        <v>1.00821</v>
      </c>
      <c r="M647">
        <v>0.88058</v>
      </c>
      <c r="N647">
        <v>0.9954</v>
      </c>
      <c r="O647">
        <v>1</v>
      </c>
      <c r="P647">
        <v>1.00074</v>
      </c>
      <c r="Q647">
        <v>1</v>
      </c>
      <c r="R647">
        <v>1</v>
      </c>
      <c r="S647">
        <v>1</v>
      </c>
      <c r="T647">
        <v>1.06736</v>
      </c>
      <c r="U647">
        <v>1</v>
      </c>
      <c r="V647">
        <v>78.81</v>
      </c>
      <c r="W647">
        <v>36.237</v>
      </c>
      <c r="X647">
        <v>62.626</v>
      </c>
      <c r="Y647">
        <v>13.502</v>
      </c>
      <c r="Z647">
        <v>31.779</v>
      </c>
      <c r="AA647">
        <v>222.954</v>
      </c>
      <c r="AB647">
        <v>1.02106</v>
      </c>
      <c r="AC647">
        <v>227</v>
      </c>
      <c r="AD647">
        <v>0</v>
      </c>
      <c r="AG647">
        <v>78</v>
      </c>
      <c r="AH647">
        <v>42</v>
      </c>
      <c r="AI647">
        <v>68</v>
      </c>
      <c r="AJ647">
        <v>7</v>
      </c>
      <c r="AK647">
        <v>32</v>
      </c>
    </row>
    <row r="648" spans="1:37">
      <c r="A648" t="s">
        <v>1085</v>
      </c>
      <c r="B648" t="s">
        <v>1751</v>
      </c>
      <c r="C648">
        <v>30.4</v>
      </c>
      <c r="D648" t="s">
        <v>82</v>
      </c>
      <c r="E648">
        <v>12</v>
      </c>
      <c r="F648">
        <v>0</v>
      </c>
      <c r="G648">
        <v>0</v>
      </c>
      <c r="I648">
        <v>1.12077</v>
      </c>
      <c r="J648">
        <v>1.00589</v>
      </c>
      <c r="K648">
        <v>0.95379</v>
      </c>
      <c r="L648">
        <v>1.00859</v>
      </c>
      <c r="M648">
        <v>0.90379</v>
      </c>
      <c r="N648">
        <v>0.9942299999999999</v>
      </c>
      <c r="O648">
        <v>1</v>
      </c>
      <c r="P648">
        <v>1.0005</v>
      </c>
      <c r="Q648">
        <v>1</v>
      </c>
      <c r="R648">
        <v>1</v>
      </c>
      <c r="S648">
        <v>1</v>
      </c>
      <c r="T648">
        <v>1.06608</v>
      </c>
      <c r="U648">
        <v>1</v>
      </c>
      <c r="V648">
        <v>80.715</v>
      </c>
      <c r="W648">
        <v>37.112</v>
      </c>
      <c r="X648">
        <v>67.962</v>
      </c>
      <c r="Y648">
        <v>15.055</v>
      </c>
      <c r="Z648">
        <v>33.306</v>
      </c>
      <c r="AA648">
        <v>234.15</v>
      </c>
      <c r="AB648">
        <v>0.89256</v>
      </c>
      <c r="AC648">
        <v>173</v>
      </c>
      <c r="AD648">
        <v>0</v>
      </c>
      <c r="AG648">
        <v>63</v>
      </c>
      <c r="AH648">
        <v>15</v>
      </c>
      <c r="AI648">
        <v>51</v>
      </c>
      <c r="AJ648">
        <v>12</v>
      </c>
      <c r="AK648">
        <v>32</v>
      </c>
    </row>
    <row r="649" spans="1:37">
      <c r="A649" t="s">
        <v>1086</v>
      </c>
      <c r="B649" t="s">
        <v>1751</v>
      </c>
      <c r="C649">
        <v>30.2</v>
      </c>
      <c r="D649" t="s">
        <v>82</v>
      </c>
      <c r="E649">
        <v>13</v>
      </c>
      <c r="F649">
        <v>0</v>
      </c>
      <c r="G649">
        <v>0</v>
      </c>
      <c r="I649">
        <v>1.12095</v>
      </c>
      <c r="J649">
        <v>0.99801</v>
      </c>
      <c r="K649">
        <v>0.95379</v>
      </c>
      <c r="L649">
        <v>1.00893</v>
      </c>
      <c r="M649">
        <v>0.93786</v>
      </c>
      <c r="N649">
        <v>0.99471</v>
      </c>
      <c r="O649">
        <v>1</v>
      </c>
      <c r="P649">
        <v>1.00035</v>
      </c>
      <c r="Q649">
        <v>1</v>
      </c>
      <c r="R649">
        <v>1</v>
      </c>
      <c r="S649">
        <v>1</v>
      </c>
      <c r="T649">
        <v>1.0631</v>
      </c>
      <c r="U649">
        <v>1</v>
      </c>
      <c r="V649">
        <v>78.518</v>
      </c>
      <c r="W649">
        <v>34.997</v>
      </c>
      <c r="X649">
        <v>75.776</v>
      </c>
      <c r="Y649">
        <v>17.494</v>
      </c>
      <c r="Z649">
        <v>34.759</v>
      </c>
      <c r="AA649">
        <v>241.544</v>
      </c>
      <c r="AB649">
        <v>0.98477</v>
      </c>
      <c r="AC649">
        <v>214</v>
      </c>
      <c r="AD649">
        <v>1</v>
      </c>
      <c r="AG649">
        <v>61</v>
      </c>
      <c r="AH649">
        <v>30</v>
      </c>
      <c r="AI649">
        <v>73</v>
      </c>
      <c r="AJ649">
        <v>13</v>
      </c>
      <c r="AK649">
        <v>37</v>
      </c>
    </row>
    <row r="650" spans="1:37">
      <c r="A650" t="s">
        <v>1087</v>
      </c>
      <c r="B650" t="s">
        <v>1752</v>
      </c>
      <c r="C650">
        <v>29.6</v>
      </c>
      <c r="D650" t="s">
        <v>82</v>
      </c>
      <c r="E650">
        <v>14</v>
      </c>
      <c r="F650">
        <v>0</v>
      </c>
      <c r="G650">
        <v>0</v>
      </c>
      <c r="I650">
        <v>1.12114</v>
      </c>
      <c r="J650">
        <v>0.99337</v>
      </c>
      <c r="K650">
        <v>0.95379</v>
      </c>
      <c r="L650">
        <v>1.00923</v>
      </c>
      <c r="M650">
        <v>1.12777</v>
      </c>
      <c r="N650">
        <v>0.99714</v>
      </c>
      <c r="O650">
        <v>1</v>
      </c>
      <c r="P650">
        <v>1.00026</v>
      </c>
      <c r="Q650">
        <v>1</v>
      </c>
      <c r="R650">
        <v>1</v>
      </c>
      <c r="S650">
        <v>1</v>
      </c>
      <c r="T650">
        <v>1.05225</v>
      </c>
      <c r="U650">
        <v>1</v>
      </c>
      <c r="V650">
        <v>73.401</v>
      </c>
      <c r="W650">
        <v>29.348</v>
      </c>
      <c r="X650">
        <v>116.981</v>
      </c>
      <c r="Y650">
        <v>30.188</v>
      </c>
      <c r="Z650">
        <v>40.706</v>
      </c>
      <c r="AA650">
        <v>290.625</v>
      </c>
      <c r="AB650">
        <v>1.06819</v>
      </c>
      <c r="AC650">
        <v>302</v>
      </c>
      <c r="AD650">
        <v>0</v>
      </c>
      <c r="AG650">
        <v>88</v>
      </c>
      <c r="AH650">
        <v>25</v>
      </c>
      <c r="AI650">
        <v>113</v>
      </c>
      <c r="AJ650">
        <v>28</v>
      </c>
      <c r="AK650">
        <v>48</v>
      </c>
    </row>
    <row r="651" spans="1:37">
      <c r="A651" t="s">
        <v>1088</v>
      </c>
      <c r="B651" t="s">
        <v>1753</v>
      </c>
      <c r="C651">
        <v>29.7</v>
      </c>
      <c r="D651" t="s">
        <v>82</v>
      </c>
      <c r="E651">
        <v>15</v>
      </c>
      <c r="F651">
        <v>0</v>
      </c>
      <c r="G651">
        <v>0</v>
      </c>
      <c r="I651">
        <v>1.12133</v>
      </c>
      <c r="J651">
        <v>0.99852</v>
      </c>
      <c r="K651">
        <v>0.95379</v>
      </c>
      <c r="L651">
        <v>1.00948</v>
      </c>
      <c r="M651">
        <v>0.89654</v>
      </c>
      <c r="N651">
        <v>0.9964499999999999</v>
      </c>
      <c r="O651">
        <v>1</v>
      </c>
      <c r="P651">
        <v>0.99676</v>
      </c>
      <c r="Q651">
        <v>1</v>
      </c>
      <c r="R651">
        <v>1</v>
      </c>
      <c r="S651">
        <v>1</v>
      </c>
      <c r="T651">
        <v>1.02533</v>
      </c>
      <c r="U651">
        <v>1</v>
      </c>
      <c r="V651">
        <v>17.631</v>
      </c>
      <c r="W651">
        <v>12.888</v>
      </c>
      <c r="X651">
        <v>108.825</v>
      </c>
      <c r="Y651">
        <v>47.793</v>
      </c>
      <c r="Z651">
        <v>44.383</v>
      </c>
      <c r="AA651">
        <v>231.52</v>
      </c>
      <c r="AB651">
        <v>0.93053</v>
      </c>
      <c r="AC651">
        <v>215</v>
      </c>
      <c r="AD651">
        <v>0</v>
      </c>
      <c r="AG651">
        <v>18</v>
      </c>
      <c r="AH651">
        <v>15</v>
      </c>
      <c r="AI651">
        <v>85</v>
      </c>
      <c r="AJ651">
        <v>47</v>
      </c>
      <c r="AK651">
        <v>50</v>
      </c>
    </row>
    <row r="652" spans="1:37">
      <c r="A652" t="s">
        <v>1089</v>
      </c>
      <c r="B652" t="s">
        <v>1754</v>
      </c>
      <c r="C652">
        <v>30.9</v>
      </c>
      <c r="D652" t="s">
        <v>82</v>
      </c>
      <c r="E652">
        <v>16</v>
      </c>
      <c r="F652">
        <v>0</v>
      </c>
      <c r="G652">
        <v>0</v>
      </c>
      <c r="I652">
        <v>1.12151</v>
      </c>
      <c r="J652">
        <v>0.99856</v>
      </c>
      <c r="K652">
        <v>0.95379</v>
      </c>
      <c r="L652">
        <v>1.00968</v>
      </c>
      <c r="M652">
        <v>0.83312</v>
      </c>
      <c r="N652">
        <v>0.98316</v>
      </c>
      <c r="O652">
        <v>1</v>
      </c>
      <c r="P652">
        <v>0.99358</v>
      </c>
      <c r="Q652">
        <v>1</v>
      </c>
      <c r="R652">
        <v>1</v>
      </c>
      <c r="S652">
        <v>1</v>
      </c>
      <c r="T652">
        <v>1.03081</v>
      </c>
      <c r="U652">
        <v>1</v>
      </c>
      <c r="V652">
        <v>24.026</v>
      </c>
      <c r="W652">
        <v>20.224</v>
      </c>
      <c r="X652">
        <v>89.61</v>
      </c>
      <c r="Y652">
        <v>39.266</v>
      </c>
      <c r="Z652">
        <v>39.546</v>
      </c>
      <c r="AA652">
        <v>212.672</v>
      </c>
      <c r="AB652">
        <v>0.9049700000000001</v>
      </c>
      <c r="AC652">
        <v>194</v>
      </c>
      <c r="AD652">
        <v>0</v>
      </c>
      <c r="AG652">
        <v>16</v>
      </c>
      <c r="AH652">
        <v>26</v>
      </c>
      <c r="AI652">
        <v>80</v>
      </c>
      <c r="AJ652">
        <v>30</v>
      </c>
      <c r="AK652">
        <v>42</v>
      </c>
    </row>
    <row r="653" spans="1:37">
      <c r="A653" t="s">
        <v>458</v>
      </c>
      <c r="B653" t="s">
        <v>1751</v>
      </c>
      <c r="C653">
        <v>30.6</v>
      </c>
      <c r="D653" t="s">
        <v>82</v>
      </c>
      <c r="E653">
        <v>17</v>
      </c>
      <c r="F653">
        <v>0</v>
      </c>
      <c r="G653">
        <v>0</v>
      </c>
      <c r="I653">
        <v>1.1217</v>
      </c>
      <c r="J653">
        <v>0.99261</v>
      </c>
      <c r="K653">
        <v>0.95379</v>
      </c>
      <c r="L653">
        <v>1.00984</v>
      </c>
      <c r="M653">
        <v>0.908</v>
      </c>
      <c r="N653">
        <v>0.9933</v>
      </c>
      <c r="O653">
        <v>1</v>
      </c>
      <c r="P653">
        <v>0.99255</v>
      </c>
      <c r="Q653">
        <v>1</v>
      </c>
      <c r="R653">
        <v>1</v>
      </c>
      <c r="S653">
        <v>1</v>
      </c>
      <c r="T653">
        <v>1.06927</v>
      </c>
      <c r="U653">
        <v>1</v>
      </c>
      <c r="V653">
        <v>83.523</v>
      </c>
      <c r="W653">
        <v>36.497</v>
      </c>
      <c r="X653">
        <v>63.77</v>
      </c>
      <c r="Y653">
        <v>14.661</v>
      </c>
      <c r="Z653">
        <v>31.925</v>
      </c>
      <c r="AA653">
        <v>230.377</v>
      </c>
      <c r="AB653">
        <v>1.10636</v>
      </c>
      <c r="AC653">
        <v>267</v>
      </c>
      <c r="AD653">
        <v>0</v>
      </c>
      <c r="AG653">
        <v>107</v>
      </c>
      <c r="AH653">
        <v>42</v>
      </c>
      <c r="AI653">
        <v>71</v>
      </c>
      <c r="AJ653">
        <v>12</v>
      </c>
      <c r="AK653">
        <v>35</v>
      </c>
    </row>
    <row r="654" spans="1:37">
      <c r="A654" t="s">
        <v>1090</v>
      </c>
      <c r="B654" t="s">
        <v>1751</v>
      </c>
      <c r="C654">
        <v>31.9</v>
      </c>
      <c r="D654" t="s">
        <v>82</v>
      </c>
      <c r="E654">
        <v>18</v>
      </c>
      <c r="F654">
        <v>0</v>
      </c>
      <c r="G654">
        <v>0</v>
      </c>
      <c r="I654">
        <v>1.12189</v>
      </c>
      <c r="J654">
        <v>1.00616</v>
      </c>
      <c r="K654">
        <v>0.95379</v>
      </c>
      <c r="L654">
        <v>1.00994</v>
      </c>
      <c r="M654">
        <v>0.8829900000000001</v>
      </c>
      <c r="N654">
        <v>0.98636</v>
      </c>
      <c r="O654">
        <v>1</v>
      </c>
      <c r="P654">
        <v>0.99002</v>
      </c>
      <c r="Q654">
        <v>1</v>
      </c>
      <c r="R654">
        <v>1</v>
      </c>
      <c r="S654">
        <v>1</v>
      </c>
      <c r="T654">
        <v>1.06859</v>
      </c>
      <c r="U654">
        <v>1</v>
      </c>
      <c r="V654">
        <v>80.565</v>
      </c>
      <c r="W654">
        <v>36.939</v>
      </c>
      <c r="X654">
        <v>60.941</v>
      </c>
      <c r="Y654">
        <v>13.29</v>
      </c>
      <c r="Z654">
        <v>32.799</v>
      </c>
      <c r="AA654">
        <v>224.533</v>
      </c>
      <c r="AB654">
        <v>0.90145</v>
      </c>
      <c r="AC654">
        <v>203</v>
      </c>
      <c r="AD654">
        <v>0</v>
      </c>
      <c r="AG654">
        <v>68</v>
      </c>
      <c r="AH654">
        <v>43</v>
      </c>
      <c r="AI654">
        <v>56</v>
      </c>
      <c r="AJ654">
        <v>8</v>
      </c>
      <c r="AK654">
        <v>28</v>
      </c>
    </row>
    <row r="655" spans="1:37">
      <c r="A655" t="s">
        <v>1091</v>
      </c>
      <c r="B655" t="s">
        <v>1751</v>
      </c>
      <c r="C655">
        <v>28.5</v>
      </c>
      <c r="D655" t="s">
        <v>82</v>
      </c>
      <c r="E655">
        <v>19</v>
      </c>
      <c r="F655">
        <v>0</v>
      </c>
      <c r="G655">
        <v>0</v>
      </c>
      <c r="I655">
        <v>1.12207</v>
      </c>
      <c r="J655">
        <v>1.00794</v>
      </c>
      <c r="K655">
        <v>0.95379</v>
      </c>
      <c r="L655">
        <v>1.00999</v>
      </c>
      <c r="M655">
        <v>0.90241</v>
      </c>
      <c r="N655">
        <v>1.0077</v>
      </c>
      <c r="O655">
        <v>1</v>
      </c>
      <c r="P655">
        <v>0.98721</v>
      </c>
      <c r="Q655">
        <v>1</v>
      </c>
      <c r="R655">
        <v>1</v>
      </c>
      <c r="S655">
        <v>1</v>
      </c>
      <c r="T655">
        <v>1.06639</v>
      </c>
      <c r="U655">
        <v>1</v>
      </c>
      <c r="V655">
        <v>80.636</v>
      </c>
      <c r="W655">
        <v>36.945</v>
      </c>
      <c r="X655">
        <v>70.425</v>
      </c>
      <c r="Y655">
        <v>15.362</v>
      </c>
      <c r="Z655">
        <v>31.995</v>
      </c>
      <c r="AA655">
        <v>235.363</v>
      </c>
      <c r="AB655">
        <v>1.12288</v>
      </c>
      <c r="AC655">
        <v>268</v>
      </c>
      <c r="AD655">
        <v>0</v>
      </c>
      <c r="AE655" t="s">
        <v>1759</v>
      </c>
      <c r="AG655">
        <v>96</v>
      </c>
      <c r="AH655">
        <v>37</v>
      </c>
      <c r="AI655">
        <v>82</v>
      </c>
      <c r="AJ655">
        <v>19</v>
      </c>
      <c r="AK655">
        <v>34</v>
      </c>
    </row>
    <row r="656" spans="1:37">
      <c r="A656" t="s">
        <v>1092</v>
      </c>
      <c r="B656" t="s">
        <v>1751</v>
      </c>
      <c r="C656">
        <v>28.5</v>
      </c>
      <c r="D656" t="s">
        <v>82</v>
      </c>
      <c r="E656">
        <v>20</v>
      </c>
      <c r="F656">
        <v>0</v>
      </c>
      <c r="G656">
        <v>0</v>
      </c>
      <c r="I656">
        <v>1.12226</v>
      </c>
      <c r="J656">
        <v>1.0123</v>
      </c>
      <c r="K656">
        <v>0.95379</v>
      </c>
      <c r="L656">
        <v>1.01001</v>
      </c>
      <c r="M656">
        <v>0.9374400000000001</v>
      </c>
      <c r="N656">
        <v>1.00805</v>
      </c>
      <c r="O656">
        <v>1</v>
      </c>
      <c r="P656">
        <v>0.9841800000000001</v>
      </c>
      <c r="Q656">
        <v>1</v>
      </c>
      <c r="R656">
        <v>1</v>
      </c>
      <c r="S656">
        <v>1</v>
      </c>
      <c r="T656">
        <v>1.06351</v>
      </c>
      <c r="U656">
        <v>1</v>
      </c>
      <c r="V656">
        <v>79.292</v>
      </c>
      <c r="W656">
        <v>35.192</v>
      </c>
      <c r="X656">
        <v>78.768</v>
      </c>
      <c r="Y656">
        <v>17.935</v>
      </c>
      <c r="Z656">
        <v>33.757</v>
      </c>
      <c r="AA656">
        <v>244.944</v>
      </c>
      <c r="AB656">
        <v>1.02143</v>
      </c>
      <c r="AC656">
        <v>266</v>
      </c>
      <c r="AD656">
        <v>0</v>
      </c>
      <c r="AG656">
        <v>92</v>
      </c>
      <c r="AH656">
        <v>46</v>
      </c>
      <c r="AI656">
        <v>75</v>
      </c>
      <c r="AJ656">
        <v>19</v>
      </c>
      <c r="AK656">
        <v>34</v>
      </c>
    </row>
    <row r="657" spans="1:37">
      <c r="A657" t="s">
        <v>1093</v>
      </c>
      <c r="B657" t="s">
        <v>1752</v>
      </c>
      <c r="C657">
        <v>28</v>
      </c>
      <c r="D657" t="s">
        <v>82</v>
      </c>
      <c r="E657">
        <v>21</v>
      </c>
      <c r="F657">
        <v>0</v>
      </c>
      <c r="G657">
        <v>0</v>
      </c>
      <c r="I657">
        <v>1.12245</v>
      </c>
      <c r="J657">
        <v>1.01126</v>
      </c>
      <c r="K657">
        <v>0.95379</v>
      </c>
      <c r="L657">
        <v>1.01006</v>
      </c>
      <c r="M657">
        <v>1.13038</v>
      </c>
      <c r="N657">
        <v>1.01458</v>
      </c>
      <c r="O657">
        <v>1</v>
      </c>
      <c r="P657">
        <v>0.97963</v>
      </c>
      <c r="Q657">
        <v>1</v>
      </c>
      <c r="R657">
        <v>1</v>
      </c>
      <c r="S657">
        <v>1</v>
      </c>
      <c r="T657">
        <v>1.05269</v>
      </c>
      <c r="U657">
        <v>1</v>
      </c>
      <c r="V657">
        <v>74.29600000000001</v>
      </c>
      <c r="W657">
        <v>29.558</v>
      </c>
      <c r="X657">
        <v>121.262</v>
      </c>
      <c r="Y657">
        <v>30.89</v>
      </c>
      <c r="Z657">
        <v>39.567</v>
      </c>
      <c r="AA657">
        <v>295.572</v>
      </c>
      <c r="AB657">
        <v>1.09911</v>
      </c>
      <c r="AC657">
        <v>315</v>
      </c>
      <c r="AD657">
        <v>0</v>
      </c>
      <c r="AG657">
        <v>81</v>
      </c>
      <c r="AH657">
        <v>27</v>
      </c>
      <c r="AI657">
        <v>127</v>
      </c>
      <c r="AJ657">
        <v>40</v>
      </c>
      <c r="AK657">
        <v>40</v>
      </c>
    </row>
    <row r="658" spans="1:37">
      <c r="A658" t="s">
        <v>1094</v>
      </c>
      <c r="B658" t="s">
        <v>1753</v>
      </c>
      <c r="C658">
        <v>28.6</v>
      </c>
      <c r="D658" t="s">
        <v>82</v>
      </c>
      <c r="E658">
        <v>22</v>
      </c>
      <c r="F658">
        <v>0</v>
      </c>
      <c r="G658">
        <v>0</v>
      </c>
      <c r="I658">
        <v>1.12263</v>
      </c>
      <c r="J658">
        <v>1.02486</v>
      </c>
      <c r="K658">
        <v>0.95379</v>
      </c>
      <c r="L658">
        <v>1.01017</v>
      </c>
      <c r="M658">
        <v>0.89698</v>
      </c>
      <c r="N658">
        <v>1.01175</v>
      </c>
      <c r="O658">
        <v>1</v>
      </c>
      <c r="P658">
        <v>0.97241</v>
      </c>
      <c r="Q658">
        <v>1</v>
      </c>
      <c r="R658">
        <v>1</v>
      </c>
      <c r="S658">
        <v>1</v>
      </c>
      <c r="T658">
        <v>1.02594</v>
      </c>
      <c r="U658">
        <v>1</v>
      </c>
      <c r="V658">
        <v>17.99</v>
      </c>
      <c r="W658">
        <v>13.085</v>
      </c>
      <c r="X658">
        <v>112.228</v>
      </c>
      <c r="Y658">
        <v>48.842</v>
      </c>
      <c r="Z658">
        <v>43.786</v>
      </c>
      <c r="AA658">
        <v>235.931</v>
      </c>
      <c r="AB658">
        <v>0.95109</v>
      </c>
      <c r="AC658">
        <v>247</v>
      </c>
      <c r="AD658">
        <v>0</v>
      </c>
      <c r="AG658">
        <v>15</v>
      </c>
      <c r="AH658">
        <v>20</v>
      </c>
      <c r="AI658">
        <v>123</v>
      </c>
      <c r="AJ658">
        <v>37</v>
      </c>
      <c r="AK658">
        <v>52</v>
      </c>
    </row>
    <row r="659" spans="1:37">
      <c r="A659" t="s">
        <v>1095</v>
      </c>
      <c r="B659" t="s">
        <v>1754</v>
      </c>
      <c r="C659">
        <v>27.2</v>
      </c>
      <c r="D659" t="s">
        <v>82</v>
      </c>
      <c r="E659">
        <v>23</v>
      </c>
      <c r="F659">
        <v>0</v>
      </c>
      <c r="G659">
        <v>0</v>
      </c>
      <c r="I659">
        <v>1.12282</v>
      </c>
      <c r="J659">
        <v>1.01151</v>
      </c>
      <c r="K659">
        <v>0.95379</v>
      </c>
      <c r="L659">
        <v>1.01033</v>
      </c>
      <c r="M659">
        <v>0.8421</v>
      </c>
      <c r="N659">
        <v>1.02859</v>
      </c>
      <c r="O659">
        <v>1</v>
      </c>
      <c r="P659">
        <v>0.97033</v>
      </c>
      <c r="Q659">
        <v>1</v>
      </c>
      <c r="R659">
        <v>1</v>
      </c>
      <c r="S659">
        <v>1</v>
      </c>
      <c r="T659">
        <v>1.03117</v>
      </c>
      <c r="U659">
        <v>1</v>
      </c>
      <c r="V659">
        <v>24.194</v>
      </c>
      <c r="W659">
        <v>20.264</v>
      </c>
      <c r="X659">
        <v>97.496</v>
      </c>
      <c r="Y659">
        <v>41.503</v>
      </c>
      <c r="Z659">
        <v>37.179</v>
      </c>
      <c r="AA659">
        <v>220.636</v>
      </c>
      <c r="AB659">
        <v>0.97634</v>
      </c>
      <c r="AC659">
        <v>230</v>
      </c>
      <c r="AD659">
        <v>0</v>
      </c>
      <c r="AG659">
        <v>28</v>
      </c>
      <c r="AH659">
        <v>26</v>
      </c>
      <c r="AI659">
        <v>99</v>
      </c>
      <c r="AJ659">
        <v>38</v>
      </c>
      <c r="AK659">
        <v>39</v>
      </c>
    </row>
    <row r="660" spans="1:37">
      <c r="A660" t="s">
        <v>459</v>
      </c>
      <c r="B660" t="s">
        <v>1751</v>
      </c>
      <c r="C660">
        <v>25.1</v>
      </c>
      <c r="D660" t="s">
        <v>82</v>
      </c>
      <c r="E660">
        <v>24</v>
      </c>
      <c r="F660">
        <v>0</v>
      </c>
      <c r="G660">
        <v>0</v>
      </c>
      <c r="I660">
        <v>1.12301</v>
      </c>
      <c r="J660">
        <v>1.01442</v>
      </c>
      <c r="K660">
        <v>0.95379</v>
      </c>
      <c r="L660">
        <v>1.01054</v>
      </c>
      <c r="M660">
        <v>0.90258</v>
      </c>
      <c r="N660">
        <v>1.02872</v>
      </c>
      <c r="O660">
        <v>1</v>
      </c>
      <c r="P660">
        <v>0.97451</v>
      </c>
      <c r="Q660">
        <v>1</v>
      </c>
      <c r="R660">
        <v>1</v>
      </c>
      <c r="S660">
        <v>1</v>
      </c>
      <c r="T660">
        <v>1.06868</v>
      </c>
      <c r="U660">
        <v>1</v>
      </c>
      <c r="V660">
        <v>84.86</v>
      </c>
      <c r="W660">
        <v>36.896</v>
      </c>
      <c r="X660">
        <v>72.694</v>
      </c>
      <c r="Y660">
        <v>16.067</v>
      </c>
      <c r="Z660">
        <v>29.522</v>
      </c>
      <c r="AA660">
        <v>240.038</v>
      </c>
      <c r="AB660">
        <v>1.00616</v>
      </c>
      <c r="AC660">
        <v>205</v>
      </c>
      <c r="AD660">
        <v>0</v>
      </c>
      <c r="AG660">
        <v>76</v>
      </c>
      <c r="AH660">
        <v>29</v>
      </c>
      <c r="AI660">
        <v>58</v>
      </c>
      <c r="AJ660">
        <v>17</v>
      </c>
      <c r="AK660">
        <v>25</v>
      </c>
    </row>
    <row r="661" spans="1:37">
      <c r="A661" t="s">
        <v>1096</v>
      </c>
      <c r="B661" t="s">
        <v>1751</v>
      </c>
      <c r="C661">
        <v>24.1</v>
      </c>
      <c r="D661" t="s">
        <v>82</v>
      </c>
      <c r="E661">
        <v>25</v>
      </c>
      <c r="F661">
        <v>0</v>
      </c>
      <c r="G661">
        <v>0</v>
      </c>
      <c r="I661">
        <v>1.1232</v>
      </c>
      <c r="J661">
        <v>1.01581</v>
      </c>
      <c r="K661">
        <v>0.95379</v>
      </c>
      <c r="L661">
        <v>1.0108</v>
      </c>
      <c r="M661">
        <v>0.87505</v>
      </c>
      <c r="N661">
        <v>1.0321</v>
      </c>
      <c r="O661">
        <v>1</v>
      </c>
      <c r="P661">
        <v>0.97183</v>
      </c>
      <c r="Q661">
        <v>1</v>
      </c>
      <c r="R661">
        <v>1</v>
      </c>
      <c r="S661">
        <v>1</v>
      </c>
      <c r="T661">
        <v>1.06761</v>
      </c>
      <c r="U661">
        <v>1</v>
      </c>
      <c r="V661">
        <v>80.874</v>
      </c>
      <c r="W661">
        <v>36.895</v>
      </c>
      <c r="X661">
        <v>71.849</v>
      </c>
      <c r="Y661">
        <v>14.858</v>
      </c>
      <c r="Z661">
        <v>29.042</v>
      </c>
      <c r="AA661">
        <v>233.518</v>
      </c>
      <c r="AB661">
        <v>0.94853</v>
      </c>
      <c r="AC661">
        <v>232</v>
      </c>
      <c r="AD661">
        <v>0</v>
      </c>
      <c r="AG661">
        <v>67</v>
      </c>
      <c r="AH661">
        <v>30</v>
      </c>
      <c r="AI661">
        <v>84</v>
      </c>
      <c r="AJ661">
        <v>18</v>
      </c>
      <c r="AK661">
        <v>33</v>
      </c>
    </row>
    <row r="662" spans="1:37">
      <c r="A662" t="s">
        <v>1097</v>
      </c>
      <c r="B662" t="s">
        <v>1751</v>
      </c>
      <c r="C662">
        <v>23.2</v>
      </c>
      <c r="D662" t="s">
        <v>82</v>
      </c>
      <c r="E662">
        <v>26</v>
      </c>
      <c r="F662">
        <v>0</v>
      </c>
      <c r="G662">
        <v>0</v>
      </c>
      <c r="I662">
        <v>1.12338</v>
      </c>
      <c r="J662">
        <v>1.01577</v>
      </c>
      <c r="K662">
        <v>0.95379</v>
      </c>
      <c r="L662">
        <v>1.0111</v>
      </c>
      <c r="M662">
        <v>0.8990899999999999</v>
      </c>
      <c r="N662">
        <v>1.03522</v>
      </c>
      <c r="O662">
        <v>1</v>
      </c>
      <c r="P662">
        <v>0.96885</v>
      </c>
      <c r="Q662">
        <v>1</v>
      </c>
      <c r="R662">
        <v>1</v>
      </c>
      <c r="S662">
        <v>1</v>
      </c>
      <c r="T662">
        <v>1.06628</v>
      </c>
      <c r="U662">
        <v>1</v>
      </c>
      <c r="V662">
        <v>80.81999999999999</v>
      </c>
      <c r="W662">
        <v>36.843</v>
      </c>
      <c r="X662">
        <v>76.761</v>
      </c>
      <c r="Y662">
        <v>16.257</v>
      </c>
      <c r="Z662">
        <v>29.202</v>
      </c>
      <c r="AA662">
        <v>239.883</v>
      </c>
      <c r="AB662">
        <v>1.03358</v>
      </c>
      <c r="AC662">
        <v>249</v>
      </c>
      <c r="AD662">
        <v>0</v>
      </c>
      <c r="AG662">
        <v>81</v>
      </c>
      <c r="AH662">
        <v>32</v>
      </c>
      <c r="AI662">
        <v>92</v>
      </c>
      <c r="AJ662">
        <v>18</v>
      </c>
      <c r="AK662">
        <v>26</v>
      </c>
    </row>
    <row r="663" spans="1:37">
      <c r="A663" t="s">
        <v>1098</v>
      </c>
      <c r="B663" t="s">
        <v>1751</v>
      </c>
      <c r="C663">
        <v>24</v>
      </c>
      <c r="D663" t="s">
        <v>82</v>
      </c>
      <c r="E663">
        <v>27</v>
      </c>
      <c r="F663">
        <v>0</v>
      </c>
      <c r="G663">
        <v>0</v>
      </c>
      <c r="I663">
        <v>1.12357</v>
      </c>
      <c r="J663">
        <v>1.00649</v>
      </c>
      <c r="K663">
        <v>0.95379</v>
      </c>
      <c r="L663">
        <v>1.01144</v>
      </c>
      <c r="M663">
        <v>0.9362200000000001</v>
      </c>
      <c r="N663">
        <v>1.03684</v>
      </c>
      <c r="O663">
        <v>1</v>
      </c>
      <c r="P663">
        <v>0.96795</v>
      </c>
      <c r="Q663">
        <v>1</v>
      </c>
      <c r="R663">
        <v>1</v>
      </c>
      <c r="S663">
        <v>1</v>
      </c>
      <c r="T663">
        <v>1.0633</v>
      </c>
      <c r="U663">
        <v>1</v>
      </c>
      <c r="V663">
        <v>78.52200000000001</v>
      </c>
      <c r="W663">
        <v>34.701</v>
      </c>
      <c r="X663">
        <v>84.405</v>
      </c>
      <c r="Y663">
        <v>18.699</v>
      </c>
      <c r="Z663">
        <v>30.88</v>
      </c>
      <c r="AA663">
        <v>247.207</v>
      </c>
      <c r="AB663">
        <v>1.01055</v>
      </c>
      <c r="AC663">
        <v>244</v>
      </c>
      <c r="AD663">
        <v>0</v>
      </c>
      <c r="AG663">
        <v>73</v>
      </c>
      <c r="AH663">
        <v>37</v>
      </c>
      <c r="AI663">
        <v>81</v>
      </c>
      <c r="AJ663">
        <v>17</v>
      </c>
      <c r="AK663">
        <v>36</v>
      </c>
    </row>
    <row r="664" spans="1:37">
      <c r="A664" t="s">
        <v>1099</v>
      </c>
      <c r="B664" t="s">
        <v>1752</v>
      </c>
      <c r="C664">
        <v>22.8</v>
      </c>
      <c r="D664" t="s">
        <v>82</v>
      </c>
      <c r="E664">
        <v>28</v>
      </c>
      <c r="F664">
        <v>0</v>
      </c>
      <c r="G664">
        <v>0</v>
      </c>
      <c r="I664">
        <v>1.12376</v>
      </c>
      <c r="J664">
        <v>0.9929</v>
      </c>
      <c r="K664">
        <v>0.95379</v>
      </c>
      <c r="L664">
        <v>1.01182</v>
      </c>
      <c r="M664">
        <v>1.13889</v>
      </c>
      <c r="N664">
        <v>1.05209</v>
      </c>
      <c r="O664">
        <v>1</v>
      </c>
      <c r="P664">
        <v>0.96469</v>
      </c>
      <c r="Q664">
        <v>1</v>
      </c>
      <c r="R664">
        <v>1</v>
      </c>
      <c r="S664">
        <v>1</v>
      </c>
      <c r="T664">
        <v>1.05244</v>
      </c>
      <c r="U664">
        <v>1</v>
      </c>
      <c r="V664">
        <v>72.76000000000001</v>
      </c>
      <c r="W664">
        <v>28.845</v>
      </c>
      <c r="X664">
        <v>128.464</v>
      </c>
      <c r="Y664">
        <v>31.874</v>
      </c>
      <c r="Z664">
        <v>35.512</v>
      </c>
      <c r="AA664">
        <v>297.455</v>
      </c>
      <c r="AB664">
        <v>0.97701</v>
      </c>
      <c r="AC664">
        <v>290</v>
      </c>
      <c r="AD664">
        <v>0</v>
      </c>
      <c r="AG664">
        <v>65</v>
      </c>
      <c r="AH664">
        <v>30</v>
      </c>
      <c r="AI664">
        <v>117</v>
      </c>
      <c r="AJ664">
        <v>38</v>
      </c>
      <c r="AK664">
        <v>40</v>
      </c>
    </row>
    <row r="665" spans="1:37">
      <c r="A665" t="s">
        <v>1100</v>
      </c>
      <c r="B665" t="s">
        <v>1753</v>
      </c>
      <c r="C665">
        <v>21.6</v>
      </c>
      <c r="D665" t="s">
        <v>82</v>
      </c>
      <c r="E665">
        <v>29</v>
      </c>
      <c r="F665">
        <v>0</v>
      </c>
      <c r="G665">
        <v>0</v>
      </c>
      <c r="I665">
        <v>1.12394</v>
      </c>
      <c r="J665">
        <v>0.99839</v>
      </c>
      <c r="K665">
        <v>0.95379</v>
      </c>
      <c r="L665">
        <v>1.01223</v>
      </c>
      <c r="M665">
        <v>0.91352</v>
      </c>
      <c r="N665">
        <v>1.06656</v>
      </c>
      <c r="O665">
        <v>1</v>
      </c>
      <c r="P665">
        <v>0.9584</v>
      </c>
      <c r="Q665">
        <v>1</v>
      </c>
      <c r="R665">
        <v>1</v>
      </c>
      <c r="S665">
        <v>1</v>
      </c>
      <c r="T665">
        <v>1.02647</v>
      </c>
      <c r="U665">
        <v>1</v>
      </c>
      <c r="V665">
        <v>17.506</v>
      </c>
      <c r="W665">
        <v>12.698</v>
      </c>
      <c r="X665">
        <v>120.522</v>
      </c>
      <c r="Y665">
        <v>50.831</v>
      </c>
      <c r="Z665">
        <v>38.154</v>
      </c>
      <c r="AA665">
        <v>239.711</v>
      </c>
      <c r="AB665">
        <v>1.06837</v>
      </c>
      <c r="AC665">
        <v>282</v>
      </c>
      <c r="AD665">
        <v>0</v>
      </c>
      <c r="AG665">
        <v>24</v>
      </c>
      <c r="AH665">
        <v>21</v>
      </c>
      <c r="AI665">
        <v>138</v>
      </c>
      <c r="AJ665">
        <v>51</v>
      </c>
      <c r="AK665">
        <v>48</v>
      </c>
    </row>
    <row r="666" spans="1:37">
      <c r="A666" t="s">
        <v>1101</v>
      </c>
      <c r="B666" t="s">
        <v>1754</v>
      </c>
      <c r="C666">
        <v>23.1</v>
      </c>
      <c r="D666" t="s">
        <v>82</v>
      </c>
      <c r="E666">
        <v>30</v>
      </c>
      <c r="F666">
        <v>0</v>
      </c>
      <c r="G666">
        <v>0</v>
      </c>
      <c r="I666">
        <v>1.12413</v>
      </c>
      <c r="J666">
        <v>1.00027</v>
      </c>
      <c r="K666">
        <v>0.95379</v>
      </c>
      <c r="L666">
        <v>1.01268</v>
      </c>
      <c r="M666">
        <v>0.8495</v>
      </c>
      <c r="N666">
        <v>1.06159</v>
      </c>
      <c r="O666">
        <v>1</v>
      </c>
      <c r="P666">
        <v>0.96026</v>
      </c>
      <c r="Q666">
        <v>1</v>
      </c>
      <c r="R666">
        <v>1</v>
      </c>
      <c r="S666">
        <v>1</v>
      </c>
      <c r="T666">
        <v>1.03151</v>
      </c>
      <c r="U666">
        <v>1</v>
      </c>
      <c r="V666">
        <v>23.932</v>
      </c>
      <c r="W666">
        <v>20.005</v>
      </c>
      <c r="X666">
        <v>102.599</v>
      </c>
      <c r="Y666">
        <v>42.813</v>
      </c>
      <c r="Z666">
        <v>34.413</v>
      </c>
      <c r="AA666">
        <v>223.762</v>
      </c>
      <c r="AB666">
        <v>1.00514</v>
      </c>
      <c r="AC666">
        <v>209</v>
      </c>
      <c r="AD666">
        <v>0</v>
      </c>
      <c r="AG666">
        <v>25</v>
      </c>
      <c r="AH666">
        <v>19</v>
      </c>
      <c r="AI666">
        <v>95</v>
      </c>
      <c r="AJ666">
        <v>39</v>
      </c>
      <c r="AK666">
        <v>31</v>
      </c>
    </row>
    <row r="667" spans="1:37">
      <c r="A667" t="s">
        <v>460</v>
      </c>
      <c r="B667" t="s">
        <v>1751</v>
      </c>
      <c r="C667">
        <v>23.3</v>
      </c>
      <c r="D667" t="s">
        <v>82</v>
      </c>
      <c r="E667">
        <v>0</v>
      </c>
      <c r="F667">
        <v>0</v>
      </c>
      <c r="G667">
        <v>0</v>
      </c>
      <c r="I667">
        <v>1.12432</v>
      </c>
      <c r="J667">
        <v>1.00539</v>
      </c>
      <c r="K667">
        <v>0.95379</v>
      </c>
      <c r="L667">
        <v>1.01315</v>
      </c>
      <c r="M667">
        <v>0.89675</v>
      </c>
      <c r="N667">
        <v>1.03537</v>
      </c>
      <c r="O667">
        <v>1</v>
      </c>
      <c r="P667">
        <v>1.06133</v>
      </c>
      <c r="Q667">
        <v>1</v>
      </c>
      <c r="R667">
        <v>1</v>
      </c>
      <c r="S667">
        <v>1</v>
      </c>
      <c r="T667">
        <v>1.06627</v>
      </c>
      <c r="U667">
        <v>1</v>
      </c>
      <c r="V667">
        <v>87.706</v>
      </c>
      <c r="W667">
        <v>39.111</v>
      </c>
      <c r="X667">
        <v>83.863</v>
      </c>
      <c r="Y667">
        <v>18.411</v>
      </c>
      <c r="Z667">
        <v>32.416</v>
      </c>
      <c r="AA667">
        <v>261.506</v>
      </c>
      <c r="AB667">
        <v>0.9459</v>
      </c>
      <c r="AC667">
        <v>241</v>
      </c>
      <c r="AD667">
        <v>0</v>
      </c>
      <c r="AG667">
        <v>87</v>
      </c>
      <c r="AH667">
        <v>34</v>
      </c>
      <c r="AI667">
        <v>82</v>
      </c>
      <c r="AJ667">
        <v>13</v>
      </c>
      <c r="AK667">
        <v>25</v>
      </c>
    </row>
    <row r="668" spans="1:37">
      <c r="A668" t="s">
        <v>1102</v>
      </c>
      <c r="B668" t="s">
        <v>1751</v>
      </c>
      <c r="C668">
        <v>22.4</v>
      </c>
      <c r="D668" t="s">
        <v>82</v>
      </c>
      <c r="E668">
        <v>1</v>
      </c>
      <c r="F668">
        <v>0</v>
      </c>
      <c r="G668">
        <v>0</v>
      </c>
      <c r="I668">
        <v>1.1245</v>
      </c>
      <c r="J668">
        <v>1.02309</v>
      </c>
      <c r="K668">
        <v>0.95379</v>
      </c>
      <c r="L668">
        <v>1.01363</v>
      </c>
      <c r="M668">
        <v>0.87082</v>
      </c>
      <c r="N668">
        <v>1.03481</v>
      </c>
      <c r="O668">
        <v>1</v>
      </c>
      <c r="P668">
        <v>1.04124</v>
      </c>
      <c r="Q668">
        <v>1</v>
      </c>
      <c r="R668">
        <v>1</v>
      </c>
      <c r="S668">
        <v>1</v>
      </c>
      <c r="T668">
        <v>1.06588</v>
      </c>
      <c r="U668">
        <v>1</v>
      </c>
      <c r="V668">
        <v>84.31999999999999</v>
      </c>
      <c r="W668">
        <v>39.262</v>
      </c>
      <c r="X668">
        <v>81.43000000000001</v>
      </c>
      <c r="Y668">
        <v>16.774</v>
      </c>
      <c r="Z668">
        <v>31.69</v>
      </c>
      <c r="AA668">
        <v>253.478</v>
      </c>
      <c r="AB668">
        <v>0.96189</v>
      </c>
      <c r="AC668">
        <v>233</v>
      </c>
      <c r="AD668">
        <v>0</v>
      </c>
      <c r="AG668">
        <v>71</v>
      </c>
      <c r="AH668">
        <v>37</v>
      </c>
      <c r="AI668">
        <v>78</v>
      </c>
      <c r="AJ668">
        <v>19</v>
      </c>
      <c r="AK668">
        <v>28</v>
      </c>
    </row>
    <row r="669" spans="1:37">
      <c r="A669" t="s">
        <v>1103</v>
      </c>
      <c r="B669" t="s">
        <v>1751</v>
      </c>
      <c r="C669">
        <v>19.8</v>
      </c>
      <c r="D669" t="s">
        <v>82</v>
      </c>
      <c r="E669">
        <v>2</v>
      </c>
      <c r="F669">
        <v>0</v>
      </c>
      <c r="G669">
        <v>0</v>
      </c>
      <c r="I669">
        <v>1.12469</v>
      </c>
      <c r="J669">
        <v>1.02421</v>
      </c>
      <c r="K669">
        <v>0.95379</v>
      </c>
      <c r="L669">
        <v>1.01414</v>
      </c>
      <c r="M669">
        <v>0.8969200000000001</v>
      </c>
      <c r="N669">
        <v>1.0258</v>
      </c>
      <c r="O669">
        <v>1</v>
      </c>
      <c r="P669">
        <v>1.02787</v>
      </c>
      <c r="Q669">
        <v>1</v>
      </c>
      <c r="R669">
        <v>1</v>
      </c>
      <c r="S669">
        <v>1</v>
      </c>
      <c r="T669">
        <v>1.0655</v>
      </c>
      <c r="U669">
        <v>1</v>
      </c>
      <c r="V669">
        <v>83.976</v>
      </c>
      <c r="W669">
        <v>38.954</v>
      </c>
      <c r="X669">
        <v>83.86</v>
      </c>
      <c r="Y669">
        <v>17.805</v>
      </c>
      <c r="Z669">
        <v>30.623</v>
      </c>
      <c r="AA669">
        <v>255.218</v>
      </c>
      <c r="AB669">
        <v>0.99799</v>
      </c>
      <c r="AC669">
        <v>266</v>
      </c>
      <c r="AD669">
        <v>0</v>
      </c>
      <c r="AG669">
        <v>91</v>
      </c>
      <c r="AH669">
        <v>37</v>
      </c>
      <c r="AI669">
        <v>85</v>
      </c>
      <c r="AJ669">
        <v>19</v>
      </c>
      <c r="AK669">
        <v>34</v>
      </c>
    </row>
    <row r="670" spans="1:37">
      <c r="A670" t="s">
        <v>1104</v>
      </c>
      <c r="B670" t="s">
        <v>1751</v>
      </c>
      <c r="C670">
        <v>22.2</v>
      </c>
      <c r="D670" t="s">
        <v>82</v>
      </c>
      <c r="E670">
        <v>3</v>
      </c>
      <c r="F670">
        <v>0</v>
      </c>
      <c r="G670">
        <v>0</v>
      </c>
      <c r="I670">
        <v>1.12488</v>
      </c>
      <c r="J670">
        <v>1.03014</v>
      </c>
      <c r="K670">
        <v>0.95379</v>
      </c>
      <c r="L670">
        <v>1.01465</v>
      </c>
      <c r="M670">
        <v>0.9352200000000001</v>
      </c>
      <c r="N670">
        <v>1.0393</v>
      </c>
      <c r="O670">
        <v>1</v>
      </c>
      <c r="P670">
        <v>1.01932</v>
      </c>
      <c r="Q670">
        <v>1</v>
      </c>
      <c r="R670">
        <v>1</v>
      </c>
      <c r="S670">
        <v>1</v>
      </c>
      <c r="T670">
        <v>1.06219</v>
      </c>
      <c r="U670">
        <v>1</v>
      </c>
      <c r="V670">
        <v>82.503</v>
      </c>
      <c r="W670">
        <v>37.005</v>
      </c>
      <c r="X670">
        <v>94.488</v>
      </c>
      <c r="Y670">
        <v>20.857</v>
      </c>
      <c r="Z670">
        <v>33.261</v>
      </c>
      <c r="AA670">
        <v>268.113</v>
      </c>
      <c r="AB670">
        <v>1.05413</v>
      </c>
      <c r="AC670">
        <v>264</v>
      </c>
      <c r="AD670">
        <v>0</v>
      </c>
      <c r="AG670">
        <v>80</v>
      </c>
      <c r="AH670">
        <v>37</v>
      </c>
      <c r="AI670">
        <v>95</v>
      </c>
      <c r="AJ670">
        <v>14</v>
      </c>
      <c r="AK670">
        <v>38</v>
      </c>
    </row>
    <row r="671" spans="1:37">
      <c r="A671" t="s">
        <v>1105</v>
      </c>
      <c r="B671" t="s">
        <v>1752</v>
      </c>
      <c r="C671">
        <v>23.6</v>
      </c>
      <c r="D671" t="s">
        <v>82</v>
      </c>
      <c r="E671">
        <v>4</v>
      </c>
      <c r="F671">
        <v>0</v>
      </c>
      <c r="G671">
        <v>0</v>
      </c>
      <c r="I671">
        <v>1.12506</v>
      </c>
      <c r="J671">
        <v>1.02776</v>
      </c>
      <c r="K671">
        <v>0.95379</v>
      </c>
      <c r="L671">
        <v>1.01517</v>
      </c>
      <c r="M671">
        <v>1.14275</v>
      </c>
      <c r="N671">
        <v>1.0512</v>
      </c>
      <c r="O671">
        <v>1</v>
      </c>
      <c r="P671">
        <v>1.01425</v>
      </c>
      <c r="Q671">
        <v>1</v>
      </c>
      <c r="R671">
        <v>1</v>
      </c>
      <c r="S671">
        <v>1</v>
      </c>
      <c r="T671">
        <v>1.05168</v>
      </c>
      <c r="U671">
        <v>1</v>
      </c>
      <c r="V671">
        <v>77.121</v>
      </c>
      <c r="W671">
        <v>30.976</v>
      </c>
      <c r="X671">
        <v>141.646</v>
      </c>
      <c r="Y671">
        <v>35.19</v>
      </c>
      <c r="Z671">
        <v>39.834</v>
      </c>
      <c r="AA671">
        <v>324.767</v>
      </c>
      <c r="AB671">
        <v>0.97563</v>
      </c>
      <c r="AC671">
        <v>329</v>
      </c>
      <c r="AD671">
        <v>0</v>
      </c>
      <c r="AG671">
        <v>84</v>
      </c>
      <c r="AH671">
        <v>31</v>
      </c>
      <c r="AI671">
        <v>141</v>
      </c>
      <c r="AJ671">
        <v>39</v>
      </c>
      <c r="AK671">
        <v>34</v>
      </c>
    </row>
    <row r="672" spans="1:37">
      <c r="A672" t="s">
        <v>1106</v>
      </c>
      <c r="B672" t="s">
        <v>1753</v>
      </c>
      <c r="C672">
        <v>22.7</v>
      </c>
      <c r="D672" t="s">
        <v>82</v>
      </c>
      <c r="E672">
        <v>5</v>
      </c>
      <c r="F672">
        <v>0</v>
      </c>
      <c r="G672">
        <v>0</v>
      </c>
      <c r="I672">
        <v>1.12525</v>
      </c>
      <c r="J672">
        <v>1.01658</v>
      </c>
      <c r="K672">
        <v>0.9924500000000001</v>
      </c>
      <c r="L672">
        <v>1.01568</v>
      </c>
      <c r="M672">
        <v>0.9248</v>
      </c>
      <c r="N672">
        <v>1.06897</v>
      </c>
      <c r="O672">
        <v>1</v>
      </c>
      <c r="P672">
        <v>1.01126</v>
      </c>
      <c r="Q672">
        <v>1</v>
      </c>
      <c r="R672">
        <v>1</v>
      </c>
      <c r="S672">
        <v>1</v>
      </c>
      <c r="T672">
        <v>1.02637</v>
      </c>
      <c r="U672">
        <v>1</v>
      </c>
      <c r="V672">
        <v>18.96</v>
      </c>
      <c r="W672">
        <v>13.917</v>
      </c>
      <c r="X672">
        <v>135.885</v>
      </c>
      <c r="Y672">
        <v>57.309</v>
      </c>
      <c r="Z672">
        <v>43.754</v>
      </c>
      <c r="AA672">
        <v>269.825</v>
      </c>
      <c r="AB672">
        <v>0.97416</v>
      </c>
      <c r="AC672">
        <v>269</v>
      </c>
      <c r="AD672">
        <v>0</v>
      </c>
      <c r="AG672">
        <v>16</v>
      </c>
      <c r="AH672">
        <v>12</v>
      </c>
      <c r="AI672">
        <v>144</v>
      </c>
      <c r="AJ672">
        <v>64</v>
      </c>
      <c r="AK672">
        <v>33</v>
      </c>
    </row>
    <row r="673" spans="1:37">
      <c r="A673" t="s">
        <v>1107</v>
      </c>
      <c r="B673" t="s">
        <v>1754</v>
      </c>
      <c r="C673">
        <v>22.5</v>
      </c>
      <c r="D673" t="s">
        <v>82</v>
      </c>
      <c r="E673">
        <v>6</v>
      </c>
      <c r="F673">
        <v>0</v>
      </c>
      <c r="G673">
        <v>0</v>
      </c>
      <c r="I673">
        <v>1.12544</v>
      </c>
      <c r="J673">
        <v>1.01736</v>
      </c>
      <c r="K673">
        <v>0.9924500000000001</v>
      </c>
      <c r="L673">
        <v>1.01619</v>
      </c>
      <c r="M673">
        <v>0.85717</v>
      </c>
      <c r="N673">
        <v>1.06246</v>
      </c>
      <c r="O673">
        <v>1</v>
      </c>
      <c r="P673">
        <v>1.00721</v>
      </c>
      <c r="Q673">
        <v>1</v>
      </c>
      <c r="R673">
        <v>1</v>
      </c>
      <c r="S673">
        <v>1</v>
      </c>
      <c r="T673">
        <v>1.03139</v>
      </c>
      <c r="U673">
        <v>1</v>
      </c>
      <c r="V673">
        <v>25.861</v>
      </c>
      <c r="W673">
        <v>21.858</v>
      </c>
      <c r="X673">
        <v>115.552</v>
      </c>
      <c r="Y673">
        <v>48.164</v>
      </c>
      <c r="Z673">
        <v>38.294</v>
      </c>
      <c r="AA673">
        <v>249.729</v>
      </c>
      <c r="AB673">
        <v>0.9837</v>
      </c>
      <c r="AC673">
        <v>245</v>
      </c>
      <c r="AD673">
        <v>0</v>
      </c>
      <c r="AG673">
        <v>32</v>
      </c>
      <c r="AH673">
        <v>19</v>
      </c>
      <c r="AI673">
        <v>111</v>
      </c>
      <c r="AJ673">
        <v>42</v>
      </c>
      <c r="AK673">
        <v>41</v>
      </c>
    </row>
    <row r="674" spans="1:37">
      <c r="A674" t="s">
        <v>461</v>
      </c>
      <c r="B674" t="s">
        <v>1751</v>
      </c>
      <c r="C674">
        <v>23.6</v>
      </c>
      <c r="D674" t="s">
        <v>1474</v>
      </c>
      <c r="E674">
        <v>7</v>
      </c>
      <c r="F674">
        <v>0</v>
      </c>
      <c r="G674">
        <v>0</v>
      </c>
      <c r="I674">
        <v>1.12563</v>
      </c>
      <c r="J674">
        <v>1.01739</v>
      </c>
      <c r="K674">
        <v>0.9924500000000001</v>
      </c>
      <c r="L674">
        <v>1.01668</v>
      </c>
      <c r="M674">
        <v>0.90277</v>
      </c>
      <c r="N674">
        <v>1.03332</v>
      </c>
      <c r="O674">
        <v>1.01176</v>
      </c>
      <c r="P674">
        <v>1.00371</v>
      </c>
      <c r="Q674">
        <v>1</v>
      </c>
      <c r="R674">
        <v>1</v>
      </c>
      <c r="S674">
        <v>1</v>
      </c>
      <c r="T674">
        <v>1.06773</v>
      </c>
      <c r="U674">
        <v>1</v>
      </c>
      <c r="V674">
        <v>90.506</v>
      </c>
      <c r="W674">
        <v>43.69</v>
      </c>
      <c r="X674">
        <v>81.658</v>
      </c>
      <c r="Y674">
        <v>17.037</v>
      </c>
      <c r="Z674">
        <v>31.776</v>
      </c>
      <c r="AA674">
        <v>264.667</v>
      </c>
      <c r="AB674">
        <v>1.04986</v>
      </c>
      <c r="AC674">
        <v>286</v>
      </c>
      <c r="AD674">
        <v>0</v>
      </c>
      <c r="AG674">
        <v>98</v>
      </c>
      <c r="AH674">
        <v>51</v>
      </c>
      <c r="AI674">
        <v>93</v>
      </c>
      <c r="AJ674">
        <v>19</v>
      </c>
      <c r="AK674">
        <v>25</v>
      </c>
    </row>
    <row r="675" spans="1:37">
      <c r="A675" t="s">
        <v>1108</v>
      </c>
      <c r="B675" t="s">
        <v>1751</v>
      </c>
      <c r="C675">
        <v>23.8</v>
      </c>
      <c r="D675" t="s">
        <v>1474</v>
      </c>
      <c r="E675">
        <v>8</v>
      </c>
      <c r="F675">
        <v>0</v>
      </c>
      <c r="G675">
        <v>0</v>
      </c>
      <c r="I675">
        <v>1.12581</v>
      </c>
      <c r="J675">
        <v>1.02635</v>
      </c>
      <c r="K675">
        <v>0.9924500000000001</v>
      </c>
      <c r="L675">
        <v>1.01716</v>
      </c>
      <c r="M675">
        <v>0.87661</v>
      </c>
      <c r="N675">
        <v>1.03262</v>
      </c>
      <c r="O675">
        <v>1.01243</v>
      </c>
      <c r="P675">
        <v>1.00249</v>
      </c>
      <c r="Q675">
        <v>1</v>
      </c>
      <c r="R675">
        <v>1</v>
      </c>
      <c r="S675">
        <v>1</v>
      </c>
      <c r="T675">
        <v>1.06675</v>
      </c>
      <c r="U675">
        <v>1</v>
      </c>
      <c r="V675">
        <v>86.96599999999999</v>
      </c>
      <c r="W675">
        <v>44.066</v>
      </c>
      <c r="X675">
        <v>80.116</v>
      </c>
      <c r="Y675">
        <v>15.714</v>
      </c>
      <c r="Z675">
        <v>32.112</v>
      </c>
      <c r="AA675">
        <v>258.974</v>
      </c>
      <c r="AB675">
        <v>1.02984</v>
      </c>
      <c r="AC675">
        <v>256</v>
      </c>
      <c r="AD675">
        <v>0</v>
      </c>
      <c r="AG675">
        <v>88</v>
      </c>
      <c r="AH675">
        <v>43</v>
      </c>
      <c r="AI675">
        <v>77</v>
      </c>
      <c r="AJ675">
        <v>19</v>
      </c>
      <c r="AK675">
        <v>29</v>
      </c>
    </row>
    <row r="676" spans="1:37">
      <c r="A676" t="s">
        <v>1109</v>
      </c>
      <c r="B676" t="s">
        <v>1751</v>
      </c>
      <c r="C676">
        <v>23.5</v>
      </c>
      <c r="D676" t="s">
        <v>1474</v>
      </c>
      <c r="E676">
        <v>9</v>
      </c>
      <c r="F676">
        <v>0</v>
      </c>
      <c r="G676">
        <v>0</v>
      </c>
      <c r="I676">
        <v>1.126</v>
      </c>
      <c r="J676">
        <v>1.02067</v>
      </c>
      <c r="K676">
        <v>0.9924500000000001</v>
      </c>
      <c r="L676">
        <v>1.01761</v>
      </c>
      <c r="M676">
        <v>0.90072</v>
      </c>
      <c r="N676">
        <v>1.03465</v>
      </c>
      <c r="O676">
        <v>1.01179</v>
      </c>
      <c r="P676">
        <v>1.00169</v>
      </c>
      <c r="Q676">
        <v>1</v>
      </c>
      <c r="R676">
        <v>1</v>
      </c>
      <c r="S676">
        <v>1</v>
      </c>
      <c r="T676">
        <v>1.06544</v>
      </c>
      <c r="U676">
        <v>1</v>
      </c>
      <c r="V676">
        <v>86.508</v>
      </c>
      <c r="W676">
        <v>43.825</v>
      </c>
      <c r="X676">
        <v>84.85899999999999</v>
      </c>
      <c r="Y676">
        <v>17.075</v>
      </c>
      <c r="Z676">
        <v>32.484</v>
      </c>
      <c r="AA676">
        <v>264.752</v>
      </c>
      <c r="AB676">
        <v>1.03756</v>
      </c>
      <c r="AC676">
        <v>277</v>
      </c>
      <c r="AD676">
        <v>0</v>
      </c>
      <c r="AG676">
        <v>93</v>
      </c>
      <c r="AH676">
        <v>51</v>
      </c>
      <c r="AI676">
        <v>83</v>
      </c>
      <c r="AJ676">
        <v>18</v>
      </c>
      <c r="AK676">
        <v>32</v>
      </c>
    </row>
    <row r="677" spans="1:37">
      <c r="A677" t="s">
        <v>1110</v>
      </c>
      <c r="B677" t="s">
        <v>1751</v>
      </c>
      <c r="C677">
        <v>22.7</v>
      </c>
      <c r="D677" t="s">
        <v>1474</v>
      </c>
      <c r="E677">
        <v>10</v>
      </c>
      <c r="F677">
        <v>0</v>
      </c>
      <c r="G677">
        <v>0</v>
      </c>
      <c r="I677">
        <v>1.12619</v>
      </c>
      <c r="J677">
        <v>1.01582</v>
      </c>
      <c r="K677">
        <v>0.9924500000000001</v>
      </c>
      <c r="L677">
        <v>1.01803</v>
      </c>
      <c r="M677">
        <v>0.93692</v>
      </c>
      <c r="N677">
        <v>1.0386</v>
      </c>
      <c r="O677">
        <v>1.01002</v>
      </c>
      <c r="P677">
        <v>1.00117</v>
      </c>
      <c r="Q677">
        <v>1</v>
      </c>
      <c r="R677">
        <v>1</v>
      </c>
      <c r="S677">
        <v>1</v>
      </c>
      <c r="T677">
        <v>1.06257</v>
      </c>
      <c r="U677">
        <v>1</v>
      </c>
      <c r="V677">
        <v>84.407</v>
      </c>
      <c r="W677">
        <v>41.446</v>
      </c>
      <c r="X677">
        <v>94.88500000000001</v>
      </c>
      <c r="Y677">
        <v>19.899</v>
      </c>
      <c r="Z677">
        <v>33.685</v>
      </c>
      <c r="AA677">
        <v>274.321</v>
      </c>
      <c r="AB677">
        <v>0.96379</v>
      </c>
      <c r="AC677">
        <v>271</v>
      </c>
      <c r="AD677">
        <v>1</v>
      </c>
      <c r="AG677">
        <v>86</v>
      </c>
      <c r="AH677">
        <v>33</v>
      </c>
      <c r="AI677">
        <v>87</v>
      </c>
      <c r="AJ677">
        <v>24</v>
      </c>
      <c r="AK677">
        <v>41</v>
      </c>
    </row>
    <row r="678" spans="1:37">
      <c r="A678" t="s">
        <v>1111</v>
      </c>
      <c r="B678" t="s">
        <v>1752</v>
      </c>
      <c r="C678">
        <v>22.3</v>
      </c>
      <c r="D678" t="s">
        <v>1474</v>
      </c>
      <c r="E678">
        <v>11</v>
      </c>
      <c r="F678">
        <v>0</v>
      </c>
      <c r="G678">
        <v>0</v>
      </c>
      <c r="I678">
        <v>1.12637</v>
      </c>
      <c r="J678">
        <v>1.01935</v>
      </c>
      <c r="K678">
        <v>0.9924500000000001</v>
      </c>
      <c r="L678">
        <v>1.01843</v>
      </c>
      <c r="M678">
        <v>1.13747</v>
      </c>
      <c r="N678">
        <v>1.05189</v>
      </c>
      <c r="O678">
        <v>1.00415</v>
      </c>
      <c r="P678">
        <v>1.00086</v>
      </c>
      <c r="Q678">
        <v>1</v>
      </c>
      <c r="R678">
        <v>1</v>
      </c>
      <c r="S678">
        <v>1</v>
      </c>
      <c r="T678">
        <v>1.05219</v>
      </c>
      <c r="U678">
        <v>1</v>
      </c>
      <c r="V678">
        <v>79.54600000000001</v>
      </c>
      <c r="W678">
        <v>35.035</v>
      </c>
      <c r="X678">
        <v>145.515</v>
      </c>
      <c r="Y678">
        <v>34.263</v>
      </c>
      <c r="Z678">
        <v>39.84</v>
      </c>
      <c r="AA678">
        <v>334.199</v>
      </c>
      <c r="AB678">
        <v>0.9749</v>
      </c>
      <c r="AC678">
        <v>327</v>
      </c>
      <c r="AD678">
        <v>0</v>
      </c>
      <c r="AG678">
        <v>77</v>
      </c>
      <c r="AH678">
        <v>30</v>
      </c>
      <c r="AI678">
        <v>131</v>
      </c>
      <c r="AJ678">
        <v>32</v>
      </c>
      <c r="AK678">
        <v>57</v>
      </c>
    </row>
    <row r="679" spans="1:37">
      <c r="A679" t="s">
        <v>1112</v>
      </c>
      <c r="B679" t="s">
        <v>1753</v>
      </c>
      <c r="C679">
        <v>23.7</v>
      </c>
      <c r="D679" t="s">
        <v>1474</v>
      </c>
      <c r="E679">
        <v>12</v>
      </c>
      <c r="F679">
        <v>0</v>
      </c>
      <c r="G679">
        <v>0</v>
      </c>
      <c r="I679">
        <v>1.12656</v>
      </c>
      <c r="J679">
        <v>1.02758</v>
      </c>
      <c r="K679">
        <v>0.9924500000000001</v>
      </c>
      <c r="L679">
        <v>1.01878</v>
      </c>
      <c r="M679">
        <v>0.90895</v>
      </c>
      <c r="N679">
        <v>1.0657</v>
      </c>
      <c r="O679">
        <v>0.9946199999999999</v>
      </c>
      <c r="P679">
        <v>1.00068</v>
      </c>
      <c r="Q679">
        <v>1</v>
      </c>
      <c r="R679">
        <v>1</v>
      </c>
      <c r="S679">
        <v>1</v>
      </c>
      <c r="T679">
        <v>1.02678</v>
      </c>
      <c r="U679">
        <v>1</v>
      </c>
      <c r="V679">
        <v>19.184</v>
      </c>
      <c r="W679">
        <v>15.458</v>
      </c>
      <c r="X679">
        <v>135.443</v>
      </c>
      <c r="Y679">
        <v>54.36</v>
      </c>
      <c r="Z679">
        <v>44.564</v>
      </c>
      <c r="AA679">
        <v>269.009</v>
      </c>
      <c r="AB679">
        <v>1.02215</v>
      </c>
      <c r="AC679">
        <v>264</v>
      </c>
      <c r="AD679">
        <v>0</v>
      </c>
      <c r="AG679">
        <v>22</v>
      </c>
      <c r="AH679">
        <v>18</v>
      </c>
      <c r="AI679">
        <v>133</v>
      </c>
      <c r="AJ679">
        <v>46</v>
      </c>
      <c r="AK679">
        <v>45</v>
      </c>
    </row>
    <row r="680" spans="1:37">
      <c r="A680" t="s">
        <v>1113</v>
      </c>
      <c r="B680" t="s">
        <v>1754</v>
      </c>
      <c r="C680">
        <v>23.3</v>
      </c>
      <c r="D680" t="s">
        <v>1474</v>
      </c>
      <c r="E680">
        <v>13</v>
      </c>
      <c r="F680">
        <v>0</v>
      </c>
      <c r="G680">
        <v>0</v>
      </c>
      <c r="I680">
        <v>1.12675</v>
      </c>
      <c r="J680">
        <v>1.0328</v>
      </c>
      <c r="K680">
        <v>0.9924500000000001</v>
      </c>
      <c r="L680">
        <v>1.0191</v>
      </c>
      <c r="M680">
        <v>0.8478599999999999</v>
      </c>
      <c r="N680">
        <v>1.06062</v>
      </c>
      <c r="O680">
        <v>0.99918</v>
      </c>
      <c r="P680">
        <v>1.00044</v>
      </c>
      <c r="Q680">
        <v>1</v>
      </c>
      <c r="R680">
        <v>1</v>
      </c>
      <c r="S680">
        <v>1</v>
      </c>
      <c r="T680">
        <v>1.03177</v>
      </c>
      <c r="U680">
        <v>1</v>
      </c>
      <c r="V680">
        <v>26.304</v>
      </c>
      <c r="W680">
        <v>24.424</v>
      </c>
      <c r="X680">
        <v>116.419</v>
      </c>
      <c r="Y680">
        <v>46.143</v>
      </c>
      <c r="Z680">
        <v>39.197</v>
      </c>
      <c r="AA680">
        <v>252.488</v>
      </c>
      <c r="AB680">
        <v>1.00595</v>
      </c>
      <c r="AC680">
        <v>250</v>
      </c>
      <c r="AD680">
        <v>0</v>
      </c>
      <c r="AG680">
        <v>31</v>
      </c>
      <c r="AH680">
        <v>25</v>
      </c>
      <c r="AI680">
        <v>118</v>
      </c>
      <c r="AJ680">
        <v>50</v>
      </c>
      <c r="AK680">
        <v>26</v>
      </c>
    </row>
    <row r="681" spans="1:37">
      <c r="A681" t="s">
        <v>462</v>
      </c>
      <c r="B681" t="s">
        <v>1751</v>
      </c>
      <c r="C681">
        <v>22.8</v>
      </c>
      <c r="D681" t="s">
        <v>1474</v>
      </c>
      <c r="E681">
        <v>14</v>
      </c>
      <c r="F681">
        <v>0</v>
      </c>
      <c r="G681">
        <v>0</v>
      </c>
      <c r="I681">
        <v>1.12693</v>
      </c>
      <c r="J681">
        <v>1.03029</v>
      </c>
      <c r="K681">
        <v>0.9924500000000001</v>
      </c>
      <c r="L681">
        <v>1.01937</v>
      </c>
      <c r="M681">
        <v>0.90268</v>
      </c>
      <c r="N681">
        <v>1.03397</v>
      </c>
      <c r="O681">
        <v>1.01175</v>
      </c>
      <c r="P681">
        <v>1.00023</v>
      </c>
      <c r="Q681">
        <v>1</v>
      </c>
      <c r="R681">
        <v>1</v>
      </c>
      <c r="S681">
        <v>1</v>
      </c>
      <c r="T681">
        <v>1.06814</v>
      </c>
      <c r="U681">
        <v>1</v>
      </c>
      <c r="V681">
        <v>91.878</v>
      </c>
      <c r="W681">
        <v>44.318</v>
      </c>
      <c r="X681">
        <v>83.10299999999999</v>
      </c>
      <c r="Y681">
        <v>17.307</v>
      </c>
      <c r="Z681">
        <v>31.769</v>
      </c>
      <c r="AA681">
        <v>268.374</v>
      </c>
      <c r="AB681">
        <v>0.9311199999999999</v>
      </c>
      <c r="AC681">
        <v>274</v>
      </c>
      <c r="AD681">
        <v>0</v>
      </c>
      <c r="AG681">
        <v>101</v>
      </c>
      <c r="AH681">
        <v>48</v>
      </c>
      <c r="AI681">
        <v>70</v>
      </c>
      <c r="AJ681">
        <v>15</v>
      </c>
      <c r="AK681">
        <v>40</v>
      </c>
    </row>
    <row r="682" spans="1:37">
      <c r="A682" t="s">
        <v>1114</v>
      </c>
      <c r="B682" t="s">
        <v>1751</v>
      </c>
      <c r="C682">
        <v>21.7</v>
      </c>
      <c r="D682" t="s">
        <v>1474</v>
      </c>
      <c r="E682">
        <v>15</v>
      </c>
      <c r="F682">
        <v>0</v>
      </c>
      <c r="G682">
        <v>0</v>
      </c>
      <c r="I682">
        <v>1.12712</v>
      </c>
      <c r="J682">
        <v>1.03037</v>
      </c>
      <c r="K682">
        <v>0.9924500000000001</v>
      </c>
      <c r="L682">
        <v>1.0196</v>
      </c>
      <c r="M682">
        <v>0.8763</v>
      </c>
      <c r="N682">
        <v>1.03218</v>
      </c>
      <c r="O682">
        <v>1.01244</v>
      </c>
      <c r="P682">
        <v>0.9976</v>
      </c>
      <c r="Q682">
        <v>1</v>
      </c>
      <c r="R682">
        <v>1</v>
      </c>
      <c r="S682">
        <v>1</v>
      </c>
      <c r="T682">
        <v>1.0673</v>
      </c>
      <c r="U682">
        <v>1</v>
      </c>
      <c r="V682">
        <v>87.444</v>
      </c>
      <c r="W682">
        <v>44.255</v>
      </c>
      <c r="X682">
        <v>80.94199999999999</v>
      </c>
      <c r="Y682">
        <v>15.83</v>
      </c>
      <c r="Z682">
        <v>31.151</v>
      </c>
      <c r="AA682">
        <v>259.622</v>
      </c>
      <c r="AB682">
        <v>0.95134</v>
      </c>
      <c r="AC682">
        <v>266</v>
      </c>
      <c r="AD682">
        <v>0</v>
      </c>
      <c r="AG682">
        <v>92</v>
      </c>
      <c r="AH682">
        <v>42</v>
      </c>
      <c r="AI682">
        <v>91</v>
      </c>
      <c r="AJ682">
        <v>11</v>
      </c>
      <c r="AK682">
        <v>30</v>
      </c>
    </row>
    <row r="683" spans="1:37">
      <c r="A683" t="s">
        <v>1115</v>
      </c>
      <c r="B683" t="s">
        <v>1751</v>
      </c>
      <c r="C683">
        <v>22.6</v>
      </c>
      <c r="D683" t="s">
        <v>1474</v>
      </c>
      <c r="E683">
        <v>16</v>
      </c>
      <c r="F683">
        <v>0</v>
      </c>
      <c r="G683">
        <v>0</v>
      </c>
      <c r="I683">
        <v>1.12731</v>
      </c>
      <c r="J683">
        <v>1.02607</v>
      </c>
      <c r="K683">
        <v>0.9924500000000001</v>
      </c>
      <c r="L683">
        <v>1.01978</v>
      </c>
      <c r="M683">
        <v>0.90074</v>
      </c>
      <c r="N683">
        <v>1.03508</v>
      </c>
      <c r="O683">
        <v>1.01181</v>
      </c>
      <c r="P683">
        <v>0.99494</v>
      </c>
      <c r="Q683">
        <v>1</v>
      </c>
      <c r="R683">
        <v>1</v>
      </c>
      <c r="S683">
        <v>1</v>
      </c>
      <c r="T683">
        <v>1.06595</v>
      </c>
      <c r="U683">
        <v>1</v>
      </c>
      <c r="V683">
        <v>87.011</v>
      </c>
      <c r="W683">
        <v>44.003</v>
      </c>
      <c r="X683">
        <v>85.276</v>
      </c>
      <c r="Y683">
        <v>17.127</v>
      </c>
      <c r="Z683">
        <v>32.024</v>
      </c>
      <c r="AA683">
        <v>265.442</v>
      </c>
      <c r="AB683">
        <v>0.95358</v>
      </c>
      <c r="AC683">
        <v>265</v>
      </c>
      <c r="AD683">
        <v>0</v>
      </c>
      <c r="AG683">
        <v>82</v>
      </c>
      <c r="AH683">
        <v>47</v>
      </c>
      <c r="AI683">
        <v>87</v>
      </c>
      <c r="AJ683">
        <v>15</v>
      </c>
      <c r="AK683">
        <v>34</v>
      </c>
    </row>
    <row r="684" spans="1:37">
      <c r="A684" t="s">
        <v>1116</v>
      </c>
      <c r="B684" t="s">
        <v>1751</v>
      </c>
      <c r="C684">
        <v>21.6</v>
      </c>
      <c r="D684" t="s">
        <v>1474</v>
      </c>
      <c r="E684">
        <v>17</v>
      </c>
      <c r="F684">
        <v>0</v>
      </c>
      <c r="G684">
        <v>0</v>
      </c>
      <c r="I684">
        <v>1.12749</v>
      </c>
      <c r="J684">
        <v>1.03019</v>
      </c>
      <c r="K684">
        <v>0.9924500000000001</v>
      </c>
      <c r="L684">
        <v>1.0199</v>
      </c>
      <c r="M684">
        <v>0.93698</v>
      </c>
      <c r="N684">
        <v>1.03682</v>
      </c>
      <c r="O684">
        <v>1.01008</v>
      </c>
      <c r="P684">
        <v>0.9921</v>
      </c>
      <c r="Q684">
        <v>1</v>
      </c>
      <c r="R684">
        <v>1</v>
      </c>
      <c r="S684">
        <v>1</v>
      </c>
      <c r="T684">
        <v>1.06323</v>
      </c>
      <c r="U684">
        <v>1</v>
      </c>
      <c r="V684">
        <v>85.542</v>
      </c>
      <c r="W684">
        <v>41.905</v>
      </c>
      <c r="X684">
        <v>95.416</v>
      </c>
      <c r="Y684">
        <v>20</v>
      </c>
      <c r="Z684">
        <v>33.284</v>
      </c>
      <c r="AA684">
        <v>276.148</v>
      </c>
      <c r="AB684">
        <v>0.89736</v>
      </c>
      <c r="AC684">
        <v>229</v>
      </c>
      <c r="AD684">
        <v>0</v>
      </c>
      <c r="AG684">
        <v>75</v>
      </c>
      <c r="AH684">
        <v>38</v>
      </c>
      <c r="AI684">
        <v>68</v>
      </c>
      <c r="AJ684">
        <v>16</v>
      </c>
      <c r="AK684">
        <v>32</v>
      </c>
    </row>
    <row r="685" spans="1:37">
      <c r="A685" t="s">
        <v>1117</v>
      </c>
      <c r="B685" t="s">
        <v>1752</v>
      </c>
      <c r="C685">
        <v>22.5</v>
      </c>
      <c r="D685" t="s">
        <v>1474</v>
      </c>
      <c r="E685">
        <v>18</v>
      </c>
      <c r="F685">
        <v>0</v>
      </c>
      <c r="G685">
        <v>0</v>
      </c>
      <c r="I685">
        <v>1.12768</v>
      </c>
      <c r="J685">
        <v>1.04007</v>
      </c>
      <c r="K685">
        <v>0.9924500000000001</v>
      </c>
      <c r="L685">
        <v>1.01998</v>
      </c>
      <c r="M685">
        <v>1.1363</v>
      </c>
      <c r="N685">
        <v>1.05181</v>
      </c>
      <c r="O685">
        <v>1.00422</v>
      </c>
      <c r="P685">
        <v>0.98834</v>
      </c>
      <c r="Q685">
        <v>1</v>
      </c>
      <c r="R685">
        <v>1</v>
      </c>
      <c r="S685">
        <v>1</v>
      </c>
      <c r="T685">
        <v>1.05276</v>
      </c>
      <c r="U685">
        <v>1</v>
      </c>
      <c r="V685">
        <v>81.004</v>
      </c>
      <c r="W685">
        <v>35.57</v>
      </c>
      <c r="X685">
        <v>146.472</v>
      </c>
      <c r="Y685">
        <v>34.485</v>
      </c>
      <c r="Z685">
        <v>40.23</v>
      </c>
      <c r="AA685">
        <v>337.761</v>
      </c>
      <c r="AB685">
        <v>0.97211</v>
      </c>
      <c r="AC685">
        <v>291</v>
      </c>
      <c r="AD685">
        <v>0</v>
      </c>
      <c r="AG685">
        <v>70</v>
      </c>
      <c r="AH685">
        <v>24</v>
      </c>
      <c r="AI685">
        <v>128</v>
      </c>
      <c r="AJ685">
        <v>36</v>
      </c>
      <c r="AK685">
        <v>33</v>
      </c>
    </row>
    <row r="686" spans="1:37">
      <c r="A686" t="s">
        <v>1118</v>
      </c>
      <c r="B686" t="s">
        <v>1753</v>
      </c>
      <c r="C686">
        <v>20.7</v>
      </c>
      <c r="D686" t="s">
        <v>1475</v>
      </c>
      <c r="E686">
        <v>19</v>
      </c>
      <c r="F686">
        <v>0</v>
      </c>
      <c r="G686">
        <v>0</v>
      </c>
      <c r="I686">
        <v>1.12787</v>
      </c>
      <c r="J686">
        <v>1.03898</v>
      </c>
      <c r="K686">
        <v>0.9924500000000001</v>
      </c>
      <c r="L686">
        <v>1.02</v>
      </c>
      <c r="M686">
        <v>0.99864</v>
      </c>
      <c r="N686">
        <v>1.06522</v>
      </c>
      <c r="O686">
        <v>1.0117</v>
      </c>
      <c r="P686">
        <v>0.98237</v>
      </c>
      <c r="Q686">
        <v>1</v>
      </c>
      <c r="R686">
        <v>1</v>
      </c>
      <c r="S686">
        <v>1</v>
      </c>
      <c r="T686">
        <v>1.0265</v>
      </c>
      <c r="U686">
        <v>1</v>
      </c>
      <c r="V686">
        <v>17.979</v>
      </c>
      <c r="W686">
        <v>6.349</v>
      </c>
      <c r="X686">
        <v>140.547</v>
      </c>
      <c r="Y686">
        <v>63.866</v>
      </c>
      <c r="Z686">
        <v>42.371</v>
      </c>
      <c r="AA686">
        <v>271.111</v>
      </c>
      <c r="AB686">
        <v>1.0216</v>
      </c>
      <c r="AC686">
        <v>270</v>
      </c>
      <c r="AD686">
        <v>0</v>
      </c>
      <c r="AG686">
        <v>13</v>
      </c>
      <c r="AH686">
        <v>4</v>
      </c>
      <c r="AI686">
        <v>148</v>
      </c>
      <c r="AJ686">
        <v>63</v>
      </c>
      <c r="AK686">
        <v>42</v>
      </c>
    </row>
    <row r="687" spans="1:37">
      <c r="A687" t="s">
        <v>1119</v>
      </c>
      <c r="B687" t="s">
        <v>1754</v>
      </c>
      <c r="C687">
        <v>21.7</v>
      </c>
      <c r="D687" t="s">
        <v>1475</v>
      </c>
      <c r="E687">
        <v>20</v>
      </c>
      <c r="F687">
        <v>0</v>
      </c>
      <c r="G687">
        <v>0</v>
      </c>
      <c r="I687">
        <v>1.12805</v>
      </c>
      <c r="J687">
        <v>1.03934</v>
      </c>
      <c r="K687">
        <v>0.9924500000000001</v>
      </c>
      <c r="L687">
        <v>1.02006</v>
      </c>
      <c r="M687">
        <v>0.90412</v>
      </c>
      <c r="N687">
        <v>1.06627</v>
      </c>
      <c r="O687">
        <v>0.98539</v>
      </c>
      <c r="P687">
        <v>0.97953</v>
      </c>
      <c r="Q687">
        <v>1</v>
      </c>
      <c r="R687">
        <v>1</v>
      </c>
      <c r="S687">
        <v>1</v>
      </c>
      <c r="T687">
        <v>1.03136</v>
      </c>
      <c r="U687">
        <v>1</v>
      </c>
      <c r="V687">
        <v>24.503</v>
      </c>
      <c r="W687">
        <v>9.964</v>
      </c>
      <c r="X687">
        <v>119.926</v>
      </c>
      <c r="Y687">
        <v>53.799</v>
      </c>
      <c r="Z687">
        <v>37.727</v>
      </c>
      <c r="AA687">
        <v>245.92</v>
      </c>
      <c r="AB687">
        <v>1.05153</v>
      </c>
      <c r="AC687">
        <v>247</v>
      </c>
      <c r="AD687">
        <v>0</v>
      </c>
      <c r="AG687">
        <v>25</v>
      </c>
      <c r="AH687">
        <v>12</v>
      </c>
      <c r="AI687">
        <v>130</v>
      </c>
      <c r="AJ687">
        <v>46</v>
      </c>
      <c r="AK687">
        <v>34</v>
      </c>
    </row>
    <row r="688" spans="1:37">
      <c r="A688" t="s">
        <v>463</v>
      </c>
      <c r="B688" t="s">
        <v>1751</v>
      </c>
      <c r="C688">
        <v>22.4</v>
      </c>
      <c r="D688" t="s">
        <v>1475</v>
      </c>
      <c r="E688">
        <v>21</v>
      </c>
      <c r="F688">
        <v>0</v>
      </c>
      <c r="G688">
        <v>0</v>
      </c>
      <c r="I688">
        <v>1.12824</v>
      </c>
      <c r="J688">
        <v>1.03558</v>
      </c>
      <c r="K688">
        <v>0.9924500000000001</v>
      </c>
      <c r="L688">
        <v>1.02023</v>
      </c>
      <c r="M688">
        <v>0.88413</v>
      </c>
      <c r="N688">
        <v>1.04011</v>
      </c>
      <c r="O688">
        <v>0.91216</v>
      </c>
      <c r="P688">
        <v>0.98123</v>
      </c>
      <c r="Q688">
        <v>1</v>
      </c>
      <c r="R688">
        <v>1</v>
      </c>
      <c r="S688">
        <v>1</v>
      </c>
      <c r="T688">
        <v>1.0703</v>
      </c>
      <c r="U688">
        <v>1</v>
      </c>
      <c r="V688">
        <v>85.38500000000001</v>
      </c>
      <c r="W688">
        <v>18.024</v>
      </c>
      <c r="X688">
        <v>84.89</v>
      </c>
      <c r="Y688">
        <v>20.028</v>
      </c>
      <c r="Z688">
        <v>30.968</v>
      </c>
      <c r="AA688">
        <v>239.295</v>
      </c>
      <c r="AB688">
        <v>0.9799</v>
      </c>
      <c r="AC688">
        <v>226</v>
      </c>
      <c r="AD688">
        <v>1</v>
      </c>
      <c r="AG688">
        <v>83</v>
      </c>
      <c r="AH688">
        <v>18</v>
      </c>
      <c r="AI688">
        <v>84</v>
      </c>
      <c r="AJ688">
        <v>17</v>
      </c>
      <c r="AK688">
        <v>24</v>
      </c>
    </row>
    <row r="689" spans="1:37">
      <c r="A689" t="s">
        <v>1120</v>
      </c>
      <c r="B689" t="s">
        <v>1751</v>
      </c>
      <c r="C689">
        <v>23.7</v>
      </c>
      <c r="D689" t="s">
        <v>1475</v>
      </c>
      <c r="E689">
        <v>22</v>
      </c>
      <c r="F689">
        <v>0</v>
      </c>
      <c r="G689">
        <v>0</v>
      </c>
      <c r="I689">
        <v>1.12843</v>
      </c>
      <c r="J689">
        <v>1.03309</v>
      </c>
      <c r="K689">
        <v>0.9924500000000001</v>
      </c>
      <c r="L689">
        <v>1.02051</v>
      </c>
      <c r="M689">
        <v>0.85594</v>
      </c>
      <c r="N689">
        <v>1.03883</v>
      </c>
      <c r="O689">
        <v>0.9093</v>
      </c>
      <c r="P689">
        <v>0.97847</v>
      </c>
      <c r="Q689">
        <v>1</v>
      </c>
      <c r="R689">
        <v>1</v>
      </c>
      <c r="S689">
        <v>1</v>
      </c>
      <c r="T689">
        <v>1.06946</v>
      </c>
      <c r="U689">
        <v>1</v>
      </c>
      <c r="V689">
        <v>81.068</v>
      </c>
      <c r="W689">
        <v>17.955</v>
      </c>
      <c r="X689">
        <v>81.66</v>
      </c>
      <c r="Y689">
        <v>18.143</v>
      </c>
      <c r="Z689">
        <v>31.378</v>
      </c>
      <c r="AA689">
        <v>230.203</v>
      </c>
      <c r="AB689">
        <v>1.12107</v>
      </c>
      <c r="AC689">
        <v>241</v>
      </c>
      <c r="AD689">
        <v>1</v>
      </c>
      <c r="AG689">
        <v>80</v>
      </c>
      <c r="AH689">
        <v>18</v>
      </c>
      <c r="AI689">
        <v>92</v>
      </c>
      <c r="AJ689">
        <v>20</v>
      </c>
      <c r="AK689">
        <v>31</v>
      </c>
    </row>
    <row r="690" spans="1:37">
      <c r="A690" t="s">
        <v>1121</v>
      </c>
      <c r="B690" t="s">
        <v>1751</v>
      </c>
      <c r="C690">
        <v>25</v>
      </c>
      <c r="D690" t="s">
        <v>1475</v>
      </c>
      <c r="E690">
        <v>23</v>
      </c>
      <c r="F690">
        <v>0</v>
      </c>
      <c r="G690">
        <v>0</v>
      </c>
      <c r="I690">
        <v>1.12862</v>
      </c>
      <c r="J690">
        <v>1.02519</v>
      </c>
      <c r="K690">
        <v>0.9924500000000001</v>
      </c>
      <c r="L690">
        <v>1.02088</v>
      </c>
      <c r="M690">
        <v>0.88452</v>
      </c>
      <c r="N690">
        <v>1.03517</v>
      </c>
      <c r="O690">
        <v>0.91237</v>
      </c>
      <c r="P690">
        <v>0.9755200000000001</v>
      </c>
      <c r="Q690">
        <v>1</v>
      </c>
      <c r="R690">
        <v>1</v>
      </c>
      <c r="S690">
        <v>1</v>
      </c>
      <c r="T690">
        <v>1.0681</v>
      </c>
      <c r="U690">
        <v>1</v>
      </c>
      <c r="V690">
        <v>80.401</v>
      </c>
      <c r="W690">
        <v>17.794</v>
      </c>
      <c r="X690">
        <v>84.29900000000001</v>
      </c>
      <c r="Y690">
        <v>19.324</v>
      </c>
      <c r="Z690">
        <v>32.321</v>
      </c>
      <c r="AA690">
        <v>234.139</v>
      </c>
      <c r="AB690">
        <v>0.83599</v>
      </c>
      <c r="AC690">
        <v>205</v>
      </c>
      <c r="AD690">
        <v>1</v>
      </c>
      <c r="AG690">
        <v>76</v>
      </c>
      <c r="AH690">
        <v>10</v>
      </c>
      <c r="AI690">
        <v>64</v>
      </c>
      <c r="AJ690">
        <v>17</v>
      </c>
      <c r="AK690">
        <v>38</v>
      </c>
    </row>
    <row r="691" spans="1:37">
      <c r="A691" t="s">
        <v>1122</v>
      </c>
      <c r="B691" t="s">
        <v>1751</v>
      </c>
      <c r="C691">
        <v>22.2</v>
      </c>
      <c r="D691" t="s">
        <v>1475</v>
      </c>
      <c r="E691">
        <v>24</v>
      </c>
      <c r="F691">
        <v>0</v>
      </c>
      <c r="G691">
        <v>0</v>
      </c>
      <c r="I691">
        <v>1.1288</v>
      </c>
      <c r="J691">
        <v>1.03338</v>
      </c>
      <c r="K691">
        <v>0.9924500000000001</v>
      </c>
      <c r="L691">
        <v>1.02135</v>
      </c>
      <c r="M691">
        <v>0.93083</v>
      </c>
      <c r="N691">
        <v>1.04459</v>
      </c>
      <c r="O691">
        <v>0.92388</v>
      </c>
      <c r="P691">
        <v>0.97198</v>
      </c>
      <c r="Q691">
        <v>1</v>
      </c>
      <c r="R691">
        <v>1</v>
      </c>
      <c r="S691">
        <v>1</v>
      </c>
      <c r="T691">
        <v>1.06442</v>
      </c>
      <c r="U691">
        <v>1</v>
      </c>
      <c r="V691">
        <v>79.384</v>
      </c>
      <c r="W691">
        <v>17.018</v>
      </c>
      <c r="X691">
        <v>97.209</v>
      </c>
      <c r="Y691">
        <v>23.091</v>
      </c>
      <c r="Z691">
        <v>32.878</v>
      </c>
      <c r="AA691">
        <v>249.58</v>
      </c>
      <c r="AB691">
        <v>0.95262</v>
      </c>
      <c r="AC691">
        <v>219</v>
      </c>
      <c r="AD691">
        <v>1</v>
      </c>
      <c r="AG691">
        <v>78</v>
      </c>
      <c r="AH691">
        <v>9</v>
      </c>
      <c r="AI691">
        <v>73</v>
      </c>
      <c r="AJ691">
        <v>27</v>
      </c>
      <c r="AK691">
        <v>32</v>
      </c>
    </row>
    <row r="692" spans="1:37">
      <c r="A692" t="s">
        <v>1123</v>
      </c>
      <c r="B692" t="s">
        <v>1752</v>
      </c>
      <c r="C692">
        <v>20.9</v>
      </c>
      <c r="D692" t="s">
        <v>1475</v>
      </c>
      <c r="E692">
        <v>25</v>
      </c>
      <c r="F692">
        <v>0</v>
      </c>
      <c r="G692">
        <v>0</v>
      </c>
      <c r="I692">
        <v>1.12899</v>
      </c>
      <c r="J692">
        <v>1.03288</v>
      </c>
      <c r="K692">
        <v>0.9924500000000001</v>
      </c>
      <c r="L692">
        <v>1.02192</v>
      </c>
      <c r="M692">
        <v>1.17719</v>
      </c>
      <c r="N692">
        <v>1.05323</v>
      </c>
      <c r="O692">
        <v>0.95956</v>
      </c>
      <c r="P692">
        <v>0.96639</v>
      </c>
      <c r="Q692">
        <v>1</v>
      </c>
      <c r="R692">
        <v>1</v>
      </c>
      <c r="S692">
        <v>1</v>
      </c>
      <c r="T692">
        <v>1.05255</v>
      </c>
      <c r="U692">
        <v>1</v>
      </c>
      <c r="V692">
        <v>74.45699999999999</v>
      </c>
      <c r="W692">
        <v>14.308</v>
      </c>
      <c r="X692">
        <v>147.304</v>
      </c>
      <c r="Y692">
        <v>39.337</v>
      </c>
      <c r="Z692">
        <v>38.09</v>
      </c>
      <c r="AA692">
        <v>313.496</v>
      </c>
      <c r="AB692">
        <v>0.95175</v>
      </c>
      <c r="AC692">
        <v>276</v>
      </c>
      <c r="AD692">
        <v>0</v>
      </c>
      <c r="AG692">
        <v>67</v>
      </c>
      <c r="AH692">
        <v>15</v>
      </c>
      <c r="AI692">
        <v>128</v>
      </c>
      <c r="AJ692">
        <v>30</v>
      </c>
      <c r="AK692">
        <v>36</v>
      </c>
    </row>
    <row r="693" spans="1:37">
      <c r="A693" t="s">
        <v>1124</v>
      </c>
      <c r="B693" t="s">
        <v>1753</v>
      </c>
      <c r="C693">
        <v>19.3</v>
      </c>
      <c r="D693" t="s">
        <v>1475</v>
      </c>
      <c r="E693">
        <v>26</v>
      </c>
      <c r="F693">
        <v>0</v>
      </c>
      <c r="G693">
        <v>0</v>
      </c>
      <c r="I693">
        <v>1.12918</v>
      </c>
      <c r="J693">
        <v>1.03483</v>
      </c>
      <c r="K693">
        <v>0.9924500000000001</v>
      </c>
      <c r="L693">
        <v>1.02257</v>
      </c>
      <c r="M693">
        <v>0.98926</v>
      </c>
      <c r="N693">
        <v>1.04954</v>
      </c>
      <c r="O693">
        <v>1.01069</v>
      </c>
      <c r="P693">
        <v>0.95763</v>
      </c>
      <c r="Q693">
        <v>1</v>
      </c>
      <c r="R693">
        <v>1</v>
      </c>
      <c r="S693">
        <v>1</v>
      </c>
      <c r="T693">
        <v>1.02708</v>
      </c>
      <c r="U693">
        <v>1</v>
      </c>
      <c r="V693">
        <v>17.833</v>
      </c>
      <c r="W693">
        <v>6.265</v>
      </c>
      <c r="X693">
        <v>134.533</v>
      </c>
      <c r="Y693">
        <v>61.4</v>
      </c>
      <c r="Z693">
        <v>40.354</v>
      </c>
      <c r="AA693">
        <v>260.385</v>
      </c>
      <c r="AB693">
        <v>0.99613</v>
      </c>
      <c r="AC693">
        <v>290</v>
      </c>
      <c r="AD693">
        <v>0</v>
      </c>
      <c r="AG693">
        <v>27</v>
      </c>
      <c r="AH693">
        <v>7</v>
      </c>
      <c r="AI693">
        <v>164</v>
      </c>
      <c r="AJ693">
        <v>60</v>
      </c>
      <c r="AK693">
        <v>32</v>
      </c>
    </row>
    <row r="694" spans="1:37">
      <c r="A694" t="s">
        <v>1125</v>
      </c>
      <c r="B694" t="s">
        <v>1754</v>
      </c>
      <c r="C694">
        <v>19.8</v>
      </c>
      <c r="D694" t="s">
        <v>1475</v>
      </c>
      <c r="E694">
        <v>27</v>
      </c>
      <c r="F694">
        <v>0</v>
      </c>
      <c r="G694">
        <v>0</v>
      </c>
      <c r="I694">
        <v>1.12936</v>
      </c>
      <c r="J694">
        <v>1.03215</v>
      </c>
      <c r="K694">
        <v>0.9924500000000001</v>
      </c>
      <c r="L694">
        <v>1.0233</v>
      </c>
      <c r="M694">
        <v>0.8978699999999999</v>
      </c>
      <c r="N694">
        <v>1.05171</v>
      </c>
      <c r="O694">
        <v>0.98402</v>
      </c>
      <c r="P694">
        <v>0.95905</v>
      </c>
      <c r="Q694">
        <v>1</v>
      </c>
      <c r="R694">
        <v>1</v>
      </c>
      <c r="S694">
        <v>1</v>
      </c>
      <c r="T694">
        <v>1.03207</v>
      </c>
      <c r="U694">
        <v>1</v>
      </c>
      <c r="V694">
        <v>24.276</v>
      </c>
      <c r="W694">
        <v>9.827999999999999</v>
      </c>
      <c r="X694">
        <v>115.232</v>
      </c>
      <c r="Y694">
        <v>51.885</v>
      </c>
      <c r="Z694">
        <v>35.725</v>
      </c>
      <c r="AA694">
        <v>236.947</v>
      </c>
      <c r="AB694">
        <v>0.91368</v>
      </c>
      <c r="AC694">
        <v>219</v>
      </c>
      <c r="AD694">
        <v>0</v>
      </c>
      <c r="AG694">
        <v>23</v>
      </c>
      <c r="AH694">
        <v>6</v>
      </c>
      <c r="AI694">
        <v>109</v>
      </c>
      <c r="AJ694">
        <v>48</v>
      </c>
      <c r="AK694">
        <v>33</v>
      </c>
    </row>
    <row r="695" spans="1:37">
      <c r="A695" t="s">
        <v>464</v>
      </c>
      <c r="B695" t="s">
        <v>1751</v>
      </c>
      <c r="C695">
        <v>18.6</v>
      </c>
      <c r="D695" t="s">
        <v>82</v>
      </c>
      <c r="E695">
        <v>28</v>
      </c>
      <c r="F695">
        <v>0</v>
      </c>
      <c r="G695">
        <v>0</v>
      </c>
      <c r="I695">
        <v>1.12955</v>
      </c>
      <c r="J695">
        <v>1.02785</v>
      </c>
      <c r="K695">
        <v>0.9924500000000001</v>
      </c>
      <c r="L695">
        <v>1.0241</v>
      </c>
      <c r="M695">
        <v>0.90318</v>
      </c>
      <c r="N695">
        <v>1.01508</v>
      </c>
      <c r="O695">
        <v>1</v>
      </c>
      <c r="P695">
        <v>0.9696</v>
      </c>
      <c r="Q695">
        <v>1</v>
      </c>
      <c r="R695">
        <v>1</v>
      </c>
      <c r="S695">
        <v>1</v>
      </c>
      <c r="T695">
        <v>1.07135</v>
      </c>
      <c r="U695">
        <v>1</v>
      </c>
      <c r="V695">
        <v>91.06999999999999</v>
      </c>
      <c r="W695">
        <v>39.583</v>
      </c>
      <c r="X695">
        <v>77.255</v>
      </c>
      <c r="Y695">
        <v>17.078</v>
      </c>
      <c r="Z695">
        <v>28.6</v>
      </c>
      <c r="AA695">
        <v>253.587</v>
      </c>
      <c r="AB695">
        <v>0.95103</v>
      </c>
      <c r="AC695">
        <v>240</v>
      </c>
      <c r="AD695">
        <v>0</v>
      </c>
      <c r="AG695">
        <v>89</v>
      </c>
      <c r="AH695">
        <v>41</v>
      </c>
      <c r="AI695">
        <v>73</v>
      </c>
      <c r="AJ695">
        <v>11</v>
      </c>
      <c r="AK695">
        <v>26</v>
      </c>
    </row>
    <row r="696" spans="1:37">
      <c r="A696" t="s">
        <v>1126</v>
      </c>
      <c r="B696" t="s">
        <v>1751</v>
      </c>
      <c r="C696">
        <v>18</v>
      </c>
      <c r="D696" t="s">
        <v>82</v>
      </c>
      <c r="E696">
        <v>29</v>
      </c>
      <c r="F696">
        <v>0</v>
      </c>
      <c r="G696">
        <v>0</v>
      </c>
      <c r="I696">
        <v>1.12974</v>
      </c>
      <c r="J696">
        <v>1.02444</v>
      </c>
      <c r="K696">
        <v>0.9924500000000001</v>
      </c>
      <c r="L696">
        <v>1.02496</v>
      </c>
      <c r="M696">
        <v>0.87652</v>
      </c>
      <c r="N696">
        <v>1.00917</v>
      </c>
      <c r="O696">
        <v>1</v>
      </c>
      <c r="P696">
        <v>0.96959</v>
      </c>
      <c r="Q696">
        <v>1</v>
      </c>
      <c r="R696">
        <v>1</v>
      </c>
      <c r="S696">
        <v>1</v>
      </c>
      <c r="T696">
        <v>1.07062</v>
      </c>
      <c r="U696">
        <v>1</v>
      </c>
      <c r="V696">
        <v>86.53400000000001</v>
      </c>
      <c r="W696">
        <v>39.493</v>
      </c>
      <c r="X696">
        <v>74.3</v>
      </c>
      <c r="Y696">
        <v>15.484</v>
      </c>
      <c r="Z696">
        <v>28.267</v>
      </c>
      <c r="AA696">
        <v>244.079</v>
      </c>
      <c r="AB696">
        <v>0.98608</v>
      </c>
      <c r="AC696">
        <v>242</v>
      </c>
      <c r="AD696">
        <v>0</v>
      </c>
      <c r="AG696">
        <v>80</v>
      </c>
      <c r="AH696">
        <v>30</v>
      </c>
      <c r="AI696">
        <v>84</v>
      </c>
      <c r="AJ696">
        <v>17</v>
      </c>
      <c r="AK696">
        <v>31</v>
      </c>
    </row>
    <row r="697" spans="1:37">
      <c r="A697" t="s">
        <v>1127</v>
      </c>
      <c r="B697" t="s">
        <v>1751</v>
      </c>
      <c r="C697">
        <v>17.6</v>
      </c>
      <c r="D697" t="s">
        <v>82</v>
      </c>
      <c r="E697">
        <v>30</v>
      </c>
      <c r="F697">
        <v>0</v>
      </c>
      <c r="G697">
        <v>0</v>
      </c>
      <c r="I697">
        <v>1.12992</v>
      </c>
      <c r="J697">
        <v>1.02413</v>
      </c>
      <c r="K697">
        <v>0.9924500000000001</v>
      </c>
      <c r="L697">
        <v>1.02587</v>
      </c>
      <c r="M697">
        <v>0.90083</v>
      </c>
      <c r="N697">
        <v>1.00624</v>
      </c>
      <c r="O697">
        <v>1</v>
      </c>
      <c r="P697">
        <v>0.9692499999999999</v>
      </c>
      <c r="Q697">
        <v>1</v>
      </c>
      <c r="R697">
        <v>1</v>
      </c>
      <c r="S697">
        <v>1</v>
      </c>
      <c r="T697">
        <v>1.06942</v>
      </c>
      <c r="U697">
        <v>1</v>
      </c>
      <c r="V697">
        <v>86.602</v>
      </c>
      <c r="W697">
        <v>39.525</v>
      </c>
      <c r="X697">
        <v>78.318</v>
      </c>
      <c r="Y697">
        <v>16.799</v>
      </c>
      <c r="Z697">
        <v>28.735</v>
      </c>
      <c r="AA697">
        <v>249.98</v>
      </c>
      <c r="AB697">
        <v>0.9567600000000001</v>
      </c>
      <c r="AC697">
        <v>241</v>
      </c>
      <c r="AD697">
        <v>1</v>
      </c>
      <c r="AG697">
        <v>79</v>
      </c>
      <c r="AH697">
        <v>40</v>
      </c>
      <c r="AI697">
        <v>84</v>
      </c>
      <c r="AJ697">
        <v>12</v>
      </c>
      <c r="AK697">
        <v>26</v>
      </c>
    </row>
    <row r="698" spans="1:37">
      <c r="A698" t="s">
        <v>1128</v>
      </c>
      <c r="B698" t="s">
        <v>1751</v>
      </c>
      <c r="C698">
        <v>17.9</v>
      </c>
      <c r="D698" t="s">
        <v>82</v>
      </c>
      <c r="E698">
        <v>0</v>
      </c>
      <c r="F698">
        <v>0</v>
      </c>
      <c r="G698">
        <v>0</v>
      </c>
      <c r="I698">
        <v>1.13011</v>
      </c>
      <c r="J698">
        <v>1.02015</v>
      </c>
      <c r="K698">
        <v>0.9924500000000001</v>
      </c>
      <c r="L698">
        <v>1.02684</v>
      </c>
      <c r="M698">
        <v>0.93474</v>
      </c>
      <c r="N698">
        <v>1.01038</v>
      </c>
      <c r="O698">
        <v>1</v>
      </c>
      <c r="P698">
        <v>1.06541</v>
      </c>
      <c r="Q698">
        <v>1</v>
      </c>
      <c r="R698">
        <v>1</v>
      </c>
      <c r="S698">
        <v>1.19436</v>
      </c>
      <c r="T698">
        <v>1.05868</v>
      </c>
      <c r="U698">
        <v>1</v>
      </c>
      <c r="V698">
        <v>95.157</v>
      </c>
      <c r="W698">
        <v>47.237</v>
      </c>
      <c r="X698">
        <v>125.366</v>
      </c>
      <c r="Y698">
        <v>26.448</v>
      </c>
      <c r="Z698">
        <v>46.774</v>
      </c>
      <c r="AA698">
        <v>340.982</v>
      </c>
      <c r="AB698">
        <v>1.11488</v>
      </c>
      <c r="AC698">
        <v>393</v>
      </c>
      <c r="AD698">
        <v>1</v>
      </c>
      <c r="AG698">
        <v>119</v>
      </c>
      <c r="AH698">
        <v>50</v>
      </c>
      <c r="AI698">
        <v>139</v>
      </c>
      <c r="AJ698">
        <v>32</v>
      </c>
      <c r="AK698">
        <v>53</v>
      </c>
    </row>
    <row r="699" spans="1:37">
      <c r="A699" t="s">
        <v>1129</v>
      </c>
      <c r="B699" t="s">
        <v>1752</v>
      </c>
      <c r="C699">
        <v>19.6</v>
      </c>
      <c r="D699" t="s">
        <v>82</v>
      </c>
      <c r="E699">
        <v>1</v>
      </c>
      <c r="F699">
        <v>0</v>
      </c>
      <c r="G699">
        <v>0</v>
      </c>
      <c r="I699">
        <v>1.1303</v>
      </c>
      <c r="J699">
        <v>1.01367</v>
      </c>
      <c r="K699">
        <v>0.9924500000000001</v>
      </c>
      <c r="L699">
        <v>1.02783</v>
      </c>
      <c r="M699">
        <v>1.15632</v>
      </c>
      <c r="N699">
        <v>1.03882</v>
      </c>
      <c r="O699">
        <v>1</v>
      </c>
      <c r="P699">
        <v>1.0483</v>
      </c>
      <c r="Q699">
        <v>1</v>
      </c>
      <c r="R699">
        <v>1</v>
      </c>
      <c r="S699">
        <v>1.20737</v>
      </c>
      <c r="T699">
        <v>1.04864</v>
      </c>
      <c r="U699">
        <v>1</v>
      </c>
      <c r="V699">
        <v>88.095</v>
      </c>
      <c r="W699">
        <v>39.01</v>
      </c>
      <c r="X699">
        <v>190.943</v>
      </c>
      <c r="Y699">
        <v>44.856</v>
      </c>
      <c r="Z699">
        <v>55.104</v>
      </c>
      <c r="AA699">
        <v>418.009</v>
      </c>
      <c r="AB699">
        <v>1.08562</v>
      </c>
      <c r="AC699">
        <v>446</v>
      </c>
      <c r="AD699">
        <v>0</v>
      </c>
      <c r="AG699">
        <v>90</v>
      </c>
      <c r="AH699">
        <v>39</v>
      </c>
      <c r="AI699">
        <v>213</v>
      </c>
      <c r="AJ699">
        <v>57</v>
      </c>
      <c r="AK699">
        <v>47</v>
      </c>
    </row>
    <row r="700" spans="1:37">
      <c r="A700" t="s">
        <v>1130</v>
      </c>
      <c r="B700" t="s">
        <v>1753</v>
      </c>
      <c r="C700">
        <v>19.7</v>
      </c>
      <c r="D700" t="s">
        <v>82</v>
      </c>
      <c r="E700">
        <v>2</v>
      </c>
      <c r="F700">
        <v>0</v>
      </c>
      <c r="G700">
        <v>0</v>
      </c>
      <c r="I700">
        <v>1.13048</v>
      </c>
      <c r="J700">
        <v>1.01545</v>
      </c>
      <c r="K700">
        <v>0.9924500000000001</v>
      </c>
      <c r="L700">
        <v>1.02885</v>
      </c>
      <c r="M700">
        <v>0.95644</v>
      </c>
      <c r="N700">
        <v>1.0496</v>
      </c>
      <c r="O700">
        <v>1</v>
      </c>
      <c r="P700">
        <v>1.03764</v>
      </c>
      <c r="Q700">
        <v>1</v>
      </c>
      <c r="R700">
        <v>1</v>
      </c>
      <c r="S700">
        <v>1.23524</v>
      </c>
      <c r="T700">
        <v>1.02598</v>
      </c>
      <c r="U700">
        <v>1</v>
      </c>
      <c r="V700">
        <v>21.004</v>
      </c>
      <c r="W700">
        <v>16.952</v>
      </c>
      <c r="X700">
        <v>175.197</v>
      </c>
      <c r="Y700">
        <v>69.964</v>
      </c>
      <c r="Z700">
        <v>59.035</v>
      </c>
      <c r="AA700">
        <v>342.153</v>
      </c>
      <c r="AB700">
        <v>0.9795</v>
      </c>
      <c r="AC700">
        <v>345</v>
      </c>
      <c r="AD700">
        <v>0</v>
      </c>
      <c r="AG700">
        <v>26</v>
      </c>
      <c r="AH700">
        <v>23</v>
      </c>
      <c r="AI700">
        <v>183</v>
      </c>
      <c r="AJ700">
        <v>56</v>
      </c>
      <c r="AK700">
        <v>57</v>
      </c>
    </row>
    <row r="701" spans="1:37">
      <c r="A701" t="s">
        <v>1131</v>
      </c>
      <c r="B701" t="s">
        <v>1754</v>
      </c>
      <c r="C701">
        <v>19.5</v>
      </c>
      <c r="D701" t="s">
        <v>82</v>
      </c>
      <c r="E701">
        <v>3</v>
      </c>
      <c r="F701">
        <v>0</v>
      </c>
      <c r="G701">
        <v>0</v>
      </c>
      <c r="I701">
        <v>1.13067</v>
      </c>
      <c r="J701">
        <v>1.01558</v>
      </c>
      <c r="K701">
        <v>0.9924500000000001</v>
      </c>
      <c r="L701">
        <v>1.02988</v>
      </c>
      <c r="M701">
        <v>0.87945</v>
      </c>
      <c r="N701">
        <v>1.04255</v>
      </c>
      <c r="O701">
        <v>1</v>
      </c>
      <c r="P701">
        <v>1.02417</v>
      </c>
      <c r="Q701">
        <v>1</v>
      </c>
      <c r="R701">
        <v>1</v>
      </c>
      <c r="S701">
        <v>1.22744</v>
      </c>
      <c r="T701">
        <v>1.03053</v>
      </c>
      <c r="U701">
        <v>1</v>
      </c>
      <c r="V701">
        <v>28.566</v>
      </c>
      <c r="W701">
        <v>26.5</v>
      </c>
      <c r="X701">
        <v>147.112</v>
      </c>
      <c r="Y701">
        <v>58.12</v>
      </c>
      <c r="Z701">
        <v>51.194</v>
      </c>
      <c r="AA701">
        <v>311.493</v>
      </c>
      <c r="AB701">
        <v>1.09123</v>
      </c>
      <c r="AC701">
        <v>335</v>
      </c>
      <c r="AD701">
        <v>0</v>
      </c>
      <c r="AG701">
        <v>33</v>
      </c>
      <c r="AH701">
        <v>23</v>
      </c>
      <c r="AI701">
        <v>169</v>
      </c>
      <c r="AJ701">
        <v>50</v>
      </c>
      <c r="AK701">
        <v>60</v>
      </c>
    </row>
    <row r="702" spans="1:37">
      <c r="A702" t="s">
        <v>465</v>
      </c>
      <c r="B702" t="s">
        <v>1751</v>
      </c>
      <c r="C702">
        <v>18.9</v>
      </c>
      <c r="D702" t="s">
        <v>82</v>
      </c>
      <c r="E702">
        <v>4</v>
      </c>
      <c r="F702">
        <v>0</v>
      </c>
      <c r="G702">
        <v>0</v>
      </c>
      <c r="I702">
        <v>1.13086</v>
      </c>
      <c r="J702">
        <v>1.02634</v>
      </c>
      <c r="K702">
        <v>1.04185</v>
      </c>
      <c r="L702">
        <v>1.03091</v>
      </c>
      <c r="M702">
        <v>0.89505</v>
      </c>
      <c r="N702">
        <v>1.01752</v>
      </c>
      <c r="O702">
        <v>1</v>
      </c>
      <c r="P702">
        <v>1.0127</v>
      </c>
      <c r="Q702">
        <v>1</v>
      </c>
      <c r="R702">
        <v>1</v>
      </c>
      <c r="S702">
        <v>1.18649</v>
      </c>
      <c r="T702">
        <v>1.06488</v>
      </c>
      <c r="U702">
        <v>1</v>
      </c>
      <c r="V702">
        <v>105.914</v>
      </c>
      <c r="W702">
        <v>50.953</v>
      </c>
      <c r="X702">
        <v>109.392</v>
      </c>
      <c r="Y702">
        <v>22.789</v>
      </c>
      <c r="Z702">
        <v>43.695</v>
      </c>
      <c r="AA702">
        <v>332.744</v>
      </c>
      <c r="AB702">
        <v>1.05367</v>
      </c>
      <c r="AC702">
        <v>351</v>
      </c>
      <c r="AD702">
        <v>0</v>
      </c>
      <c r="AG702">
        <v>127</v>
      </c>
      <c r="AH702">
        <v>50</v>
      </c>
      <c r="AI702">
        <v>118</v>
      </c>
      <c r="AJ702">
        <v>10</v>
      </c>
      <c r="AK702">
        <v>46</v>
      </c>
    </row>
    <row r="703" spans="1:37">
      <c r="A703" t="s">
        <v>1132</v>
      </c>
      <c r="B703" t="s">
        <v>1751</v>
      </c>
      <c r="C703">
        <v>20.4</v>
      </c>
      <c r="D703" t="s">
        <v>82</v>
      </c>
      <c r="E703">
        <v>5</v>
      </c>
      <c r="F703">
        <v>0</v>
      </c>
      <c r="G703">
        <v>0</v>
      </c>
      <c r="I703">
        <v>1.13104</v>
      </c>
      <c r="J703">
        <v>1.0137</v>
      </c>
      <c r="K703">
        <v>1.04185</v>
      </c>
      <c r="L703">
        <v>1.03193</v>
      </c>
      <c r="M703">
        <v>0.86849</v>
      </c>
      <c r="N703">
        <v>1.02803</v>
      </c>
      <c r="O703">
        <v>1</v>
      </c>
      <c r="P703">
        <v>1.00857</v>
      </c>
      <c r="Q703">
        <v>1</v>
      </c>
      <c r="R703">
        <v>1</v>
      </c>
      <c r="S703">
        <v>1.18855</v>
      </c>
      <c r="T703">
        <v>1.06346</v>
      </c>
      <c r="U703">
        <v>1</v>
      </c>
      <c r="V703">
        <v>99.56699999999999</v>
      </c>
      <c r="W703">
        <v>50.236</v>
      </c>
      <c r="X703">
        <v>107.093</v>
      </c>
      <c r="Y703">
        <v>20.843</v>
      </c>
      <c r="Z703">
        <v>43.955</v>
      </c>
      <c r="AA703">
        <v>321.694</v>
      </c>
      <c r="AB703">
        <v>1.06852</v>
      </c>
      <c r="AC703">
        <v>358</v>
      </c>
      <c r="AD703">
        <v>0</v>
      </c>
      <c r="AG703">
        <v>124</v>
      </c>
      <c r="AH703">
        <v>65</v>
      </c>
      <c r="AI703">
        <v>114</v>
      </c>
      <c r="AJ703">
        <v>22</v>
      </c>
      <c r="AK703">
        <v>33</v>
      </c>
    </row>
    <row r="704" spans="1:37">
      <c r="A704" t="s">
        <v>1133</v>
      </c>
      <c r="B704" t="s">
        <v>1751</v>
      </c>
      <c r="C704">
        <v>20.7</v>
      </c>
      <c r="D704" t="s">
        <v>82</v>
      </c>
      <c r="E704">
        <v>6</v>
      </c>
      <c r="F704">
        <v>0</v>
      </c>
      <c r="G704">
        <v>0</v>
      </c>
      <c r="I704">
        <v>1.13123</v>
      </c>
      <c r="J704">
        <v>1.01274</v>
      </c>
      <c r="K704">
        <v>1.04185</v>
      </c>
      <c r="L704">
        <v>1.03293</v>
      </c>
      <c r="M704">
        <v>0.89883</v>
      </c>
      <c r="N704">
        <v>1.03064</v>
      </c>
      <c r="O704">
        <v>1</v>
      </c>
      <c r="P704">
        <v>1.00558</v>
      </c>
      <c r="Q704">
        <v>1</v>
      </c>
      <c r="R704">
        <v>1</v>
      </c>
      <c r="S704">
        <v>0.96639</v>
      </c>
      <c r="T704">
        <v>1.06905</v>
      </c>
      <c r="U704">
        <v>1</v>
      </c>
      <c r="V704">
        <v>92.099</v>
      </c>
      <c r="W704">
        <v>40.797</v>
      </c>
      <c r="X704">
        <v>86.381</v>
      </c>
      <c r="Y704">
        <v>18.464</v>
      </c>
      <c r="Z704">
        <v>30.977</v>
      </c>
      <c r="AA704">
        <v>268.719</v>
      </c>
      <c r="AB704">
        <v>1.0727</v>
      </c>
      <c r="AC704">
        <v>288</v>
      </c>
      <c r="AD704">
        <v>0</v>
      </c>
      <c r="AG704">
        <v>90</v>
      </c>
      <c r="AH704">
        <v>47</v>
      </c>
      <c r="AI704">
        <v>91</v>
      </c>
      <c r="AJ704">
        <v>24</v>
      </c>
      <c r="AK704">
        <v>36</v>
      </c>
    </row>
    <row r="705" spans="1:37">
      <c r="A705" t="s">
        <v>1134</v>
      </c>
      <c r="B705" t="s">
        <v>1751</v>
      </c>
      <c r="C705">
        <v>22.5</v>
      </c>
      <c r="D705" t="s">
        <v>82</v>
      </c>
      <c r="E705">
        <v>7</v>
      </c>
      <c r="F705">
        <v>0</v>
      </c>
      <c r="G705">
        <v>0</v>
      </c>
      <c r="I705">
        <v>1.13142</v>
      </c>
      <c r="J705">
        <v>1.0074</v>
      </c>
      <c r="K705">
        <v>1.04185</v>
      </c>
      <c r="L705">
        <v>1.0339</v>
      </c>
      <c r="M705">
        <v>0.93584</v>
      </c>
      <c r="N705">
        <v>1.03895</v>
      </c>
      <c r="O705">
        <v>1</v>
      </c>
      <c r="P705">
        <v>1.00386</v>
      </c>
      <c r="Q705">
        <v>1</v>
      </c>
      <c r="R705">
        <v>1</v>
      </c>
      <c r="S705">
        <v>0.96519</v>
      </c>
      <c r="T705">
        <v>1.06571</v>
      </c>
      <c r="U705">
        <v>1</v>
      </c>
      <c r="V705">
        <v>89.81</v>
      </c>
      <c r="W705">
        <v>38.546</v>
      </c>
      <c r="X705">
        <v>96.312</v>
      </c>
      <c r="Y705">
        <v>21.463</v>
      </c>
      <c r="Z705">
        <v>33.321</v>
      </c>
      <c r="AA705">
        <v>279.452</v>
      </c>
      <c r="AB705">
        <v>1.15509</v>
      </c>
      <c r="AC705">
        <v>311</v>
      </c>
      <c r="AD705">
        <v>0</v>
      </c>
      <c r="AG705">
        <v>94</v>
      </c>
      <c r="AH705">
        <v>44</v>
      </c>
      <c r="AI705">
        <v>102</v>
      </c>
      <c r="AJ705">
        <v>23</v>
      </c>
      <c r="AK705">
        <v>48</v>
      </c>
    </row>
    <row r="706" spans="1:37">
      <c r="A706" t="s">
        <v>1135</v>
      </c>
      <c r="B706" t="s">
        <v>1752</v>
      </c>
      <c r="C706">
        <v>21.6</v>
      </c>
      <c r="D706" t="s">
        <v>82</v>
      </c>
      <c r="E706">
        <v>8</v>
      </c>
      <c r="F706">
        <v>0</v>
      </c>
      <c r="G706">
        <v>0</v>
      </c>
      <c r="I706">
        <v>1.1316</v>
      </c>
      <c r="J706">
        <v>1.01626</v>
      </c>
      <c r="K706">
        <v>1.04185</v>
      </c>
      <c r="L706">
        <v>1.03483</v>
      </c>
      <c r="M706">
        <v>1.13873</v>
      </c>
      <c r="N706">
        <v>1.05093</v>
      </c>
      <c r="O706">
        <v>1</v>
      </c>
      <c r="P706">
        <v>1.00285</v>
      </c>
      <c r="Q706">
        <v>1</v>
      </c>
      <c r="R706">
        <v>1</v>
      </c>
      <c r="S706">
        <v>0.96162</v>
      </c>
      <c r="T706">
        <v>1.05483</v>
      </c>
      <c r="U706">
        <v>1</v>
      </c>
      <c r="V706">
        <v>85.098</v>
      </c>
      <c r="W706">
        <v>32.751</v>
      </c>
      <c r="X706">
        <v>148.231</v>
      </c>
      <c r="Y706">
        <v>37.098</v>
      </c>
      <c r="Z706">
        <v>39.295</v>
      </c>
      <c r="AA706">
        <v>342.474</v>
      </c>
      <c r="AB706">
        <v>0.96356</v>
      </c>
      <c r="AC706">
        <v>317</v>
      </c>
      <c r="AD706">
        <v>0</v>
      </c>
      <c r="AG706">
        <v>91</v>
      </c>
      <c r="AH706">
        <v>32</v>
      </c>
      <c r="AI706">
        <v>122</v>
      </c>
      <c r="AJ706">
        <v>39</v>
      </c>
      <c r="AK706">
        <v>33</v>
      </c>
    </row>
    <row r="707" spans="1:37">
      <c r="A707" t="s">
        <v>1136</v>
      </c>
      <c r="B707" t="s">
        <v>1753</v>
      </c>
      <c r="C707">
        <v>20.5</v>
      </c>
      <c r="D707" t="s">
        <v>82</v>
      </c>
      <c r="E707">
        <v>9</v>
      </c>
      <c r="F707">
        <v>0</v>
      </c>
      <c r="G707">
        <v>0</v>
      </c>
      <c r="I707">
        <v>1.13179</v>
      </c>
      <c r="J707">
        <v>1.00253</v>
      </c>
      <c r="K707">
        <v>1.04185</v>
      </c>
      <c r="L707">
        <v>1.0357</v>
      </c>
      <c r="M707">
        <v>0.90923</v>
      </c>
      <c r="N707">
        <v>1.05991</v>
      </c>
      <c r="O707">
        <v>1</v>
      </c>
      <c r="P707">
        <v>1.00227</v>
      </c>
      <c r="Q707">
        <v>1</v>
      </c>
      <c r="R707">
        <v>1</v>
      </c>
      <c r="S707">
        <v>0.95306</v>
      </c>
      <c r="T707">
        <v>1.02846</v>
      </c>
      <c r="U707">
        <v>1</v>
      </c>
      <c r="V707">
        <v>20.088</v>
      </c>
      <c r="W707">
        <v>14.141</v>
      </c>
      <c r="X707">
        <v>135.258</v>
      </c>
      <c r="Y707">
        <v>57.667</v>
      </c>
      <c r="Z707">
        <v>41.436</v>
      </c>
      <c r="AA707">
        <v>268.59</v>
      </c>
      <c r="AB707">
        <v>0.99341</v>
      </c>
      <c r="AC707">
        <v>272</v>
      </c>
      <c r="AD707">
        <v>0</v>
      </c>
      <c r="AG707">
        <v>22</v>
      </c>
      <c r="AH707">
        <v>14</v>
      </c>
      <c r="AI707">
        <v>144</v>
      </c>
      <c r="AJ707">
        <v>50</v>
      </c>
      <c r="AK707">
        <v>42</v>
      </c>
    </row>
    <row r="708" spans="1:37">
      <c r="A708" t="s">
        <v>1137</v>
      </c>
      <c r="B708" t="s">
        <v>1754</v>
      </c>
      <c r="C708">
        <v>19.4</v>
      </c>
      <c r="D708" t="s">
        <v>82</v>
      </c>
      <c r="E708">
        <v>10</v>
      </c>
      <c r="F708">
        <v>0</v>
      </c>
      <c r="G708">
        <v>0</v>
      </c>
      <c r="I708">
        <v>1.13198</v>
      </c>
      <c r="J708">
        <v>1.00086</v>
      </c>
      <c r="K708">
        <v>1.04185</v>
      </c>
      <c r="L708">
        <v>1.03652</v>
      </c>
      <c r="M708">
        <v>0.8431</v>
      </c>
      <c r="N708">
        <v>1.04295</v>
      </c>
      <c r="O708">
        <v>1</v>
      </c>
      <c r="P708">
        <v>1.00145</v>
      </c>
      <c r="Q708">
        <v>1</v>
      </c>
      <c r="R708">
        <v>1</v>
      </c>
      <c r="S708">
        <v>0.95514</v>
      </c>
      <c r="T708">
        <v>1.03387</v>
      </c>
      <c r="U708">
        <v>1</v>
      </c>
      <c r="V708">
        <v>27.367</v>
      </c>
      <c r="W708">
        <v>22.198</v>
      </c>
      <c r="X708">
        <v>113.522</v>
      </c>
      <c r="Y708">
        <v>48.022</v>
      </c>
      <c r="Z708">
        <v>35.801</v>
      </c>
      <c r="AA708">
        <v>246.909</v>
      </c>
      <c r="AB708">
        <v>0.95974</v>
      </c>
      <c r="AC708">
        <v>245</v>
      </c>
      <c r="AD708">
        <v>0</v>
      </c>
      <c r="AG708">
        <v>27</v>
      </c>
      <c r="AH708">
        <v>14</v>
      </c>
      <c r="AI708">
        <v>122</v>
      </c>
      <c r="AJ708">
        <v>43</v>
      </c>
      <c r="AK708">
        <v>39</v>
      </c>
    </row>
    <row r="709" spans="1:37">
      <c r="A709" t="s">
        <v>466</v>
      </c>
      <c r="B709" t="s">
        <v>1751</v>
      </c>
      <c r="C709">
        <v>19.6</v>
      </c>
      <c r="D709" t="s">
        <v>82</v>
      </c>
      <c r="E709">
        <v>11</v>
      </c>
      <c r="F709">
        <v>0</v>
      </c>
      <c r="G709">
        <v>0</v>
      </c>
      <c r="I709">
        <v>1.13216</v>
      </c>
      <c r="J709">
        <v>0.99431</v>
      </c>
      <c r="K709">
        <v>1.04185</v>
      </c>
      <c r="L709">
        <v>1.03727</v>
      </c>
      <c r="M709">
        <v>0.90267</v>
      </c>
      <c r="N709">
        <v>1.02308</v>
      </c>
      <c r="O709">
        <v>1</v>
      </c>
      <c r="P709">
        <v>1.00074</v>
      </c>
      <c r="Q709">
        <v>1</v>
      </c>
      <c r="R709">
        <v>1</v>
      </c>
      <c r="S709">
        <v>0.9674199999999999</v>
      </c>
      <c r="T709">
        <v>1.07221</v>
      </c>
      <c r="U709">
        <v>1</v>
      </c>
      <c r="V709">
        <v>95.22799999999999</v>
      </c>
      <c r="W709">
        <v>40.122</v>
      </c>
      <c r="X709">
        <v>80.681</v>
      </c>
      <c r="Y709">
        <v>17.934</v>
      </c>
      <c r="Z709">
        <v>29.2</v>
      </c>
      <c r="AA709">
        <v>263.165</v>
      </c>
      <c r="AB709">
        <v>0.98613</v>
      </c>
      <c r="AC709">
        <v>249</v>
      </c>
      <c r="AD709">
        <v>0</v>
      </c>
      <c r="AG709">
        <v>84</v>
      </c>
      <c r="AH709">
        <v>45</v>
      </c>
      <c r="AI709">
        <v>82</v>
      </c>
      <c r="AJ709">
        <v>12</v>
      </c>
      <c r="AK709">
        <v>26</v>
      </c>
    </row>
    <row r="710" spans="1:37">
      <c r="A710" t="s">
        <v>1138</v>
      </c>
      <c r="B710" t="s">
        <v>1751</v>
      </c>
      <c r="C710">
        <v>19.9</v>
      </c>
      <c r="D710" t="s">
        <v>82</v>
      </c>
      <c r="E710">
        <v>12</v>
      </c>
      <c r="F710">
        <v>0</v>
      </c>
      <c r="G710">
        <v>0</v>
      </c>
      <c r="I710">
        <v>1.13235</v>
      </c>
      <c r="J710">
        <v>0.99403</v>
      </c>
      <c r="K710">
        <v>1.04185</v>
      </c>
      <c r="L710">
        <v>1.03793</v>
      </c>
      <c r="M710">
        <v>0.87507</v>
      </c>
      <c r="N710">
        <v>1.02458</v>
      </c>
      <c r="O710">
        <v>1</v>
      </c>
      <c r="P710">
        <v>1.0005</v>
      </c>
      <c r="Q710">
        <v>1</v>
      </c>
      <c r="R710">
        <v>1</v>
      </c>
      <c r="S710">
        <v>0.967</v>
      </c>
      <c r="T710">
        <v>1.07107</v>
      </c>
      <c r="U710">
        <v>1</v>
      </c>
      <c r="V710">
        <v>90.732</v>
      </c>
      <c r="W710">
        <v>40.137</v>
      </c>
      <c r="X710">
        <v>79.042</v>
      </c>
      <c r="Y710">
        <v>16.49</v>
      </c>
      <c r="Z710">
        <v>29.34</v>
      </c>
      <c r="AA710">
        <v>255.742</v>
      </c>
      <c r="AB710">
        <v>0.93755</v>
      </c>
      <c r="AC710">
        <v>262</v>
      </c>
      <c r="AD710">
        <v>0</v>
      </c>
      <c r="AG710">
        <v>95</v>
      </c>
      <c r="AH710">
        <v>41</v>
      </c>
      <c r="AI710">
        <v>70</v>
      </c>
      <c r="AJ710">
        <v>24</v>
      </c>
      <c r="AK710">
        <v>32</v>
      </c>
    </row>
    <row r="711" spans="1:37">
      <c r="A711" t="s">
        <v>1139</v>
      </c>
      <c r="B711" t="s">
        <v>1751</v>
      </c>
      <c r="C711">
        <v>19.5</v>
      </c>
      <c r="D711" t="s">
        <v>82</v>
      </c>
      <c r="E711">
        <v>13</v>
      </c>
      <c r="F711">
        <v>0</v>
      </c>
      <c r="G711">
        <v>0</v>
      </c>
      <c r="I711">
        <v>1.13254</v>
      </c>
      <c r="J711">
        <v>1.00919</v>
      </c>
      <c r="K711">
        <v>1.04185</v>
      </c>
      <c r="L711">
        <v>1.03852</v>
      </c>
      <c r="M711">
        <v>0.89817</v>
      </c>
      <c r="N711">
        <v>1.02336</v>
      </c>
      <c r="O711">
        <v>1</v>
      </c>
      <c r="P711">
        <v>1.00034</v>
      </c>
      <c r="Q711">
        <v>1</v>
      </c>
      <c r="R711">
        <v>1</v>
      </c>
      <c r="S711">
        <v>1</v>
      </c>
      <c r="T711">
        <v>1.06792</v>
      </c>
      <c r="U711">
        <v>1</v>
      </c>
      <c r="V711">
        <v>92.178</v>
      </c>
      <c r="W711">
        <v>42.474</v>
      </c>
      <c r="X711">
        <v>89.313</v>
      </c>
      <c r="Y711">
        <v>18.96</v>
      </c>
      <c r="Z711">
        <v>32.557</v>
      </c>
      <c r="AA711">
        <v>275.482</v>
      </c>
      <c r="AB711">
        <v>0.96366</v>
      </c>
      <c r="AC711">
        <v>263</v>
      </c>
      <c r="AD711">
        <v>1</v>
      </c>
      <c r="AG711">
        <v>75</v>
      </c>
      <c r="AH711">
        <v>56</v>
      </c>
      <c r="AI711">
        <v>86</v>
      </c>
      <c r="AJ711">
        <v>12</v>
      </c>
      <c r="AK711">
        <v>34</v>
      </c>
    </row>
    <row r="712" spans="1:37">
      <c r="A712" t="s">
        <v>1140</v>
      </c>
      <c r="B712" t="s">
        <v>1751</v>
      </c>
      <c r="C712">
        <v>17.2</v>
      </c>
      <c r="D712" t="s">
        <v>82</v>
      </c>
      <c r="E712">
        <v>14</v>
      </c>
      <c r="F712">
        <v>0</v>
      </c>
      <c r="G712">
        <v>0</v>
      </c>
      <c r="I712">
        <v>1.13272</v>
      </c>
      <c r="J712">
        <v>1.01693</v>
      </c>
      <c r="K712">
        <v>1.04185</v>
      </c>
      <c r="L712">
        <v>1.03901</v>
      </c>
      <c r="M712">
        <v>0.93599</v>
      </c>
      <c r="N712">
        <v>1.0035</v>
      </c>
      <c r="O712">
        <v>1</v>
      </c>
      <c r="P712">
        <v>1.00023</v>
      </c>
      <c r="Q712">
        <v>1</v>
      </c>
      <c r="R712">
        <v>1</v>
      </c>
      <c r="S712">
        <v>1</v>
      </c>
      <c r="T712">
        <v>1.066</v>
      </c>
      <c r="U712">
        <v>1</v>
      </c>
      <c r="V712">
        <v>91.083</v>
      </c>
      <c r="W712">
        <v>40.684</v>
      </c>
      <c r="X712">
        <v>96.19499999999999</v>
      </c>
      <c r="Y712">
        <v>21.588</v>
      </c>
      <c r="Z712">
        <v>33.381</v>
      </c>
      <c r="AA712">
        <v>282.931</v>
      </c>
      <c r="AB712">
        <v>0.99861</v>
      </c>
      <c r="AC712">
        <v>318</v>
      </c>
      <c r="AD712">
        <v>0</v>
      </c>
      <c r="AG712">
        <v>92</v>
      </c>
      <c r="AH712">
        <v>44</v>
      </c>
      <c r="AI712">
        <v>125</v>
      </c>
      <c r="AJ712">
        <v>18</v>
      </c>
      <c r="AK712">
        <v>39</v>
      </c>
    </row>
    <row r="713" spans="1:37">
      <c r="A713" t="s">
        <v>1141</v>
      </c>
      <c r="B713" t="s">
        <v>1752</v>
      </c>
      <c r="C713">
        <v>20.1</v>
      </c>
      <c r="D713" t="s">
        <v>82</v>
      </c>
      <c r="E713">
        <v>15</v>
      </c>
      <c r="F713">
        <v>0</v>
      </c>
      <c r="G713">
        <v>0</v>
      </c>
      <c r="I713">
        <v>1.13291</v>
      </c>
      <c r="J713">
        <v>1.02043</v>
      </c>
      <c r="K713">
        <v>1.04185</v>
      </c>
      <c r="L713">
        <v>1.03941</v>
      </c>
      <c r="M713">
        <v>1.17733</v>
      </c>
      <c r="N713">
        <v>1.05297</v>
      </c>
      <c r="O713">
        <v>1</v>
      </c>
      <c r="P713">
        <v>0.99712</v>
      </c>
      <c r="Q713">
        <v>1</v>
      </c>
      <c r="R713">
        <v>1</v>
      </c>
      <c r="S713">
        <v>1</v>
      </c>
      <c r="T713">
        <v>1.04777</v>
      </c>
      <c r="U713">
        <v>1.23756</v>
      </c>
      <c r="V713">
        <v>85.749</v>
      </c>
      <c r="W713">
        <v>41.198</v>
      </c>
      <c r="X713">
        <v>232.243</v>
      </c>
      <c r="Y713">
        <v>38.45</v>
      </c>
      <c r="Z713">
        <v>41.413</v>
      </c>
      <c r="AA713">
        <v>439.054</v>
      </c>
      <c r="AB713">
        <v>0.97385</v>
      </c>
      <c r="AC713">
        <v>404</v>
      </c>
      <c r="AD713">
        <v>0</v>
      </c>
      <c r="AE713" t="s">
        <v>315</v>
      </c>
      <c r="AG713">
        <v>79</v>
      </c>
      <c r="AH713">
        <v>40</v>
      </c>
      <c r="AI713">
        <v>216</v>
      </c>
      <c r="AJ713">
        <v>39</v>
      </c>
      <c r="AK713">
        <v>30</v>
      </c>
    </row>
    <row r="714" spans="1:37">
      <c r="A714" t="s">
        <v>1142</v>
      </c>
      <c r="B714" t="s">
        <v>1753</v>
      </c>
      <c r="C714">
        <v>16.6</v>
      </c>
      <c r="D714" t="s">
        <v>82</v>
      </c>
      <c r="E714">
        <v>16</v>
      </c>
      <c r="F714">
        <v>0</v>
      </c>
      <c r="G714">
        <v>0</v>
      </c>
      <c r="I714">
        <v>1.1331</v>
      </c>
      <c r="J714">
        <v>1.02653</v>
      </c>
      <c r="K714">
        <v>1.04185</v>
      </c>
      <c r="L714">
        <v>1.03971</v>
      </c>
      <c r="M714">
        <v>0.90054</v>
      </c>
      <c r="N714">
        <v>1.00129</v>
      </c>
      <c r="O714">
        <v>1</v>
      </c>
      <c r="P714">
        <v>0.99324</v>
      </c>
      <c r="Q714">
        <v>1</v>
      </c>
      <c r="R714">
        <v>1</v>
      </c>
      <c r="S714">
        <v>1</v>
      </c>
      <c r="T714">
        <v>1.02871</v>
      </c>
      <c r="U714">
        <v>1</v>
      </c>
      <c r="V714">
        <v>20.614</v>
      </c>
      <c r="W714">
        <v>15.088</v>
      </c>
      <c r="X714">
        <v>135.075</v>
      </c>
      <c r="Y714">
        <v>58.143</v>
      </c>
      <c r="Z714">
        <v>42.72</v>
      </c>
      <c r="AA714">
        <v>271.639</v>
      </c>
      <c r="AB714">
        <v>1.01653</v>
      </c>
      <c r="AC714">
        <v>284</v>
      </c>
      <c r="AD714">
        <v>0</v>
      </c>
      <c r="AG714">
        <v>22</v>
      </c>
      <c r="AH714">
        <v>14</v>
      </c>
      <c r="AI714">
        <v>158</v>
      </c>
      <c r="AJ714">
        <v>57</v>
      </c>
      <c r="AK714">
        <v>33</v>
      </c>
    </row>
    <row r="715" spans="1:37">
      <c r="A715" t="s">
        <v>1143</v>
      </c>
      <c r="B715" t="s">
        <v>1754</v>
      </c>
      <c r="C715">
        <v>16.5</v>
      </c>
      <c r="D715" t="s">
        <v>82</v>
      </c>
      <c r="E715">
        <v>17</v>
      </c>
      <c r="F715">
        <v>0</v>
      </c>
      <c r="G715">
        <v>0</v>
      </c>
      <c r="I715">
        <v>1.13329</v>
      </c>
      <c r="J715">
        <v>1.02174</v>
      </c>
      <c r="K715">
        <v>1.04185</v>
      </c>
      <c r="L715">
        <v>1.0399</v>
      </c>
      <c r="M715">
        <v>0.83923</v>
      </c>
      <c r="N715">
        <v>0.99864</v>
      </c>
      <c r="O715">
        <v>1</v>
      </c>
      <c r="P715">
        <v>0.9902300000000001</v>
      </c>
      <c r="Q715">
        <v>1</v>
      </c>
      <c r="R715">
        <v>1</v>
      </c>
      <c r="S715">
        <v>1</v>
      </c>
      <c r="T715">
        <v>1.03404</v>
      </c>
      <c r="U715">
        <v>1</v>
      </c>
      <c r="V715">
        <v>27.956</v>
      </c>
      <c r="W715">
        <v>23.564</v>
      </c>
      <c r="X715">
        <v>113.843</v>
      </c>
      <c r="Y715">
        <v>48.477</v>
      </c>
      <c r="Z715">
        <v>37.228</v>
      </c>
      <c r="AA715">
        <v>251.069</v>
      </c>
      <c r="AB715">
        <v>1.07101</v>
      </c>
      <c r="AC715">
        <v>276</v>
      </c>
      <c r="AD715">
        <v>0</v>
      </c>
      <c r="AG715">
        <v>28</v>
      </c>
      <c r="AH715">
        <v>21</v>
      </c>
      <c r="AI715">
        <v>130</v>
      </c>
      <c r="AJ715">
        <v>54</v>
      </c>
      <c r="AK715">
        <v>43</v>
      </c>
    </row>
    <row r="716" spans="1:37">
      <c r="A716" t="s">
        <v>467</v>
      </c>
      <c r="B716" t="s">
        <v>1751</v>
      </c>
      <c r="C716">
        <v>13.7</v>
      </c>
      <c r="D716" t="s">
        <v>82</v>
      </c>
      <c r="E716">
        <v>18</v>
      </c>
      <c r="F716">
        <v>0</v>
      </c>
      <c r="G716">
        <v>0</v>
      </c>
      <c r="I716">
        <v>1.13347</v>
      </c>
      <c r="J716">
        <v>1.03174</v>
      </c>
      <c r="K716">
        <v>1.04185</v>
      </c>
      <c r="L716">
        <v>1.03999</v>
      </c>
      <c r="M716">
        <v>0.91731</v>
      </c>
      <c r="N716">
        <v>0.95106</v>
      </c>
      <c r="O716">
        <v>1</v>
      </c>
      <c r="P716">
        <v>0.99</v>
      </c>
      <c r="Q716">
        <v>1</v>
      </c>
      <c r="R716">
        <v>1</v>
      </c>
      <c r="S716">
        <v>1</v>
      </c>
      <c r="T716">
        <v>1.07167</v>
      </c>
      <c r="U716">
        <v>0.90494</v>
      </c>
      <c r="V716">
        <v>88.84699999999999</v>
      </c>
      <c r="W716">
        <v>34.554</v>
      </c>
      <c r="X716">
        <v>56.922</v>
      </c>
      <c r="Y716">
        <v>12.16</v>
      </c>
      <c r="Z716">
        <v>46.819</v>
      </c>
      <c r="AA716">
        <v>239.302</v>
      </c>
      <c r="AB716">
        <v>0.95953</v>
      </c>
      <c r="AC716">
        <v>234</v>
      </c>
      <c r="AD716">
        <v>0</v>
      </c>
      <c r="AE716" t="s">
        <v>314</v>
      </c>
      <c r="AG716">
        <v>90</v>
      </c>
      <c r="AH716">
        <v>47</v>
      </c>
      <c r="AI716">
        <v>43</v>
      </c>
      <c r="AJ716">
        <v>12</v>
      </c>
      <c r="AK716">
        <v>42</v>
      </c>
    </row>
    <row r="717" spans="1:37">
      <c r="A717" t="s">
        <v>1144</v>
      </c>
      <c r="B717" t="s">
        <v>1751</v>
      </c>
      <c r="C717">
        <v>16.6</v>
      </c>
      <c r="D717" t="s">
        <v>82</v>
      </c>
      <c r="E717">
        <v>19</v>
      </c>
      <c r="F717">
        <v>0</v>
      </c>
      <c r="G717">
        <v>0</v>
      </c>
      <c r="I717">
        <v>1.13366</v>
      </c>
      <c r="J717">
        <v>1.02899</v>
      </c>
      <c r="K717">
        <v>1.04185</v>
      </c>
      <c r="L717">
        <v>1.03999</v>
      </c>
      <c r="M717">
        <v>0.87709</v>
      </c>
      <c r="N717">
        <v>0.99517</v>
      </c>
      <c r="O717">
        <v>1</v>
      </c>
      <c r="P717">
        <v>0.98744</v>
      </c>
      <c r="Q717">
        <v>1</v>
      </c>
      <c r="R717">
        <v>1</v>
      </c>
      <c r="S717">
        <v>1</v>
      </c>
      <c r="T717">
        <v>1.07137</v>
      </c>
      <c r="U717">
        <v>1</v>
      </c>
      <c r="V717">
        <v>93.67700000000001</v>
      </c>
      <c r="W717">
        <v>43.003</v>
      </c>
      <c r="X717">
        <v>79.386</v>
      </c>
      <c r="Y717">
        <v>16.691</v>
      </c>
      <c r="Z717">
        <v>30.503</v>
      </c>
      <c r="AA717">
        <v>263.261</v>
      </c>
      <c r="AB717">
        <v>0.9991</v>
      </c>
      <c r="AC717">
        <v>277</v>
      </c>
      <c r="AD717">
        <v>0</v>
      </c>
      <c r="AG717">
        <v>96</v>
      </c>
      <c r="AH717">
        <v>37</v>
      </c>
      <c r="AI717">
        <v>74</v>
      </c>
      <c r="AJ717">
        <v>27</v>
      </c>
      <c r="AK717">
        <v>43</v>
      </c>
    </row>
    <row r="718" spans="1:37">
      <c r="A718" t="s">
        <v>1145</v>
      </c>
      <c r="B718" t="s">
        <v>1751</v>
      </c>
      <c r="C718">
        <v>17.9</v>
      </c>
      <c r="D718" t="s">
        <v>82</v>
      </c>
      <c r="E718">
        <v>20</v>
      </c>
      <c r="F718">
        <v>0</v>
      </c>
      <c r="G718">
        <v>0</v>
      </c>
      <c r="I718">
        <v>1.13385</v>
      </c>
      <c r="J718">
        <v>1.03633</v>
      </c>
      <c r="K718">
        <v>1.04185</v>
      </c>
      <c r="L718">
        <v>1.03993</v>
      </c>
      <c r="M718">
        <v>0.89991</v>
      </c>
      <c r="N718">
        <v>1.00928</v>
      </c>
      <c r="O718">
        <v>1</v>
      </c>
      <c r="P718">
        <v>0.9846200000000001</v>
      </c>
      <c r="Q718">
        <v>1</v>
      </c>
      <c r="R718">
        <v>1</v>
      </c>
      <c r="S718">
        <v>1</v>
      </c>
      <c r="T718">
        <v>1.06931</v>
      </c>
      <c r="U718">
        <v>1</v>
      </c>
      <c r="V718">
        <v>94.249</v>
      </c>
      <c r="W718">
        <v>43.234</v>
      </c>
      <c r="X718">
        <v>87.264</v>
      </c>
      <c r="Y718">
        <v>18.674</v>
      </c>
      <c r="Z718">
        <v>31.943</v>
      </c>
      <c r="AA718">
        <v>275.364</v>
      </c>
      <c r="AB718">
        <v>0.9768</v>
      </c>
      <c r="AC718">
        <v>271</v>
      </c>
      <c r="AD718">
        <v>1</v>
      </c>
      <c r="AG718">
        <v>88</v>
      </c>
      <c r="AH718">
        <v>46</v>
      </c>
      <c r="AI718">
        <v>84</v>
      </c>
      <c r="AJ718">
        <v>24</v>
      </c>
      <c r="AK718">
        <v>29</v>
      </c>
    </row>
    <row r="719" spans="1:37">
      <c r="A719" t="s">
        <v>1146</v>
      </c>
      <c r="B719" t="s">
        <v>1751</v>
      </c>
      <c r="C719">
        <v>20.8</v>
      </c>
      <c r="D719" t="s">
        <v>82</v>
      </c>
      <c r="E719">
        <v>21</v>
      </c>
      <c r="F719">
        <v>0</v>
      </c>
      <c r="G719">
        <v>0</v>
      </c>
      <c r="I719">
        <v>1.13403</v>
      </c>
      <c r="J719">
        <v>1.02639</v>
      </c>
      <c r="K719">
        <v>1.04185</v>
      </c>
      <c r="L719">
        <v>1.03981</v>
      </c>
      <c r="M719">
        <v>0.93575</v>
      </c>
      <c r="N719">
        <v>1.03429</v>
      </c>
      <c r="O719">
        <v>1</v>
      </c>
      <c r="P719">
        <v>0.98133</v>
      </c>
      <c r="Q719">
        <v>1</v>
      </c>
      <c r="R719">
        <v>1</v>
      </c>
      <c r="S719">
        <v>1</v>
      </c>
      <c r="T719">
        <v>1.06517</v>
      </c>
      <c r="U719">
        <v>1</v>
      </c>
      <c r="V719">
        <v>91.381</v>
      </c>
      <c r="W719">
        <v>40.604</v>
      </c>
      <c r="X719">
        <v>100.517</v>
      </c>
      <c r="Y719">
        <v>22.183</v>
      </c>
      <c r="Z719">
        <v>34.751</v>
      </c>
      <c r="AA719">
        <v>289.436</v>
      </c>
      <c r="AB719">
        <v>1.09085</v>
      </c>
      <c r="AC719">
        <v>321</v>
      </c>
      <c r="AD719">
        <v>0</v>
      </c>
      <c r="AG719">
        <v>98</v>
      </c>
      <c r="AH719">
        <v>48</v>
      </c>
      <c r="AI719">
        <v>122</v>
      </c>
      <c r="AJ719">
        <v>24</v>
      </c>
      <c r="AK719">
        <v>29</v>
      </c>
    </row>
    <row r="720" spans="1:37">
      <c r="A720" t="s">
        <v>1147</v>
      </c>
      <c r="B720" t="s">
        <v>1752</v>
      </c>
      <c r="C720">
        <v>19.5</v>
      </c>
      <c r="D720" t="s">
        <v>82</v>
      </c>
      <c r="E720">
        <v>22</v>
      </c>
      <c r="F720">
        <v>0</v>
      </c>
      <c r="G720">
        <v>0</v>
      </c>
      <c r="I720">
        <v>1.13422</v>
      </c>
      <c r="J720">
        <v>1.01643</v>
      </c>
      <c r="K720">
        <v>1.04185</v>
      </c>
      <c r="L720">
        <v>1.03965</v>
      </c>
      <c r="M720">
        <v>1.13817</v>
      </c>
      <c r="N720">
        <v>1.03727</v>
      </c>
      <c r="O720">
        <v>1</v>
      </c>
      <c r="P720">
        <v>0.97656</v>
      </c>
      <c r="Q720">
        <v>1</v>
      </c>
      <c r="R720">
        <v>1</v>
      </c>
      <c r="S720">
        <v>1</v>
      </c>
      <c r="T720">
        <v>1.0548</v>
      </c>
      <c r="U720">
        <v>1</v>
      </c>
      <c r="V720">
        <v>84.85899999999999</v>
      </c>
      <c r="W720">
        <v>33.798</v>
      </c>
      <c r="X720">
        <v>149.199</v>
      </c>
      <c r="Y720">
        <v>37.127</v>
      </c>
      <c r="Z720">
        <v>39.845</v>
      </c>
      <c r="AA720">
        <v>344.828</v>
      </c>
      <c r="AB720">
        <v>0.98476</v>
      </c>
      <c r="AC720">
        <v>347</v>
      </c>
      <c r="AD720">
        <v>0</v>
      </c>
      <c r="AG720">
        <v>75</v>
      </c>
      <c r="AH720">
        <v>37</v>
      </c>
      <c r="AI720">
        <v>162</v>
      </c>
      <c r="AJ720">
        <v>31</v>
      </c>
      <c r="AK720">
        <v>42</v>
      </c>
    </row>
    <row r="721" spans="1:37">
      <c r="A721" t="s">
        <v>1148</v>
      </c>
      <c r="B721" t="s">
        <v>1753</v>
      </c>
      <c r="C721">
        <v>19.4</v>
      </c>
      <c r="D721" t="s">
        <v>82</v>
      </c>
      <c r="E721">
        <v>23</v>
      </c>
      <c r="F721">
        <v>0</v>
      </c>
      <c r="G721">
        <v>0</v>
      </c>
      <c r="I721">
        <v>1.13441</v>
      </c>
      <c r="J721">
        <v>1.00901</v>
      </c>
      <c r="K721">
        <v>1.04185</v>
      </c>
      <c r="L721">
        <v>1.03943</v>
      </c>
      <c r="M721">
        <v>0.9101399999999999</v>
      </c>
      <c r="N721">
        <v>1.04738</v>
      </c>
      <c r="O721">
        <v>1</v>
      </c>
      <c r="P721">
        <v>0.9688600000000001</v>
      </c>
      <c r="Q721">
        <v>1</v>
      </c>
      <c r="R721">
        <v>1</v>
      </c>
      <c r="S721">
        <v>1</v>
      </c>
      <c r="T721">
        <v>1.02858</v>
      </c>
      <c r="U721">
        <v>1</v>
      </c>
      <c r="V721">
        <v>20.121</v>
      </c>
      <c r="W721">
        <v>14.65</v>
      </c>
      <c r="X721">
        <v>137.157</v>
      </c>
      <c r="Y721">
        <v>58.065</v>
      </c>
      <c r="Z721">
        <v>42.76</v>
      </c>
      <c r="AA721">
        <v>272.754</v>
      </c>
      <c r="AB721">
        <v>1.06802</v>
      </c>
      <c r="AC721">
        <v>301</v>
      </c>
      <c r="AD721">
        <v>0</v>
      </c>
      <c r="AG721">
        <v>21</v>
      </c>
      <c r="AH721">
        <v>15</v>
      </c>
      <c r="AI721">
        <v>151</v>
      </c>
      <c r="AJ721">
        <v>68</v>
      </c>
      <c r="AK721">
        <v>46</v>
      </c>
    </row>
    <row r="722" spans="1:37">
      <c r="A722" t="s">
        <v>1149</v>
      </c>
      <c r="B722" t="s">
        <v>1754</v>
      </c>
      <c r="C722">
        <v>18.6</v>
      </c>
      <c r="D722" t="s">
        <v>82</v>
      </c>
      <c r="E722">
        <v>24</v>
      </c>
      <c r="F722">
        <v>0</v>
      </c>
      <c r="G722">
        <v>0</v>
      </c>
      <c r="I722">
        <v>1.13459</v>
      </c>
      <c r="J722">
        <v>1.00563</v>
      </c>
      <c r="K722">
        <v>1.04185</v>
      </c>
      <c r="L722">
        <v>1.03917</v>
      </c>
      <c r="M722">
        <v>0.84392</v>
      </c>
      <c r="N722">
        <v>1.03212</v>
      </c>
      <c r="O722">
        <v>1</v>
      </c>
      <c r="P722">
        <v>0.96701</v>
      </c>
      <c r="Q722">
        <v>1</v>
      </c>
      <c r="R722">
        <v>1</v>
      </c>
      <c r="S722">
        <v>1</v>
      </c>
      <c r="T722">
        <v>1.03393</v>
      </c>
      <c r="U722">
        <v>1</v>
      </c>
      <c r="V722">
        <v>27.312</v>
      </c>
      <c r="W722">
        <v>22.9</v>
      </c>
      <c r="X722">
        <v>114.42</v>
      </c>
      <c r="Y722">
        <v>48.066</v>
      </c>
      <c r="Z722">
        <v>36.893</v>
      </c>
      <c r="AA722">
        <v>249.591</v>
      </c>
      <c r="AB722">
        <v>0.98652</v>
      </c>
      <c r="AC722">
        <v>289</v>
      </c>
      <c r="AD722">
        <v>0</v>
      </c>
      <c r="AG722">
        <v>41</v>
      </c>
      <c r="AH722">
        <v>26</v>
      </c>
      <c r="AI722">
        <v>123</v>
      </c>
      <c r="AJ722">
        <v>43</v>
      </c>
      <c r="AK722">
        <v>56</v>
      </c>
    </row>
    <row r="723" spans="1:37">
      <c r="A723" t="s">
        <v>468</v>
      </c>
      <c r="B723" t="s">
        <v>1751</v>
      </c>
      <c r="C723">
        <v>17.1</v>
      </c>
      <c r="D723" t="s">
        <v>82</v>
      </c>
      <c r="E723">
        <v>25</v>
      </c>
      <c r="F723">
        <v>0</v>
      </c>
      <c r="G723">
        <v>0</v>
      </c>
      <c r="I723">
        <v>1.13478</v>
      </c>
      <c r="J723">
        <v>1.00823</v>
      </c>
      <c r="K723">
        <v>1.04185</v>
      </c>
      <c r="L723">
        <v>1.03886</v>
      </c>
      <c r="M723">
        <v>0.90465</v>
      </c>
      <c r="N723">
        <v>1.00096</v>
      </c>
      <c r="O723">
        <v>1</v>
      </c>
      <c r="P723">
        <v>0.97233</v>
      </c>
      <c r="Q723">
        <v>1</v>
      </c>
      <c r="R723">
        <v>1</v>
      </c>
      <c r="S723">
        <v>1</v>
      </c>
      <c r="T723">
        <v>1.07277</v>
      </c>
      <c r="U723">
        <v>1</v>
      </c>
      <c r="V723">
        <v>95.71899999999999</v>
      </c>
      <c r="W723">
        <v>41.659</v>
      </c>
      <c r="X723">
        <v>78.86799999999999</v>
      </c>
      <c r="Y723">
        <v>17.584</v>
      </c>
      <c r="Z723">
        <v>29.436</v>
      </c>
      <c r="AA723">
        <v>263.266</v>
      </c>
      <c r="AB723">
        <v>0.9535400000000001</v>
      </c>
      <c r="AC723">
        <v>240</v>
      </c>
      <c r="AD723">
        <v>0</v>
      </c>
      <c r="AG723">
        <v>94</v>
      </c>
      <c r="AH723">
        <v>34</v>
      </c>
      <c r="AI723">
        <v>60</v>
      </c>
      <c r="AJ723">
        <v>25</v>
      </c>
      <c r="AK723">
        <v>27</v>
      </c>
    </row>
    <row r="724" spans="1:37">
      <c r="A724" t="s">
        <v>1150</v>
      </c>
      <c r="B724" t="s">
        <v>1751</v>
      </c>
      <c r="C724">
        <v>18.8</v>
      </c>
      <c r="D724" t="s">
        <v>82</v>
      </c>
      <c r="E724">
        <v>26</v>
      </c>
      <c r="F724">
        <v>0</v>
      </c>
      <c r="G724">
        <v>0</v>
      </c>
      <c r="I724">
        <v>1.13497</v>
      </c>
      <c r="J724">
        <v>1.02054</v>
      </c>
      <c r="K724">
        <v>1.04185</v>
      </c>
      <c r="L724">
        <v>1.03852</v>
      </c>
      <c r="M724">
        <v>0.87578</v>
      </c>
      <c r="N724">
        <v>1.01624</v>
      </c>
      <c r="O724">
        <v>1</v>
      </c>
      <c r="P724">
        <v>0.96948</v>
      </c>
      <c r="Q724">
        <v>1</v>
      </c>
      <c r="R724">
        <v>1</v>
      </c>
      <c r="S724">
        <v>1</v>
      </c>
      <c r="T724">
        <v>1.07091</v>
      </c>
      <c r="U724">
        <v>1</v>
      </c>
      <c r="V724">
        <v>92.155</v>
      </c>
      <c r="W724">
        <v>42.081</v>
      </c>
      <c r="X724">
        <v>80.423</v>
      </c>
      <c r="Y724">
        <v>16.676</v>
      </c>
      <c r="Z724">
        <v>30.481</v>
      </c>
      <c r="AA724">
        <v>261.816</v>
      </c>
      <c r="AB724">
        <v>1.00602</v>
      </c>
      <c r="AC724">
        <v>250</v>
      </c>
      <c r="AD724">
        <v>0</v>
      </c>
      <c r="AG724">
        <v>93</v>
      </c>
      <c r="AH724">
        <v>43</v>
      </c>
      <c r="AI724">
        <v>65</v>
      </c>
      <c r="AJ724">
        <v>22</v>
      </c>
      <c r="AK724">
        <v>27</v>
      </c>
    </row>
    <row r="725" spans="1:37">
      <c r="A725" t="s">
        <v>1151</v>
      </c>
      <c r="B725" t="s">
        <v>1751</v>
      </c>
      <c r="C725">
        <v>19.3</v>
      </c>
      <c r="D725" t="s">
        <v>82</v>
      </c>
      <c r="E725">
        <v>27</v>
      </c>
      <c r="F725">
        <v>0</v>
      </c>
      <c r="G725">
        <v>0</v>
      </c>
      <c r="I725">
        <v>1.13515</v>
      </c>
      <c r="J725">
        <v>1.02658</v>
      </c>
      <c r="K725">
        <v>1.04185</v>
      </c>
      <c r="L725">
        <v>1.03813</v>
      </c>
      <c r="M725">
        <v>0.89962</v>
      </c>
      <c r="N725">
        <v>1.02152</v>
      </c>
      <c r="O725">
        <v>1</v>
      </c>
      <c r="P725">
        <v>0.9690299999999999</v>
      </c>
      <c r="Q725">
        <v>1</v>
      </c>
      <c r="R725">
        <v>1</v>
      </c>
      <c r="S725">
        <v>1</v>
      </c>
      <c r="T725">
        <v>1.06928</v>
      </c>
      <c r="U725">
        <v>1</v>
      </c>
      <c r="V725">
        <v>92.682</v>
      </c>
      <c r="W725">
        <v>42.323</v>
      </c>
      <c r="X725">
        <v>86.663</v>
      </c>
      <c r="Y725">
        <v>18.408</v>
      </c>
      <c r="Z725">
        <v>31.58</v>
      </c>
      <c r="AA725">
        <v>271.656</v>
      </c>
      <c r="AB725">
        <v>0.99032</v>
      </c>
      <c r="AC725">
        <v>284</v>
      </c>
      <c r="AD725">
        <v>0</v>
      </c>
      <c r="AG725">
        <v>102</v>
      </c>
      <c r="AH725">
        <v>35</v>
      </c>
      <c r="AI725">
        <v>90</v>
      </c>
      <c r="AJ725">
        <v>27</v>
      </c>
      <c r="AK725">
        <v>30</v>
      </c>
    </row>
    <row r="726" spans="1:37">
      <c r="A726" t="s">
        <v>1152</v>
      </c>
      <c r="B726" t="s">
        <v>1751</v>
      </c>
      <c r="C726">
        <v>18.6</v>
      </c>
      <c r="D726" t="s">
        <v>82</v>
      </c>
      <c r="E726">
        <v>28</v>
      </c>
      <c r="F726">
        <v>0</v>
      </c>
      <c r="G726">
        <v>0</v>
      </c>
      <c r="I726">
        <v>1.13534</v>
      </c>
      <c r="J726">
        <v>1.03279</v>
      </c>
      <c r="K726">
        <v>1.04185</v>
      </c>
      <c r="L726">
        <v>1.03771</v>
      </c>
      <c r="M726">
        <v>0.93619</v>
      </c>
      <c r="N726">
        <v>1.01799</v>
      </c>
      <c r="O726">
        <v>1</v>
      </c>
      <c r="P726">
        <v>0.96818</v>
      </c>
      <c r="Q726">
        <v>1</v>
      </c>
      <c r="R726">
        <v>1</v>
      </c>
      <c r="S726">
        <v>1</v>
      </c>
      <c r="T726">
        <v>1.06653</v>
      </c>
      <c r="U726">
        <v>1</v>
      </c>
      <c r="V726">
        <v>91.357</v>
      </c>
      <c r="W726">
        <v>40.441</v>
      </c>
      <c r="X726">
        <v>96.256</v>
      </c>
      <c r="Y726">
        <v>21.413</v>
      </c>
      <c r="Z726">
        <v>33.128</v>
      </c>
      <c r="AA726">
        <v>282.596</v>
      </c>
      <c r="AB726">
        <v>0.95191</v>
      </c>
      <c r="AC726">
        <v>269</v>
      </c>
      <c r="AD726">
        <v>0</v>
      </c>
      <c r="AG726">
        <v>84</v>
      </c>
      <c r="AH726">
        <v>35</v>
      </c>
      <c r="AI726">
        <v>93</v>
      </c>
      <c r="AJ726">
        <v>20</v>
      </c>
      <c r="AK726">
        <v>37</v>
      </c>
    </row>
    <row r="727" spans="1:37">
      <c r="A727" t="s">
        <v>1153</v>
      </c>
      <c r="B727" t="s">
        <v>1752</v>
      </c>
      <c r="C727">
        <v>15.6</v>
      </c>
      <c r="D727" t="s">
        <v>82</v>
      </c>
      <c r="E727">
        <v>0</v>
      </c>
      <c r="F727">
        <v>0</v>
      </c>
      <c r="G727">
        <v>0</v>
      </c>
      <c r="I727">
        <v>1.13553</v>
      </c>
      <c r="J727">
        <v>1.03219</v>
      </c>
      <c r="K727">
        <v>1.04185</v>
      </c>
      <c r="L727">
        <v>1.03727</v>
      </c>
      <c r="M727">
        <v>1.1367</v>
      </c>
      <c r="N727">
        <v>0.98619</v>
      </c>
      <c r="O727">
        <v>1</v>
      </c>
      <c r="P727">
        <v>1.06933</v>
      </c>
      <c r="Q727">
        <v>1</v>
      </c>
      <c r="R727">
        <v>1</v>
      </c>
      <c r="S727">
        <v>1</v>
      </c>
      <c r="T727">
        <v>1.05472</v>
      </c>
      <c r="U727">
        <v>1</v>
      </c>
      <c r="V727">
        <v>89.20999999999999</v>
      </c>
      <c r="W727">
        <v>36.377</v>
      </c>
      <c r="X727">
        <v>156.112</v>
      </c>
      <c r="Y727">
        <v>39.804</v>
      </c>
      <c r="Z727">
        <v>42.691</v>
      </c>
      <c r="AA727">
        <v>364.194</v>
      </c>
      <c r="AB727">
        <v>0.99234</v>
      </c>
      <c r="AC727">
        <v>346</v>
      </c>
      <c r="AD727">
        <v>0</v>
      </c>
      <c r="AG727">
        <v>84</v>
      </c>
      <c r="AH727">
        <v>40</v>
      </c>
      <c r="AI727">
        <v>142</v>
      </c>
      <c r="AJ727">
        <v>32</v>
      </c>
      <c r="AK727">
        <v>48</v>
      </c>
    </row>
    <row r="728" spans="1:37">
      <c r="A728" t="s">
        <v>1154</v>
      </c>
      <c r="B728" t="s">
        <v>1753</v>
      </c>
      <c r="C728">
        <v>14.8</v>
      </c>
      <c r="D728" t="s">
        <v>82</v>
      </c>
      <c r="E728">
        <v>1</v>
      </c>
      <c r="F728">
        <v>0</v>
      </c>
      <c r="G728">
        <v>0</v>
      </c>
      <c r="I728">
        <v>1.13571</v>
      </c>
      <c r="J728">
        <v>1.02536</v>
      </c>
      <c r="K728">
        <v>1.04185</v>
      </c>
      <c r="L728">
        <v>1.0368</v>
      </c>
      <c r="M728">
        <v>0.90122</v>
      </c>
      <c r="N728">
        <v>0.96658</v>
      </c>
      <c r="O728">
        <v>1</v>
      </c>
      <c r="P728">
        <v>1.05529</v>
      </c>
      <c r="Q728">
        <v>1</v>
      </c>
      <c r="R728">
        <v>1</v>
      </c>
      <c r="S728">
        <v>1</v>
      </c>
      <c r="T728">
        <v>1.0289</v>
      </c>
      <c r="U728">
        <v>1</v>
      </c>
      <c r="V728">
        <v>21.002</v>
      </c>
      <c r="W728">
        <v>15.581</v>
      </c>
      <c r="X728">
        <v>137.462</v>
      </c>
      <c r="Y728">
        <v>59.98</v>
      </c>
      <c r="Z728">
        <v>44.241</v>
      </c>
      <c r="AA728">
        <v>278.266</v>
      </c>
      <c r="AB728">
        <v>1.03899</v>
      </c>
      <c r="AC728">
        <v>331</v>
      </c>
      <c r="AD728">
        <v>0</v>
      </c>
      <c r="AG728">
        <v>28</v>
      </c>
      <c r="AH728">
        <v>13</v>
      </c>
      <c r="AI728">
        <v>165</v>
      </c>
      <c r="AJ728">
        <v>75</v>
      </c>
      <c r="AK728">
        <v>50</v>
      </c>
    </row>
    <row r="729" spans="1:37">
      <c r="A729" t="s">
        <v>1155</v>
      </c>
      <c r="B729" t="s">
        <v>1754</v>
      </c>
      <c r="C729">
        <v>13.2</v>
      </c>
      <c r="D729" t="s">
        <v>82</v>
      </c>
      <c r="E729">
        <v>2</v>
      </c>
      <c r="F729">
        <v>0</v>
      </c>
      <c r="G729">
        <v>0</v>
      </c>
      <c r="I729">
        <v>1.1359</v>
      </c>
      <c r="J729">
        <v>1.01741</v>
      </c>
      <c r="K729">
        <v>1.04185</v>
      </c>
      <c r="L729">
        <v>1.03631</v>
      </c>
      <c r="M729">
        <v>0.83112</v>
      </c>
      <c r="N729">
        <v>0.94178</v>
      </c>
      <c r="O729">
        <v>1</v>
      </c>
      <c r="P729">
        <v>1.03512</v>
      </c>
      <c r="Q729">
        <v>1</v>
      </c>
      <c r="R729">
        <v>1</v>
      </c>
      <c r="S729">
        <v>1</v>
      </c>
      <c r="T729">
        <v>1.03475</v>
      </c>
      <c r="U729">
        <v>1</v>
      </c>
      <c r="V729">
        <v>28.242</v>
      </c>
      <c r="W729">
        <v>24.054</v>
      </c>
      <c r="X729">
        <v>109.36</v>
      </c>
      <c r="Y729">
        <v>47.766</v>
      </c>
      <c r="Z729">
        <v>36.888</v>
      </c>
      <c r="AA729">
        <v>246.31</v>
      </c>
      <c r="AB729">
        <v>1.0697</v>
      </c>
      <c r="AC729">
        <v>257</v>
      </c>
      <c r="AD729">
        <v>0</v>
      </c>
      <c r="AG729">
        <v>36</v>
      </c>
      <c r="AH729">
        <v>23</v>
      </c>
      <c r="AI729">
        <v>113</v>
      </c>
      <c r="AJ729">
        <v>49</v>
      </c>
      <c r="AK729">
        <v>36</v>
      </c>
    </row>
    <row r="730" spans="1:37">
      <c r="A730" t="s">
        <v>469</v>
      </c>
      <c r="B730" t="s">
        <v>1751</v>
      </c>
      <c r="C730">
        <v>11.2</v>
      </c>
      <c r="D730" t="s">
        <v>82</v>
      </c>
      <c r="E730">
        <v>3</v>
      </c>
      <c r="F730">
        <v>0</v>
      </c>
      <c r="G730">
        <v>0</v>
      </c>
      <c r="I730">
        <v>1.13609</v>
      </c>
      <c r="J730">
        <v>1.01414</v>
      </c>
      <c r="K730">
        <v>1.04185</v>
      </c>
      <c r="L730">
        <v>1.0358</v>
      </c>
      <c r="M730">
        <v>0.90922</v>
      </c>
      <c r="N730">
        <v>0.94206</v>
      </c>
      <c r="O730">
        <v>1</v>
      </c>
      <c r="P730">
        <v>1.01763</v>
      </c>
      <c r="Q730">
        <v>1</v>
      </c>
      <c r="R730">
        <v>1</v>
      </c>
      <c r="S730">
        <v>1</v>
      </c>
      <c r="T730">
        <v>1.07494</v>
      </c>
      <c r="U730">
        <v>1</v>
      </c>
      <c r="V730">
        <v>98.11</v>
      </c>
      <c r="W730">
        <v>43.295</v>
      </c>
      <c r="X730">
        <v>73.367</v>
      </c>
      <c r="Y730">
        <v>17.088</v>
      </c>
      <c r="Z730">
        <v>28.677</v>
      </c>
      <c r="AA730">
        <v>260.537</v>
      </c>
      <c r="AB730">
        <v>1.06996</v>
      </c>
      <c r="AC730">
        <v>286</v>
      </c>
      <c r="AD730">
        <v>0</v>
      </c>
      <c r="AG730">
        <v>97</v>
      </c>
      <c r="AH730">
        <v>60</v>
      </c>
      <c r="AI730">
        <v>88</v>
      </c>
      <c r="AJ730">
        <v>16</v>
      </c>
      <c r="AK730">
        <v>25</v>
      </c>
    </row>
    <row r="731" spans="1:37">
      <c r="A731" t="s">
        <v>1156</v>
      </c>
      <c r="B731" t="s">
        <v>1751</v>
      </c>
      <c r="C731">
        <v>12</v>
      </c>
      <c r="D731" t="s">
        <v>82</v>
      </c>
      <c r="E731">
        <v>4</v>
      </c>
      <c r="F731">
        <v>0</v>
      </c>
      <c r="G731">
        <v>0</v>
      </c>
      <c r="I731">
        <v>1.13627</v>
      </c>
      <c r="J731">
        <v>1.01423</v>
      </c>
      <c r="K731">
        <v>1.04185</v>
      </c>
      <c r="L731">
        <v>1.03529</v>
      </c>
      <c r="M731">
        <v>0.88125</v>
      </c>
      <c r="N731">
        <v>0.9480499999999999</v>
      </c>
      <c r="O731">
        <v>1</v>
      </c>
      <c r="P731">
        <v>1.0119</v>
      </c>
      <c r="Q731">
        <v>1</v>
      </c>
      <c r="R731">
        <v>1</v>
      </c>
      <c r="S731">
        <v>1</v>
      </c>
      <c r="T731">
        <v>1.07361</v>
      </c>
      <c r="U731">
        <v>1</v>
      </c>
      <c r="V731">
        <v>93.16800000000001</v>
      </c>
      <c r="W731">
        <v>43.095</v>
      </c>
      <c r="X731">
        <v>72.123</v>
      </c>
      <c r="Y731">
        <v>15.702</v>
      </c>
      <c r="Z731">
        <v>28.822</v>
      </c>
      <c r="AA731">
        <v>252.91</v>
      </c>
      <c r="AB731">
        <v>0.98245</v>
      </c>
      <c r="AC731">
        <v>236</v>
      </c>
      <c r="AD731">
        <v>0</v>
      </c>
      <c r="AG731">
        <v>90</v>
      </c>
      <c r="AH731">
        <v>35</v>
      </c>
      <c r="AI731">
        <v>61</v>
      </c>
      <c r="AJ731">
        <v>23</v>
      </c>
      <c r="AK731">
        <v>27</v>
      </c>
    </row>
    <row r="732" spans="1:37">
      <c r="A732" t="s">
        <v>1157</v>
      </c>
      <c r="B732" t="s">
        <v>1751</v>
      </c>
      <c r="C732">
        <v>13.1</v>
      </c>
      <c r="D732" t="s">
        <v>82</v>
      </c>
      <c r="E732">
        <v>5</v>
      </c>
      <c r="F732">
        <v>0</v>
      </c>
      <c r="G732">
        <v>0</v>
      </c>
      <c r="I732">
        <v>1.13646</v>
      </c>
      <c r="J732">
        <v>1.01278</v>
      </c>
      <c r="K732">
        <v>1.04185</v>
      </c>
      <c r="L732">
        <v>1.03477</v>
      </c>
      <c r="M732">
        <v>0.9034</v>
      </c>
      <c r="N732">
        <v>0.9577</v>
      </c>
      <c r="O732">
        <v>1</v>
      </c>
      <c r="P732">
        <v>1.00813</v>
      </c>
      <c r="Q732">
        <v>1</v>
      </c>
      <c r="R732">
        <v>1</v>
      </c>
      <c r="S732">
        <v>1</v>
      </c>
      <c r="T732">
        <v>1.0717</v>
      </c>
      <c r="U732">
        <v>1</v>
      </c>
      <c r="V732">
        <v>92.83799999999999</v>
      </c>
      <c r="W732">
        <v>42.892</v>
      </c>
      <c r="X732">
        <v>78.015</v>
      </c>
      <c r="Y732">
        <v>17.3</v>
      </c>
      <c r="Z732">
        <v>29.798</v>
      </c>
      <c r="AA732">
        <v>260.843</v>
      </c>
      <c r="AB732">
        <v>1.08979</v>
      </c>
      <c r="AC732">
        <v>273</v>
      </c>
      <c r="AD732">
        <v>0</v>
      </c>
      <c r="AG732">
        <v>83</v>
      </c>
      <c r="AH732">
        <v>51</v>
      </c>
      <c r="AI732">
        <v>81</v>
      </c>
      <c r="AJ732">
        <v>22</v>
      </c>
      <c r="AK732">
        <v>36</v>
      </c>
    </row>
    <row r="733" spans="1:37">
      <c r="A733" t="s">
        <v>1158</v>
      </c>
      <c r="B733" t="s">
        <v>1751</v>
      </c>
      <c r="C733">
        <v>13.2</v>
      </c>
      <c r="D733" t="s">
        <v>82</v>
      </c>
      <c r="E733">
        <v>6</v>
      </c>
      <c r="F733">
        <v>0</v>
      </c>
      <c r="G733">
        <v>0</v>
      </c>
      <c r="I733">
        <v>1.13665</v>
      </c>
      <c r="J733">
        <v>1.02433</v>
      </c>
      <c r="K733">
        <v>1.00939</v>
      </c>
      <c r="L733">
        <v>1.03463</v>
      </c>
      <c r="M733">
        <v>0.93694</v>
      </c>
      <c r="N733">
        <v>0.95701</v>
      </c>
      <c r="O733">
        <v>1</v>
      </c>
      <c r="P733">
        <v>1.00562</v>
      </c>
      <c r="Q733">
        <v>1</v>
      </c>
      <c r="R733">
        <v>1</v>
      </c>
      <c r="S733">
        <v>1</v>
      </c>
      <c r="T733">
        <v>1.06868</v>
      </c>
      <c r="U733">
        <v>1</v>
      </c>
      <c r="V733">
        <v>89.04900000000001</v>
      </c>
      <c r="W733">
        <v>39.851</v>
      </c>
      <c r="X733">
        <v>85.31399999999999</v>
      </c>
      <c r="Y733">
        <v>19.734</v>
      </c>
      <c r="Z733">
        <v>30.717</v>
      </c>
      <c r="AA733">
        <v>264.664</v>
      </c>
      <c r="AB733">
        <v>1.0699</v>
      </c>
      <c r="AC733">
        <v>263</v>
      </c>
      <c r="AD733">
        <v>0</v>
      </c>
      <c r="AG733">
        <v>79</v>
      </c>
      <c r="AH733">
        <v>40</v>
      </c>
      <c r="AI733">
        <v>80</v>
      </c>
      <c r="AJ733">
        <v>24</v>
      </c>
      <c r="AK733">
        <v>40</v>
      </c>
    </row>
    <row r="734" spans="1:37">
      <c r="A734" t="s">
        <v>1159</v>
      </c>
      <c r="B734" t="s">
        <v>1752</v>
      </c>
      <c r="C734">
        <v>14.4</v>
      </c>
      <c r="D734" t="s">
        <v>82</v>
      </c>
      <c r="E734">
        <v>7</v>
      </c>
      <c r="F734">
        <v>0</v>
      </c>
      <c r="G734">
        <v>0</v>
      </c>
      <c r="I734">
        <v>1.13683</v>
      </c>
      <c r="J734">
        <v>1.01722</v>
      </c>
      <c r="K734">
        <v>1.00939</v>
      </c>
      <c r="L734">
        <v>1.03412</v>
      </c>
      <c r="M734">
        <v>1.12762</v>
      </c>
      <c r="N734">
        <v>0.96884</v>
      </c>
      <c r="O734">
        <v>1</v>
      </c>
      <c r="P734">
        <v>1.00419</v>
      </c>
      <c r="Q734">
        <v>1</v>
      </c>
      <c r="R734">
        <v>1</v>
      </c>
      <c r="S734">
        <v>1</v>
      </c>
      <c r="T734">
        <v>1.05699</v>
      </c>
      <c r="U734">
        <v>1</v>
      </c>
      <c r="V734">
        <v>82.923</v>
      </c>
      <c r="W734">
        <v>33.271</v>
      </c>
      <c r="X734">
        <v>132.955</v>
      </c>
      <c r="Y734">
        <v>34.219</v>
      </c>
      <c r="Z734">
        <v>36.794</v>
      </c>
      <c r="AA734">
        <v>320.161</v>
      </c>
      <c r="AB734">
        <v>1.00493</v>
      </c>
      <c r="AC734">
        <v>327</v>
      </c>
      <c r="AD734">
        <v>0</v>
      </c>
      <c r="AG734">
        <v>98</v>
      </c>
      <c r="AH734">
        <v>37</v>
      </c>
      <c r="AI734">
        <v>138</v>
      </c>
      <c r="AJ734">
        <v>25</v>
      </c>
      <c r="AK734">
        <v>29</v>
      </c>
    </row>
    <row r="735" spans="1:37">
      <c r="A735" t="s">
        <v>1160</v>
      </c>
      <c r="B735" t="s">
        <v>1753</v>
      </c>
      <c r="C735">
        <v>15.7</v>
      </c>
      <c r="D735" t="s">
        <v>82</v>
      </c>
      <c r="E735">
        <v>8</v>
      </c>
      <c r="F735">
        <v>0</v>
      </c>
      <c r="G735">
        <v>0</v>
      </c>
      <c r="I735">
        <v>1.13702</v>
      </c>
      <c r="J735">
        <v>1.01861</v>
      </c>
      <c r="K735">
        <v>1.00939</v>
      </c>
      <c r="L735">
        <v>1.03361</v>
      </c>
      <c r="M735">
        <v>0.8969</v>
      </c>
      <c r="N735">
        <v>0.98403</v>
      </c>
      <c r="O735">
        <v>1</v>
      </c>
      <c r="P735">
        <v>1.00337</v>
      </c>
      <c r="Q735">
        <v>1</v>
      </c>
      <c r="R735">
        <v>1</v>
      </c>
      <c r="S735">
        <v>1</v>
      </c>
      <c r="T735">
        <v>1.02922</v>
      </c>
      <c r="U735">
        <v>1</v>
      </c>
      <c r="V735">
        <v>19.839</v>
      </c>
      <c r="W735">
        <v>14.558</v>
      </c>
      <c r="X735">
        <v>128.037</v>
      </c>
      <c r="Y735">
        <v>55.468</v>
      </c>
      <c r="Z735">
        <v>40.832</v>
      </c>
      <c r="AA735">
        <v>258.735</v>
      </c>
      <c r="AB735">
        <v>0.92617</v>
      </c>
      <c r="AC735">
        <v>250</v>
      </c>
      <c r="AD735">
        <v>0</v>
      </c>
      <c r="AG735">
        <v>19</v>
      </c>
      <c r="AH735">
        <v>10</v>
      </c>
      <c r="AI735">
        <v>141</v>
      </c>
      <c r="AJ735">
        <v>51</v>
      </c>
      <c r="AK735">
        <v>29</v>
      </c>
    </row>
    <row r="736" spans="1:37">
      <c r="A736" t="s">
        <v>1161</v>
      </c>
      <c r="B736" t="s">
        <v>1754</v>
      </c>
      <c r="C736">
        <v>14.9</v>
      </c>
      <c r="D736" t="s">
        <v>82</v>
      </c>
      <c r="E736">
        <v>9</v>
      </c>
      <c r="F736">
        <v>0</v>
      </c>
      <c r="G736">
        <v>0</v>
      </c>
      <c r="I736">
        <v>1.13721</v>
      </c>
      <c r="J736">
        <v>1.02395</v>
      </c>
      <c r="K736">
        <v>1.00939</v>
      </c>
      <c r="L736">
        <v>1.03313</v>
      </c>
      <c r="M736">
        <v>0.83375</v>
      </c>
      <c r="N736">
        <v>0.97051</v>
      </c>
      <c r="O736">
        <v>1</v>
      </c>
      <c r="P736">
        <v>1.00214</v>
      </c>
      <c r="Q736">
        <v>1</v>
      </c>
      <c r="R736">
        <v>1</v>
      </c>
      <c r="S736">
        <v>1</v>
      </c>
      <c r="T736">
        <v>1.03475</v>
      </c>
      <c r="U736">
        <v>1</v>
      </c>
      <c r="V736">
        <v>27.178</v>
      </c>
      <c r="W736">
        <v>22.977</v>
      </c>
      <c r="X736">
        <v>107.175</v>
      </c>
      <c r="Y736">
        <v>46.188</v>
      </c>
      <c r="Z736">
        <v>35.594</v>
      </c>
      <c r="AA736">
        <v>239.111</v>
      </c>
      <c r="AB736">
        <v>1.02732</v>
      </c>
      <c r="AC736">
        <v>237</v>
      </c>
      <c r="AD736">
        <v>0</v>
      </c>
      <c r="AG736">
        <v>34</v>
      </c>
      <c r="AH736">
        <v>27</v>
      </c>
      <c r="AI736">
        <v>98</v>
      </c>
      <c r="AJ736">
        <v>35</v>
      </c>
      <c r="AK736">
        <v>43</v>
      </c>
    </row>
    <row r="737" spans="1:37">
      <c r="A737" t="s">
        <v>470</v>
      </c>
      <c r="B737" t="s">
        <v>1751</v>
      </c>
      <c r="C737">
        <v>14.9</v>
      </c>
      <c r="D737" t="s">
        <v>82</v>
      </c>
      <c r="E737">
        <v>10</v>
      </c>
      <c r="F737">
        <v>0</v>
      </c>
      <c r="G737">
        <v>0</v>
      </c>
      <c r="I737">
        <v>1.13739</v>
      </c>
      <c r="J737">
        <v>1.0172</v>
      </c>
      <c r="K737">
        <v>1.00939</v>
      </c>
      <c r="L737">
        <v>1.03266</v>
      </c>
      <c r="M737">
        <v>0.90579</v>
      </c>
      <c r="N737">
        <v>0.97749</v>
      </c>
      <c r="O737">
        <v>1</v>
      </c>
      <c r="P737">
        <v>1.00109</v>
      </c>
      <c r="Q737">
        <v>1</v>
      </c>
      <c r="R737">
        <v>1</v>
      </c>
      <c r="S737">
        <v>1</v>
      </c>
      <c r="T737">
        <v>1.07342</v>
      </c>
      <c r="U737">
        <v>1</v>
      </c>
      <c r="V737">
        <v>94.44499999999999</v>
      </c>
      <c r="W737">
        <v>41.473</v>
      </c>
      <c r="X737">
        <v>75.83499999999999</v>
      </c>
      <c r="Y737">
        <v>17.188</v>
      </c>
      <c r="Z737">
        <v>28.899</v>
      </c>
      <c r="AA737">
        <v>257.839</v>
      </c>
      <c r="AB737">
        <v>1.03442</v>
      </c>
      <c r="AC737">
        <v>281</v>
      </c>
      <c r="AD737">
        <v>0</v>
      </c>
      <c r="AG737">
        <v>104</v>
      </c>
      <c r="AH737">
        <v>37</v>
      </c>
      <c r="AI737">
        <v>99</v>
      </c>
      <c r="AJ737">
        <v>12</v>
      </c>
      <c r="AK737">
        <v>29</v>
      </c>
    </row>
    <row r="738" spans="1:37">
      <c r="A738" t="s">
        <v>1162</v>
      </c>
      <c r="B738" t="s">
        <v>1751</v>
      </c>
      <c r="C738">
        <v>11.3</v>
      </c>
      <c r="D738" t="s">
        <v>82</v>
      </c>
      <c r="E738">
        <v>11</v>
      </c>
      <c r="F738">
        <v>0</v>
      </c>
      <c r="G738">
        <v>0</v>
      </c>
      <c r="I738">
        <v>1.13758</v>
      </c>
      <c r="J738">
        <v>1.01708</v>
      </c>
      <c r="K738">
        <v>1.00939</v>
      </c>
      <c r="L738">
        <v>1.03222</v>
      </c>
      <c r="M738">
        <v>0.89186</v>
      </c>
      <c r="N738">
        <v>0.92664</v>
      </c>
      <c r="O738">
        <v>1</v>
      </c>
      <c r="P738">
        <v>1.00074</v>
      </c>
      <c r="Q738">
        <v>1</v>
      </c>
      <c r="R738">
        <v>1</v>
      </c>
      <c r="S738">
        <v>1.10235</v>
      </c>
      <c r="T738">
        <v>1.06902</v>
      </c>
      <c r="U738">
        <v>0.90626</v>
      </c>
      <c r="V738">
        <v>84.955</v>
      </c>
      <c r="W738">
        <v>38.131</v>
      </c>
      <c r="X738">
        <v>57.958</v>
      </c>
      <c r="Y738">
        <v>11.414</v>
      </c>
      <c r="Z738">
        <v>48.652</v>
      </c>
      <c r="AA738">
        <v>241.11</v>
      </c>
      <c r="AB738">
        <v>1.02467</v>
      </c>
      <c r="AC738">
        <v>248</v>
      </c>
      <c r="AD738">
        <v>0</v>
      </c>
      <c r="AE738" t="s">
        <v>314</v>
      </c>
      <c r="AG738">
        <v>97</v>
      </c>
      <c r="AH738">
        <v>40</v>
      </c>
      <c r="AI738">
        <v>57</v>
      </c>
      <c r="AJ738">
        <v>11</v>
      </c>
      <c r="AK738">
        <v>43</v>
      </c>
    </row>
    <row r="739" spans="1:37">
      <c r="A739" t="s">
        <v>1163</v>
      </c>
      <c r="B739" t="s">
        <v>1751</v>
      </c>
      <c r="C739">
        <v>14.9</v>
      </c>
      <c r="D739" t="s">
        <v>82</v>
      </c>
      <c r="E739">
        <v>12</v>
      </c>
      <c r="F739">
        <v>0</v>
      </c>
      <c r="G739">
        <v>0</v>
      </c>
      <c r="I739">
        <v>1.13777</v>
      </c>
      <c r="J739">
        <v>1.01885</v>
      </c>
      <c r="K739">
        <v>1.00939</v>
      </c>
      <c r="L739">
        <v>1.0318</v>
      </c>
      <c r="M739">
        <v>0.90202</v>
      </c>
      <c r="N739">
        <v>0.97687</v>
      </c>
      <c r="O739">
        <v>1</v>
      </c>
      <c r="P739">
        <v>1.0005</v>
      </c>
      <c r="Q739">
        <v>1</v>
      </c>
      <c r="R739">
        <v>1</v>
      </c>
      <c r="S739">
        <v>1</v>
      </c>
      <c r="T739">
        <v>1.07096</v>
      </c>
      <c r="U739">
        <v>1</v>
      </c>
      <c r="V739">
        <v>90.026</v>
      </c>
      <c r="W739">
        <v>41.502</v>
      </c>
      <c r="X739">
        <v>78.63</v>
      </c>
      <c r="Y739">
        <v>17.192</v>
      </c>
      <c r="Z739">
        <v>29.548</v>
      </c>
      <c r="AA739">
        <v>256.898</v>
      </c>
      <c r="AB739">
        <v>1.16044</v>
      </c>
      <c r="AC739">
        <v>277</v>
      </c>
      <c r="AD739">
        <v>0</v>
      </c>
      <c r="AG739">
        <v>98</v>
      </c>
      <c r="AH739">
        <v>34</v>
      </c>
      <c r="AI739">
        <v>84</v>
      </c>
      <c r="AJ739">
        <v>25</v>
      </c>
      <c r="AK739">
        <v>36</v>
      </c>
    </row>
    <row r="740" spans="1:37">
      <c r="A740" t="s">
        <v>1164</v>
      </c>
      <c r="B740" t="s">
        <v>1751</v>
      </c>
      <c r="C740">
        <v>14.5</v>
      </c>
      <c r="D740" t="s">
        <v>82</v>
      </c>
      <c r="E740">
        <v>13</v>
      </c>
      <c r="F740">
        <v>0</v>
      </c>
      <c r="G740">
        <v>0</v>
      </c>
      <c r="I740">
        <v>1.13795</v>
      </c>
      <c r="J740">
        <v>1.024</v>
      </c>
      <c r="K740">
        <v>1.00939</v>
      </c>
      <c r="L740">
        <v>1.03142</v>
      </c>
      <c r="M740">
        <v>0.9367</v>
      </c>
      <c r="N740">
        <v>0.9717</v>
      </c>
      <c r="O740">
        <v>1</v>
      </c>
      <c r="P740">
        <v>1.00034</v>
      </c>
      <c r="Q740">
        <v>1</v>
      </c>
      <c r="R740">
        <v>1</v>
      </c>
      <c r="S740">
        <v>1</v>
      </c>
      <c r="T740">
        <v>1.06816</v>
      </c>
      <c r="U740">
        <v>1</v>
      </c>
      <c r="V740">
        <v>88.648</v>
      </c>
      <c r="W740">
        <v>39.614</v>
      </c>
      <c r="X740">
        <v>87.355</v>
      </c>
      <c r="Y740">
        <v>20</v>
      </c>
      <c r="Z740">
        <v>31.09</v>
      </c>
      <c r="AA740">
        <v>266.707</v>
      </c>
      <c r="AB740">
        <v>0.98692</v>
      </c>
      <c r="AC740">
        <v>272</v>
      </c>
      <c r="AD740">
        <v>1</v>
      </c>
      <c r="AG740">
        <v>93</v>
      </c>
      <c r="AH740">
        <v>35</v>
      </c>
      <c r="AI740">
        <v>98</v>
      </c>
      <c r="AJ740">
        <v>25</v>
      </c>
      <c r="AK740">
        <v>21</v>
      </c>
    </row>
    <row r="741" spans="1:37">
      <c r="A741" t="s">
        <v>1165</v>
      </c>
      <c r="B741" t="s">
        <v>1752</v>
      </c>
      <c r="C741">
        <v>13.2</v>
      </c>
      <c r="D741" t="s">
        <v>82</v>
      </c>
      <c r="E741">
        <v>14</v>
      </c>
      <c r="F741">
        <v>0</v>
      </c>
      <c r="G741">
        <v>0</v>
      </c>
      <c r="I741">
        <v>1.13814</v>
      </c>
      <c r="J741">
        <v>1.02099</v>
      </c>
      <c r="K741">
        <v>1.00939</v>
      </c>
      <c r="L741">
        <v>1.03108</v>
      </c>
      <c r="M741">
        <v>1.12386</v>
      </c>
      <c r="N741">
        <v>0.95228</v>
      </c>
      <c r="O741">
        <v>1</v>
      </c>
      <c r="P741">
        <v>1.00025</v>
      </c>
      <c r="Q741">
        <v>1</v>
      </c>
      <c r="R741">
        <v>1</v>
      </c>
      <c r="S741">
        <v>1</v>
      </c>
      <c r="T741">
        <v>1.05788</v>
      </c>
      <c r="U741">
        <v>1</v>
      </c>
      <c r="V741">
        <v>82.958</v>
      </c>
      <c r="W741">
        <v>33.254</v>
      </c>
      <c r="X741">
        <v>128.532</v>
      </c>
      <c r="Y741">
        <v>33.388</v>
      </c>
      <c r="Z741">
        <v>35.942</v>
      </c>
      <c r="AA741">
        <v>314.074</v>
      </c>
      <c r="AB741">
        <v>1.13284</v>
      </c>
      <c r="AC741">
        <v>357</v>
      </c>
      <c r="AD741">
        <v>0</v>
      </c>
      <c r="AG741">
        <v>80</v>
      </c>
      <c r="AH741">
        <v>40</v>
      </c>
      <c r="AI741">
        <v>163</v>
      </c>
      <c r="AJ741">
        <v>34</v>
      </c>
      <c r="AK741">
        <v>40</v>
      </c>
    </row>
    <row r="742" spans="1:37">
      <c r="A742" t="s">
        <v>1166</v>
      </c>
      <c r="B742" t="s">
        <v>1753</v>
      </c>
      <c r="C742">
        <v>12.3</v>
      </c>
      <c r="D742" t="s">
        <v>1475</v>
      </c>
      <c r="E742">
        <v>15</v>
      </c>
      <c r="F742">
        <v>0</v>
      </c>
      <c r="G742">
        <v>0</v>
      </c>
      <c r="I742">
        <v>1.13833</v>
      </c>
      <c r="J742">
        <v>1.02138</v>
      </c>
      <c r="K742">
        <v>1.00939</v>
      </c>
      <c r="L742">
        <v>1.03078</v>
      </c>
      <c r="M742">
        <v>0.95735</v>
      </c>
      <c r="N742">
        <v>0.92101</v>
      </c>
      <c r="O742">
        <v>1.00631</v>
      </c>
      <c r="P742">
        <v>0.99671</v>
      </c>
      <c r="Q742">
        <v>1</v>
      </c>
      <c r="R742">
        <v>1</v>
      </c>
      <c r="S742">
        <v>1</v>
      </c>
      <c r="T742">
        <v>1.02912</v>
      </c>
      <c r="U742">
        <v>1</v>
      </c>
      <c r="V742">
        <v>18.433</v>
      </c>
      <c r="W742">
        <v>6.536</v>
      </c>
      <c r="X742">
        <v>121.392</v>
      </c>
      <c r="Y742">
        <v>58.133</v>
      </c>
      <c r="Z742">
        <v>38.329</v>
      </c>
      <c r="AA742">
        <v>242.822</v>
      </c>
      <c r="AB742">
        <v>1.09276</v>
      </c>
      <c r="AC742">
        <v>286</v>
      </c>
      <c r="AD742">
        <v>0</v>
      </c>
      <c r="AG742">
        <v>27</v>
      </c>
      <c r="AH742">
        <v>11</v>
      </c>
      <c r="AI742">
        <v>140</v>
      </c>
      <c r="AJ742">
        <v>59</v>
      </c>
      <c r="AK742">
        <v>49</v>
      </c>
    </row>
    <row r="743" spans="1:37">
      <c r="A743" t="s">
        <v>1167</v>
      </c>
      <c r="B743" t="s">
        <v>1754</v>
      </c>
      <c r="C743">
        <v>13.3</v>
      </c>
      <c r="D743" t="s">
        <v>1475</v>
      </c>
      <c r="E743">
        <v>16</v>
      </c>
      <c r="F743">
        <v>0</v>
      </c>
      <c r="G743">
        <v>0</v>
      </c>
      <c r="I743">
        <v>1.13851</v>
      </c>
      <c r="J743">
        <v>1.02218</v>
      </c>
      <c r="K743">
        <v>1.00939</v>
      </c>
      <c r="L743">
        <v>1.03053</v>
      </c>
      <c r="M743">
        <v>0.87697</v>
      </c>
      <c r="N743">
        <v>0.9412</v>
      </c>
      <c r="O743">
        <v>0.97801</v>
      </c>
      <c r="P743">
        <v>0.99339</v>
      </c>
      <c r="Q743">
        <v>1</v>
      </c>
      <c r="R743">
        <v>1</v>
      </c>
      <c r="S743">
        <v>1</v>
      </c>
      <c r="T743">
        <v>1.03441</v>
      </c>
      <c r="U743">
        <v>1</v>
      </c>
      <c r="V743">
        <v>25.124</v>
      </c>
      <c r="W743">
        <v>10.259</v>
      </c>
      <c r="X743">
        <v>105.569</v>
      </c>
      <c r="Y743">
        <v>49.61</v>
      </c>
      <c r="Z743">
        <v>34.206</v>
      </c>
      <c r="AA743">
        <v>224.768</v>
      </c>
      <c r="AB743">
        <v>0.95375</v>
      </c>
      <c r="AC743">
        <v>203</v>
      </c>
      <c r="AD743">
        <v>0</v>
      </c>
      <c r="AG743">
        <v>15</v>
      </c>
      <c r="AH743">
        <v>9</v>
      </c>
      <c r="AI743">
        <v>102</v>
      </c>
      <c r="AJ743">
        <v>54</v>
      </c>
      <c r="AK743">
        <v>23</v>
      </c>
    </row>
    <row r="744" spans="1:37">
      <c r="A744" t="s">
        <v>471</v>
      </c>
      <c r="B744" t="s">
        <v>1751</v>
      </c>
      <c r="C744">
        <v>13.6</v>
      </c>
      <c r="D744" t="s">
        <v>1475</v>
      </c>
      <c r="E744">
        <v>17</v>
      </c>
      <c r="F744">
        <v>0</v>
      </c>
      <c r="G744">
        <v>0</v>
      </c>
      <c r="I744">
        <v>1.1387</v>
      </c>
      <c r="J744">
        <v>1.00499</v>
      </c>
      <c r="K744">
        <v>1.00939</v>
      </c>
      <c r="L744">
        <v>1.03032</v>
      </c>
      <c r="M744">
        <v>0.89113</v>
      </c>
      <c r="N744">
        <v>0.9598100000000001</v>
      </c>
      <c r="O744">
        <v>0.9033600000000001</v>
      </c>
      <c r="P744">
        <v>0.99229</v>
      </c>
      <c r="Q744">
        <v>1</v>
      </c>
      <c r="R744">
        <v>1</v>
      </c>
      <c r="S744">
        <v>1</v>
      </c>
      <c r="T744">
        <v>1.07592</v>
      </c>
      <c r="U744">
        <v>1</v>
      </c>
      <c r="V744">
        <v>86.355</v>
      </c>
      <c r="W744">
        <v>18.303</v>
      </c>
      <c r="X744">
        <v>74.282</v>
      </c>
      <c r="Y744">
        <v>18.316</v>
      </c>
      <c r="Z744">
        <v>27.55</v>
      </c>
      <c r="AA744">
        <v>224.806</v>
      </c>
      <c r="AB744">
        <v>1.04441</v>
      </c>
      <c r="AC744">
        <v>242</v>
      </c>
      <c r="AD744">
        <v>0</v>
      </c>
      <c r="AG744">
        <v>92</v>
      </c>
      <c r="AH744">
        <v>17</v>
      </c>
      <c r="AI744">
        <v>82</v>
      </c>
      <c r="AJ744">
        <v>23</v>
      </c>
      <c r="AK744">
        <v>28</v>
      </c>
    </row>
    <row r="745" spans="1:37">
      <c r="A745" t="s">
        <v>1168</v>
      </c>
      <c r="B745" t="s">
        <v>1751</v>
      </c>
      <c r="C745">
        <v>14.3</v>
      </c>
      <c r="D745" t="s">
        <v>1475</v>
      </c>
      <c r="E745">
        <v>18</v>
      </c>
      <c r="F745">
        <v>0</v>
      </c>
      <c r="G745">
        <v>0</v>
      </c>
      <c r="I745">
        <v>1.13889</v>
      </c>
      <c r="J745">
        <v>0.99893</v>
      </c>
      <c r="K745">
        <v>1.00939</v>
      </c>
      <c r="L745">
        <v>1.03017</v>
      </c>
      <c r="M745">
        <v>0.85862</v>
      </c>
      <c r="N745">
        <v>0.96652</v>
      </c>
      <c r="O745">
        <v>0.89935</v>
      </c>
      <c r="P745">
        <v>0.98944</v>
      </c>
      <c r="Q745">
        <v>1</v>
      </c>
      <c r="R745">
        <v>1</v>
      </c>
      <c r="S745">
        <v>1.10138</v>
      </c>
      <c r="T745">
        <v>1.07181</v>
      </c>
      <c r="U745">
        <v>1</v>
      </c>
      <c r="V745">
        <v>85.739</v>
      </c>
      <c r="W745">
        <v>20.882</v>
      </c>
      <c r="X745">
        <v>83.30200000000001</v>
      </c>
      <c r="Y745">
        <v>18.519</v>
      </c>
      <c r="Z745">
        <v>30.916</v>
      </c>
      <c r="AA745">
        <v>239.358</v>
      </c>
      <c r="AB745">
        <v>1.17857</v>
      </c>
      <c r="AC745">
        <v>266</v>
      </c>
      <c r="AD745">
        <v>0</v>
      </c>
      <c r="AG745">
        <v>90</v>
      </c>
      <c r="AH745">
        <v>26</v>
      </c>
      <c r="AI745">
        <v>98</v>
      </c>
      <c r="AJ745">
        <v>25</v>
      </c>
      <c r="AK745">
        <v>27</v>
      </c>
    </row>
    <row r="746" spans="1:37">
      <c r="A746" t="s">
        <v>1169</v>
      </c>
      <c r="B746" t="s">
        <v>1751</v>
      </c>
      <c r="C746">
        <v>14.3</v>
      </c>
      <c r="D746" t="s">
        <v>1475</v>
      </c>
      <c r="E746">
        <v>19</v>
      </c>
      <c r="F746">
        <v>0</v>
      </c>
      <c r="G746">
        <v>0</v>
      </c>
      <c r="I746">
        <v>1.13907</v>
      </c>
      <c r="J746">
        <v>0.99154</v>
      </c>
      <c r="K746">
        <v>1.00939</v>
      </c>
      <c r="L746">
        <v>1.03006</v>
      </c>
      <c r="M746">
        <v>0.88761</v>
      </c>
      <c r="N746">
        <v>0.96716</v>
      </c>
      <c r="O746">
        <v>0.9053600000000001</v>
      </c>
      <c r="P746">
        <v>0.9867899999999999</v>
      </c>
      <c r="Q746">
        <v>1</v>
      </c>
      <c r="R746">
        <v>1</v>
      </c>
      <c r="S746">
        <v>1</v>
      </c>
      <c r="T746">
        <v>1.07293</v>
      </c>
      <c r="U746">
        <v>1</v>
      </c>
      <c r="V746">
        <v>80.965</v>
      </c>
      <c r="W746">
        <v>17.991</v>
      </c>
      <c r="X746">
        <v>76.77500000000001</v>
      </c>
      <c r="Y746">
        <v>18.162</v>
      </c>
      <c r="Z746">
        <v>27.903</v>
      </c>
      <c r="AA746">
        <v>221.795</v>
      </c>
      <c r="AB746">
        <v>1.07962</v>
      </c>
      <c r="AC746">
        <v>254</v>
      </c>
      <c r="AD746">
        <v>0</v>
      </c>
      <c r="AG746">
        <v>100</v>
      </c>
      <c r="AH746">
        <v>19</v>
      </c>
      <c r="AI746">
        <v>91</v>
      </c>
      <c r="AJ746">
        <v>17</v>
      </c>
      <c r="AK746">
        <v>27</v>
      </c>
    </row>
    <row r="747" spans="1:37">
      <c r="A747" t="s">
        <v>1170</v>
      </c>
      <c r="B747" t="s">
        <v>1751</v>
      </c>
      <c r="C747">
        <v>16.2</v>
      </c>
      <c r="D747" t="s">
        <v>1475</v>
      </c>
      <c r="E747">
        <v>20</v>
      </c>
      <c r="F747">
        <v>0</v>
      </c>
      <c r="G747">
        <v>0</v>
      </c>
      <c r="I747">
        <v>1.13926</v>
      </c>
      <c r="J747">
        <v>0.99521</v>
      </c>
      <c r="K747">
        <v>1.00939</v>
      </c>
      <c r="L747">
        <v>1.03001</v>
      </c>
      <c r="M747">
        <v>0.9314</v>
      </c>
      <c r="N747">
        <v>0.99188</v>
      </c>
      <c r="O747">
        <v>0.91896</v>
      </c>
      <c r="P747">
        <v>0.98351</v>
      </c>
      <c r="Q747">
        <v>1</v>
      </c>
      <c r="R747">
        <v>1</v>
      </c>
      <c r="S747">
        <v>1</v>
      </c>
      <c r="T747">
        <v>1.06795</v>
      </c>
      <c r="U747">
        <v>1</v>
      </c>
      <c r="V747">
        <v>79.559</v>
      </c>
      <c r="W747">
        <v>17.125</v>
      </c>
      <c r="X747">
        <v>90.22199999999999</v>
      </c>
      <c r="Y747">
        <v>21.95</v>
      </c>
      <c r="Z747">
        <v>30.354</v>
      </c>
      <c r="AA747">
        <v>239.21</v>
      </c>
      <c r="AB747">
        <v>0.96607</v>
      </c>
      <c r="AC747">
        <v>211</v>
      </c>
      <c r="AD747">
        <v>0</v>
      </c>
      <c r="AG747">
        <v>72</v>
      </c>
      <c r="AH747">
        <v>14</v>
      </c>
      <c r="AI747">
        <v>73</v>
      </c>
      <c r="AJ747">
        <v>23</v>
      </c>
      <c r="AK747">
        <v>29</v>
      </c>
    </row>
    <row r="748" spans="1:37">
      <c r="A748" t="s">
        <v>1171</v>
      </c>
      <c r="B748" t="s">
        <v>1752</v>
      </c>
      <c r="C748">
        <v>15.8</v>
      </c>
      <c r="D748" t="s">
        <v>1475</v>
      </c>
      <c r="E748">
        <v>21</v>
      </c>
      <c r="F748">
        <v>0</v>
      </c>
      <c r="G748">
        <v>0</v>
      </c>
      <c r="I748">
        <v>1.13945</v>
      </c>
      <c r="J748">
        <v>0.98653</v>
      </c>
      <c r="K748">
        <v>1.00939</v>
      </c>
      <c r="L748">
        <v>1.02999</v>
      </c>
      <c r="M748">
        <v>1.16841</v>
      </c>
      <c r="N748">
        <v>0.98954</v>
      </c>
      <c r="O748">
        <v>0.95507</v>
      </c>
      <c r="P748">
        <v>0.97894</v>
      </c>
      <c r="Q748">
        <v>1</v>
      </c>
      <c r="R748">
        <v>1</v>
      </c>
      <c r="S748">
        <v>1</v>
      </c>
      <c r="T748">
        <v>1.05577</v>
      </c>
      <c r="U748">
        <v>1</v>
      </c>
      <c r="V748">
        <v>73.964</v>
      </c>
      <c r="W748">
        <v>14.27</v>
      </c>
      <c r="X748">
        <v>134.594</v>
      </c>
      <c r="Y748">
        <v>36.89</v>
      </c>
      <c r="Z748">
        <v>35.311</v>
      </c>
      <c r="AA748">
        <v>295.029</v>
      </c>
      <c r="AB748">
        <v>1.03529</v>
      </c>
      <c r="AC748">
        <v>327</v>
      </c>
      <c r="AD748">
        <v>0</v>
      </c>
      <c r="AG748">
        <v>86</v>
      </c>
      <c r="AH748">
        <v>18</v>
      </c>
      <c r="AI748">
        <v>153</v>
      </c>
      <c r="AJ748">
        <v>45</v>
      </c>
      <c r="AK748">
        <v>25</v>
      </c>
    </row>
    <row r="749" spans="1:37">
      <c r="A749" t="s">
        <v>1172</v>
      </c>
      <c r="B749" t="s">
        <v>1753</v>
      </c>
      <c r="C749">
        <v>15.9</v>
      </c>
      <c r="D749" t="s">
        <v>1475</v>
      </c>
      <c r="E749">
        <v>22</v>
      </c>
      <c r="F749">
        <v>0</v>
      </c>
      <c r="G749">
        <v>0</v>
      </c>
      <c r="I749">
        <v>1.13963</v>
      </c>
      <c r="J749">
        <v>0.96151</v>
      </c>
      <c r="K749">
        <v>1.00939</v>
      </c>
      <c r="L749">
        <v>1.02994</v>
      </c>
      <c r="M749">
        <v>0.97426</v>
      </c>
      <c r="N749">
        <v>0.98899</v>
      </c>
      <c r="O749">
        <v>1.00868</v>
      </c>
      <c r="P749">
        <v>0.97187</v>
      </c>
      <c r="Q749">
        <v>1</v>
      </c>
      <c r="R749">
        <v>1</v>
      </c>
      <c r="S749">
        <v>1</v>
      </c>
      <c r="T749">
        <v>1.02871</v>
      </c>
      <c r="U749">
        <v>1</v>
      </c>
      <c r="V749">
        <v>17.221</v>
      </c>
      <c r="W749">
        <v>6.074</v>
      </c>
      <c r="X749">
        <v>121.997</v>
      </c>
      <c r="Y749">
        <v>56.82</v>
      </c>
      <c r="Z749">
        <v>37.328</v>
      </c>
      <c r="AA749">
        <v>239.44</v>
      </c>
      <c r="AB749">
        <v>0.87651</v>
      </c>
      <c r="AC749">
        <v>211</v>
      </c>
      <c r="AD749">
        <v>0</v>
      </c>
      <c r="AG749">
        <v>19</v>
      </c>
      <c r="AH749">
        <v>3</v>
      </c>
      <c r="AI749">
        <v>102</v>
      </c>
      <c r="AJ749">
        <v>50</v>
      </c>
      <c r="AK749">
        <v>37</v>
      </c>
    </row>
    <row r="750" spans="1:37">
      <c r="A750" t="s">
        <v>1173</v>
      </c>
      <c r="B750" t="s">
        <v>1754</v>
      </c>
      <c r="C750">
        <v>15.2</v>
      </c>
      <c r="D750" t="s">
        <v>1475</v>
      </c>
      <c r="E750">
        <v>23</v>
      </c>
      <c r="F750">
        <v>0</v>
      </c>
      <c r="G750">
        <v>0</v>
      </c>
      <c r="I750">
        <v>1.13982</v>
      </c>
      <c r="J750">
        <v>0.97666</v>
      </c>
      <c r="K750">
        <v>1.00939</v>
      </c>
      <c r="L750">
        <v>1.02983</v>
      </c>
      <c r="M750">
        <v>0.88179</v>
      </c>
      <c r="N750">
        <v>0.97565</v>
      </c>
      <c r="O750">
        <v>0.97958</v>
      </c>
      <c r="P750">
        <v>0.96954</v>
      </c>
      <c r="Q750">
        <v>1</v>
      </c>
      <c r="R750">
        <v>1</v>
      </c>
      <c r="S750">
        <v>1</v>
      </c>
      <c r="T750">
        <v>1.03421</v>
      </c>
      <c r="U750">
        <v>1</v>
      </c>
      <c r="V750">
        <v>23.828</v>
      </c>
      <c r="W750">
        <v>9.678000000000001</v>
      </c>
      <c r="X750">
        <v>103.231</v>
      </c>
      <c r="Y750">
        <v>47.789</v>
      </c>
      <c r="Z750">
        <v>32.86</v>
      </c>
      <c r="AA750">
        <v>217.386</v>
      </c>
      <c r="AB750">
        <v>1.03038</v>
      </c>
      <c r="AC750">
        <v>207</v>
      </c>
      <c r="AD750">
        <v>0</v>
      </c>
      <c r="AG750">
        <v>27</v>
      </c>
      <c r="AH750">
        <v>12</v>
      </c>
      <c r="AI750">
        <v>93</v>
      </c>
      <c r="AJ750">
        <v>44</v>
      </c>
      <c r="AK750">
        <v>31</v>
      </c>
    </row>
    <row r="751" spans="1:37">
      <c r="A751" t="s">
        <v>472</v>
      </c>
      <c r="B751" t="s">
        <v>1751</v>
      </c>
      <c r="C751">
        <v>18.2</v>
      </c>
      <c r="D751" t="s">
        <v>82</v>
      </c>
      <c r="E751">
        <v>24</v>
      </c>
      <c r="F751">
        <v>0</v>
      </c>
      <c r="G751">
        <v>0</v>
      </c>
      <c r="I751">
        <v>1.14001</v>
      </c>
      <c r="J751">
        <v>0.98046</v>
      </c>
      <c r="K751">
        <v>1.00939</v>
      </c>
      <c r="L751">
        <v>1.02968</v>
      </c>
      <c r="M751">
        <v>0.90326</v>
      </c>
      <c r="N751">
        <v>1.0116</v>
      </c>
      <c r="O751">
        <v>1</v>
      </c>
      <c r="P751">
        <v>0.97471</v>
      </c>
      <c r="Q751">
        <v>1</v>
      </c>
      <c r="R751">
        <v>1</v>
      </c>
      <c r="S751">
        <v>1</v>
      </c>
      <c r="T751">
        <v>1.07251</v>
      </c>
      <c r="U751">
        <v>1</v>
      </c>
      <c r="V751">
        <v>89.922</v>
      </c>
      <c r="W751">
        <v>39.18</v>
      </c>
      <c r="X751">
        <v>76.173</v>
      </c>
      <c r="Y751">
        <v>16.859</v>
      </c>
      <c r="Z751">
        <v>28.216</v>
      </c>
      <c r="AA751">
        <v>250.35</v>
      </c>
      <c r="AB751">
        <v>1.01646</v>
      </c>
      <c r="AC751">
        <v>228</v>
      </c>
      <c r="AD751">
        <v>0</v>
      </c>
      <c r="AG751">
        <v>79</v>
      </c>
      <c r="AH751">
        <v>35</v>
      </c>
      <c r="AI751">
        <v>72</v>
      </c>
      <c r="AJ751">
        <v>25</v>
      </c>
      <c r="AK751">
        <v>17</v>
      </c>
    </row>
    <row r="752" spans="1:37">
      <c r="A752" t="s">
        <v>1174</v>
      </c>
      <c r="B752" t="s">
        <v>1751</v>
      </c>
      <c r="C752">
        <v>18.7</v>
      </c>
      <c r="D752" t="s">
        <v>82</v>
      </c>
      <c r="E752">
        <v>25</v>
      </c>
      <c r="F752">
        <v>0</v>
      </c>
      <c r="G752">
        <v>0</v>
      </c>
      <c r="I752">
        <v>1.14019</v>
      </c>
      <c r="J752">
        <v>0.97607</v>
      </c>
      <c r="K752">
        <v>1.00939</v>
      </c>
      <c r="L752">
        <v>1.02947</v>
      </c>
      <c r="M752">
        <v>0.87391</v>
      </c>
      <c r="N752">
        <v>1.01601</v>
      </c>
      <c r="O752">
        <v>1</v>
      </c>
      <c r="P752">
        <v>0.97167</v>
      </c>
      <c r="Q752">
        <v>1</v>
      </c>
      <c r="R752">
        <v>1</v>
      </c>
      <c r="S752">
        <v>1.10508</v>
      </c>
      <c r="T752">
        <v>1.0686</v>
      </c>
      <c r="U752">
        <v>1</v>
      </c>
      <c r="V752">
        <v>89.414</v>
      </c>
      <c r="W752">
        <v>44.768</v>
      </c>
      <c r="X752">
        <v>84.82899999999999</v>
      </c>
      <c r="Y752">
        <v>16.975</v>
      </c>
      <c r="Z752">
        <v>31.583</v>
      </c>
      <c r="AA752">
        <v>267.57</v>
      </c>
      <c r="AB752">
        <v>1.02007</v>
      </c>
      <c r="AC752">
        <v>269</v>
      </c>
      <c r="AD752">
        <v>1</v>
      </c>
      <c r="AG752">
        <v>98</v>
      </c>
      <c r="AH752">
        <v>31</v>
      </c>
      <c r="AI752">
        <v>90</v>
      </c>
      <c r="AJ752">
        <v>13</v>
      </c>
      <c r="AK752">
        <v>37</v>
      </c>
    </row>
    <row r="753" spans="1:37">
      <c r="A753" t="s">
        <v>1175</v>
      </c>
      <c r="B753" t="s">
        <v>1751</v>
      </c>
      <c r="C753">
        <v>16.9</v>
      </c>
      <c r="D753" t="s">
        <v>82</v>
      </c>
      <c r="E753">
        <v>26</v>
      </c>
      <c r="F753">
        <v>0</v>
      </c>
      <c r="G753">
        <v>0</v>
      </c>
      <c r="I753">
        <v>1.14038</v>
      </c>
      <c r="J753">
        <v>0.97088</v>
      </c>
      <c r="K753">
        <v>1.00939</v>
      </c>
      <c r="L753">
        <v>1.02922</v>
      </c>
      <c r="M753">
        <v>0.90145</v>
      </c>
      <c r="N753">
        <v>0.99901</v>
      </c>
      <c r="O753">
        <v>1</v>
      </c>
      <c r="P753">
        <v>0.96935</v>
      </c>
      <c r="Q753">
        <v>1</v>
      </c>
      <c r="R753">
        <v>1</v>
      </c>
      <c r="S753">
        <v>1</v>
      </c>
      <c r="T753">
        <v>1.07091</v>
      </c>
      <c r="U753">
        <v>1</v>
      </c>
      <c r="V753">
        <v>84.601</v>
      </c>
      <c r="W753">
        <v>38.645</v>
      </c>
      <c r="X753">
        <v>75.319</v>
      </c>
      <c r="Y753">
        <v>16.217</v>
      </c>
      <c r="Z753">
        <v>27.757</v>
      </c>
      <c r="AA753">
        <v>242.538</v>
      </c>
      <c r="AB753">
        <v>1.1026</v>
      </c>
      <c r="AC753">
        <v>268</v>
      </c>
      <c r="AD753">
        <v>0</v>
      </c>
      <c r="AG753">
        <v>102</v>
      </c>
      <c r="AH753">
        <v>38</v>
      </c>
      <c r="AI753">
        <v>76</v>
      </c>
      <c r="AJ753">
        <v>20</v>
      </c>
      <c r="AK753">
        <v>32</v>
      </c>
    </row>
    <row r="754" spans="1:37">
      <c r="A754" t="s">
        <v>1176</v>
      </c>
      <c r="B754" t="s">
        <v>1751</v>
      </c>
      <c r="C754">
        <v>14.7</v>
      </c>
      <c r="D754" t="s">
        <v>82</v>
      </c>
      <c r="E754">
        <v>27</v>
      </c>
      <c r="F754">
        <v>0</v>
      </c>
      <c r="G754">
        <v>0</v>
      </c>
      <c r="I754">
        <v>1.14057</v>
      </c>
      <c r="J754">
        <v>0.97631</v>
      </c>
      <c r="K754">
        <v>1.00939</v>
      </c>
      <c r="L754">
        <v>1.02892</v>
      </c>
      <c r="M754">
        <v>0.93714</v>
      </c>
      <c r="N754">
        <v>0.9744</v>
      </c>
      <c r="O754">
        <v>1</v>
      </c>
      <c r="P754">
        <v>0.96878</v>
      </c>
      <c r="Q754">
        <v>1</v>
      </c>
      <c r="R754">
        <v>1</v>
      </c>
      <c r="S754">
        <v>1</v>
      </c>
      <c r="T754">
        <v>1.06919</v>
      </c>
      <c r="U754">
        <v>1</v>
      </c>
      <c r="V754">
        <v>83.363</v>
      </c>
      <c r="W754">
        <v>36.914</v>
      </c>
      <c r="X754">
        <v>79.93000000000001</v>
      </c>
      <c r="Y754">
        <v>18.268</v>
      </c>
      <c r="Z754">
        <v>28.387</v>
      </c>
      <c r="AA754">
        <v>246.862</v>
      </c>
      <c r="AB754">
        <v>0.94557</v>
      </c>
      <c r="AC754">
        <v>223</v>
      </c>
      <c r="AD754">
        <v>0</v>
      </c>
      <c r="AG754">
        <v>75</v>
      </c>
      <c r="AH754">
        <v>36</v>
      </c>
      <c r="AI754">
        <v>63</v>
      </c>
      <c r="AJ754">
        <v>17</v>
      </c>
      <c r="AK754">
        <v>32</v>
      </c>
    </row>
    <row r="755" spans="1:37">
      <c r="A755" t="s">
        <v>1177</v>
      </c>
      <c r="B755" t="s">
        <v>1752</v>
      </c>
      <c r="C755">
        <v>15.5</v>
      </c>
      <c r="D755" t="s">
        <v>82</v>
      </c>
      <c r="E755">
        <v>28</v>
      </c>
      <c r="F755">
        <v>0</v>
      </c>
      <c r="G755">
        <v>0</v>
      </c>
      <c r="I755">
        <v>1.14075</v>
      </c>
      <c r="J755">
        <v>0.97644</v>
      </c>
      <c r="K755">
        <v>1.00939</v>
      </c>
      <c r="L755">
        <v>1.02858</v>
      </c>
      <c r="M755">
        <v>1.12723</v>
      </c>
      <c r="N755">
        <v>0.98513</v>
      </c>
      <c r="O755">
        <v>1</v>
      </c>
      <c r="P755">
        <v>0.96535</v>
      </c>
      <c r="Q755">
        <v>1</v>
      </c>
      <c r="R755">
        <v>1</v>
      </c>
      <c r="S755">
        <v>1</v>
      </c>
      <c r="T755">
        <v>1.05761</v>
      </c>
      <c r="U755">
        <v>1</v>
      </c>
      <c r="V755">
        <v>78.25700000000001</v>
      </c>
      <c r="W755">
        <v>31.085</v>
      </c>
      <c r="X755">
        <v>124.618</v>
      </c>
      <c r="Y755">
        <v>31.788</v>
      </c>
      <c r="Z755">
        <v>34.101</v>
      </c>
      <c r="AA755">
        <v>299.848</v>
      </c>
      <c r="AB755">
        <v>0.99651</v>
      </c>
      <c r="AC755">
        <v>329</v>
      </c>
      <c r="AD755">
        <v>0</v>
      </c>
      <c r="AG755">
        <v>80</v>
      </c>
      <c r="AH755">
        <v>38</v>
      </c>
      <c r="AI755">
        <v>125</v>
      </c>
      <c r="AJ755">
        <v>41</v>
      </c>
      <c r="AK755">
        <v>45</v>
      </c>
    </row>
    <row r="756" spans="1:37">
      <c r="A756" t="s">
        <v>1178</v>
      </c>
      <c r="B756" t="s">
        <v>1753</v>
      </c>
      <c r="C756">
        <v>14.9</v>
      </c>
      <c r="D756" t="s">
        <v>82</v>
      </c>
      <c r="E756">
        <v>29</v>
      </c>
      <c r="F756">
        <v>0</v>
      </c>
      <c r="G756">
        <v>0</v>
      </c>
      <c r="I756">
        <v>1.14094</v>
      </c>
      <c r="J756">
        <v>0.97053</v>
      </c>
      <c r="K756">
        <v>1.00939</v>
      </c>
      <c r="L756">
        <v>1.0282</v>
      </c>
      <c r="M756">
        <v>0.88228</v>
      </c>
      <c r="N756">
        <v>0.96876</v>
      </c>
      <c r="O756">
        <v>1</v>
      </c>
      <c r="P756">
        <v>0.95875</v>
      </c>
      <c r="Q756">
        <v>1</v>
      </c>
      <c r="R756">
        <v>1</v>
      </c>
      <c r="S756">
        <v>1</v>
      </c>
      <c r="T756">
        <v>1.03002</v>
      </c>
      <c r="U756">
        <v>1</v>
      </c>
      <c r="V756">
        <v>18.597</v>
      </c>
      <c r="W756">
        <v>13.515</v>
      </c>
      <c r="X756">
        <v>113.475</v>
      </c>
      <c r="Y756">
        <v>49.457</v>
      </c>
      <c r="Z756">
        <v>36.472</v>
      </c>
      <c r="AA756">
        <v>231.516</v>
      </c>
      <c r="AB756">
        <v>1.01275</v>
      </c>
      <c r="AC756">
        <v>220</v>
      </c>
      <c r="AD756">
        <v>0</v>
      </c>
      <c r="AG756">
        <v>11</v>
      </c>
      <c r="AH756">
        <v>13</v>
      </c>
      <c r="AI756">
        <v>113</v>
      </c>
      <c r="AJ756">
        <v>46</v>
      </c>
      <c r="AK756">
        <v>37</v>
      </c>
    </row>
    <row r="757" spans="1:37">
      <c r="A757" t="s">
        <v>1179</v>
      </c>
      <c r="B757" t="s">
        <v>1754</v>
      </c>
      <c r="C757">
        <v>14.6</v>
      </c>
      <c r="D757" t="s">
        <v>82</v>
      </c>
      <c r="E757">
        <v>30</v>
      </c>
      <c r="F757">
        <v>0</v>
      </c>
      <c r="G757">
        <v>0</v>
      </c>
      <c r="I757">
        <v>1.14113</v>
      </c>
      <c r="J757">
        <v>0.97592</v>
      </c>
      <c r="K757">
        <v>1.00939</v>
      </c>
      <c r="L757">
        <v>1.02778</v>
      </c>
      <c r="M757">
        <v>0.82557</v>
      </c>
      <c r="N757">
        <v>0.96551</v>
      </c>
      <c r="O757">
        <v>1</v>
      </c>
      <c r="P757">
        <v>0.96078</v>
      </c>
      <c r="Q757">
        <v>1</v>
      </c>
      <c r="R757">
        <v>1</v>
      </c>
      <c r="S757">
        <v>1</v>
      </c>
      <c r="T757">
        <v>1.0356</v>
      </c>
      <c r="U757">
        <v>1</v>
      </c>
      <c r="V757">
        <v>25.494</v>
      </c>
      <c r="W757">
        <v>21.351</v>
      </c>
      <c r="X757">
        <v>96.407</v>
      </c>
      <c r="Y757">
        <v>41.636</v>
      </c>
      <c r="Z757">
        <v>32.106</v>
      </c>
      <c r="AA757">
        <v>216.994</v>
      </c>
      <c r="AB757">
        <v>1.06041</v>
      </c>
      <c r="AC757">
        <v>278</v>
      </c>
      <c r="AD757">
        <v>0</v>
      </c>
      <c r="AG757">
        <v>38</v>
      </c>
      <c r="AH757">
        <v>29</v>
      </c>
      <c r="AI757">
        <v>114</v>
      </c>
      <c r="AJ757">
        <v>54</v>
      </c>
      <c r="AK757">
        <v>43</v>
      </c>
    </row>
    <row r="758" spans="1:37">
      <c r="A758" t="s">
        <v>473</v>
      </c>
      <c r="B758" t="s">
        <v>1751</v>
      </c>
      <c r="C758">
        <v>16</v>
      </c>
      <c r="D758" t="s">
        <v>82</v>
      </c>
      <c r="E758">
        <v>31</v>
      </c>
      <c r="F758">
        <v>0</v>
      </c>
      <c r="G758">
        <v>0</v>
      </c>
      <c r="I758">
        <v>1.14131</v>
      </c>
      <c r="J758">
        <v>0.95579</v>
      </c>
      <c r="K758">
        <v>1.00939</v>
      </c>
      <c r="L758">
        <v>1.02734</v>
      </c>
      <c r="M758">
        <v>0.9061900000000001</v>
      </c>
      <c r="N758">
        <v>0.98951</v>
      </c>
      <c r="O758">
        <v>1</v>
      </c>
      <c r="P758">
        <v>0.96998</v>
      </c>
      <c r="Q758">
        <v>1</v>
      </c>
      <c r="R758">
        <v>1</v>
      </c>
      <c r="S758">
        <v>1</v>
      </c>
      <c r="T758">
        <v>1.07403</v>
      </c>
      <c r="U758">
        <v>1</v>
      </c>
      <c r="V758">
        <v>87.36499999999999</v>
      </c>
      <c r="W758">
        <v>38.009</v>
      </c>
      <c r="X758">
        <v>69.84999999999999</v>
      </c>
      <c r="Y758">
        <v>15.692</v>
      </c>
      <c r="Z758">
        <v>26.32</v>
      </c>
      <c r="AA758">
        <v>237.236</v>
      </c>
      <c r="AB758">
        <v>0.92344</v>
      </c>
      <c r="AC758">
        <v>218</v>
      </c>
      <c r="AD758">
        <v>0</v>
      </c>
      <c r="AG758">
        <v>76</v>
      </c>
      <c r="AH758">
        <v>38</v>
      </c>
      <c r="AI758">
        <v>64</v>
      </c>
      <c r="AJ758">
        <v>16</v>
      </c>
      <c r="AK758">
        <v>24</v>
      </c>
    </row>
    <row r="759" spans="1:37">
      <c r="A759" t="s">
        <v>1180</v>
      </c>
      <c r="B759" t="s">
        <v>1751</v>
      </c>
      <c r="C759">
        <v>15</v>
      </c>
      <c r="D759" t="s">
        <v>82</v>
      </c>
      <c r="E759">
        <v>0</v>
      </c>
      <c r="F759">
        <v>0</v>
      </c>
      <c r="G759">
        <v>0</v>
      </c>
      <c r="I759">
        <v>1.1415</v>
      </c>
      <c r="J759">
        <v>0.94699</v>
      </c>
      <c r="K759">
        <v>1.00939</v>
      </c>
      <c r="L759">
        <v>1.02687</v>
      </c>
      <c r="M759">
        <v>0.8736</v>
      </c>
      <c r="N759">
        <v>0.97697</v>
      </c>
      <c r="O759">
        <v>1</v>
      </c>
      <c r="P759">
        <v>1.0607</v>
      </c>
      <c r="Q759">
        <v>1</v>
      </c>
      <c r="R759">
        <v>1</v>
      </c>
      <c r="S759">
        <v>1.10531</v>
      </c>
      <c r="T759">
        <v>1.06811</v>
      </c>
      <c r="U759">
        <v>1</v>
      </c>
      <c r="V759">
        <v>90.089</v>
      </c>
      <c r="W759">
        <v>46.285</v>
      </c>
      <c r="X759">
        <v>85.535</v>
      </c>
      <c r="Y759">
        <v>17.557</v>
      </c>
      <c r="Z759">
        <v>32.783</v>
      </c>
      <c r="AA759">
        <v>272.25</v>
      </c>
      <c r="AB759">
        <v>1.02941</v>
      </c>
      <c r="AC759">
        <v>279</v>
      </c>
      <c r="AD759">
        <v>0</v>
      </c>
      <c r="AG759">
        <v>97</v>
      </c>
      <c r="AH759">
        <v>40</v>
      </c>
      <c r="AI759">
        <v>88</v>
      </c>
      <c r="AJ759">
        <v>17</v>
      </c>
      <c r="AK759">
        <v>37</v>
      </c>
    </row>
    <row r="760" spans="1:37">
      <c r="A760" t="s">
        <v>1181</v>
      </c>
      <c r="B760" t="s">
        <v>1751</v>
      </c>
      <c r="C760">
        <v>13.8</v>
      </c>
      <c r="D760" t="s">
        <v>82</v>
      </c>
      <c r="E760">
        <v>1</v>
      </c>
      <c r="F760">
        <v>0</v>
      </c>
      <c r="G760">
        <v>0</v>
      </c>
      <c r="I760">
        <v>1.14169</v>
      </c>
      <c r="J760">
        <v>0.9596</v>
      </c>
      <c r="K760">
        <v>1.00939</v>
      </c>
      <c r="L760">
        <v>1.02639</v>
      </c>
      <c r="M760">
        <v>0.90143</v>
      </c>
      <c r="N760">
        <v>0.96436</v>
      </c>
      <c r="O760">
        <v>1</v>
      </c>
      <c r="P760">
        <v>1.04041</v>
      </c>
      <c r="Q760">
        <v>1</v>
      </c>
      <c r="R760">
        <v>1</v>
      </c>
      <c r="S760">
        <v>1</v>
      </c>
      <c r="T760">
        <v>1.07068</v>
      </c>
      <c r="U760">
        <v>1</v>
      </c>
      <c r="V760">
        <v>86.16200000000001</v>
      </c>
      <c r="W760">
        <v>40.193</v>
      </c>
      <c r="X760">
        <v>76.12</v>
      </c>
      <c r="Y760">
        <v>16.784</v>
      </c>
      <c r="Z760">
        <v>28.9</v>
      </c>
      <c r="AA760">
        <v>248.159</v>
      </c>
      <c r="AB760">
        <v>0.9482699999999999</v>
      </c>
      <c r="AC760">
        <v>247</v>
      </c>
      <c r="AD760">
        <v>0</v>
      </c>
      <c r="AG760">
        <v>87</v>
      </c>
      <c r="AH760">
        <v>32</v>
      </c>
      <c r="AI760">
        <v>78</v>
      </c>
      <c r="AJ760">
        <v>20</v>
      </c>
      <c r="AK760">
        <v>30</v>
      </c>
    </row>
    <row r="761" spans="1:37">
      <c r="A761" t="s">
        <v>1182</v>
      </c>
      <c r="B761" t="s">
        <v>1751</v>
      </c>
      <c r="C761">
        <v>14.7</v>
      </c>
      <c r="D761" t="s">
        <v>82</v>
      </c>
      <c r="E761">
        <v>2</v>
      </c>
      <c r="F761">
        <v>0</v>
      </c>
      <c r="G761">
        <v>0</v>
      </c>
      <c r="I761">
        <v>1.14187</v>
      </c>
      <c r="J761">
        <v>0.9613699999999999</v>
      </c>
      <c r="K761">
        <v>1.00939</v>
      </c>
      <c r="L761">
        <v>1.02588</v>
      </c>
      <c r="M761">
        <v>0.93623</v>
      </c>
      <c r="N761">
        <v>0.97374</v>
      </c>
      <c r="O761">
        <v>1</v>
      </c>
      <c r="P761">
        <v>1.02806</v>
      </c>
      <c r="Q761">
        <v>1</v>
      </c>
      <c r="R761">
        <v>1</v>
      </c>
      <c r="S761">
        <v>1</v>
      </c>
      <c r="T761">
        <v>1.06748</v>
      </c>
      <c r="U761">
        <v>1</v>
      </c>
      <c r="V761">
        <v>84.072</v>
      </c>
      <c r="W761">
        <v>37.873</v>
      </c>
      <c r="X761">
        <v>85.601</v>
      </c>
      <c r="Y761">
        <v>19.563</v>
      </c>
      <c r="Z761">
        <v>30.399</v>
      </c>
      <c r="AA761">
        <v>257.509</v>
      </c>
      <c r="AB761">
        <v>1.04121</v>
      </c>
      <c r="AC761">
        <v>277</v>
      </c>
      <c r="AD761">
        <v>0</v>
      </c>
      <c r="AG761">
        <v>104</v>
      </c>
      <c r="AH761">
        <v>40</v>
      </c>
      <c r="AI761">
        <v>76</v>
      </c>
      <c r="AJ761">
        <v>27</v>
      </c>
      <c r="AK761">
        <v>30</v>
      </c>
    </row>
    <row r="762" spans="1:37">
      <c r="A762" t="s">
        <v>1183</v>
      </c>
      <c r="B762" t="s">
        <v>1752</v>
      </c>
      <c r="C762">
        <v>15.9</v>
      </c>
      <c r="D762" t="s">
        <v>82</v>
      </c>
      <c r="E762">
        <v>3</v>
      </c>
      <c r="F762">
        <v>0</v>
      </c>
      <c r="G762">
        <v>0</v>
      </c>
      <c r="I762">
        <v>1.14206</v>
      </c>
      <c r="J762">
        <v>0.97414</v>
      </c>
      <c r="K762">
        <v>1.00939</v>
      </c>
      <c r="L762">
        <v>1.02537</v>
      </c>
      <c r="M762">
        <v>1.13353</v>
      </c>
      <c r="N762">
        <v>0.9908400000000001</v>
      </c>
      <c r="O762">
        <v>1</v>
      </c>
      <c r="P762">
        <v>1.02091</v>
      </c>
      <c r="Q762">
        <v>1</v>
      </c>
      <c r="R762">
        <v>1</v>
      </c>
      <c r="S762">
        <v>1</v>
      </c>
      <c r="T762">
        <v>1.0561</v>
      </c>
      <c r="U762">
        <v>1</v>
      </c>
      <c r="V762">
        <v>79.63</v>
      </c>
      <c r="W762">
        <v>32.095</v>
      </c>
      <c r="X762">
        <v>134.876</v>
      </c>
      <c r="Y762">
        <v>34.296</v>
      </c>
      <c r="Z762">
        <v>36.758</v>
      </c>
      <c r="AA762">
        <v>317.655</v>
      </c>
      <c r="AB762">
        <v>0.90366</v>
      </c>
      <c r="AC762">
        <v>295</v>
      </c>
      <c r="AD762">
        <v>0</v>
      </c>
      <c r="AG762">
        <v>75</v>
      </c>
      <c r="AH762">
        <v>25</v>
      </c>
      <c r="AI762">
        <v>130</v>
      </c>
      <c r="AJ762">
        <v>34</v>
      </c>
      <c r="AK762">
        <v>31</v>
      </c>
    </row>
    <row r="763" spans="1:37">
      <c r="A763" t="s">
        <v>1184</v>
      </c>
      <c r="B763" t="s">
        <v>1753</v>
      </c>
      <c r="C763">
        <v>18</v>
      </c>
      <c r="D763" t="s">
        <v>82</v>
      </c>
      <c r="E763">
        <v>4</v>
      </c>
      <c r="F763">
        <v>0</v>
      </c>
      <c r="G763">
        <v>0</v>
      </c>
      <c r="I763">
        <v>1.14225</v>
      </c>
      <c r="J763">
        <v>0.98344</v>
      </c>
      <c r="K763">
        <v>1.00939</v>
      </c>
      <c r="L763">
        <v>1.02486</v>
      </c>
      <c r="M763">
        <v>0.91342</v>
      </c>
      <c r="N763">
        <v>1.02656</v>
      </c>
      <c r="O763">
        <v>1</v>
      </c>
      <c r="P763">
        <v>1.01674</v>
      </c>
      <c r="Q763">
        <v>1</v>
      </c>
      <c r="R763">
        <v>1</v>
      </c>
      <c r="S763">
        <v>1</v>
      </c>
      <c r="T763">
        <v>1.02905</v>
      </c>
      <c r="U763">
        <v>1</v>
      </c>
      <c r="V763">
        <v>19.166</v>
      </c>
      <c r="W763">
        <v>14.109</v>
      </c>
      <c r="X763">
        <v>132.169</v>
      </c>
      <c r="Y763">
        <v>56.326</v>
      </c>
      <c r="Z763">
        <v>41.341</v>
      </c>
      <c r="AA763">
        <v>263.111</v>
      </c>
      <c r="AB763">
        <v>0.94214</v>
      </c>
      <c r="AC763">
        <v>240</v>
      </c>
      <c r="AD763">
        <v>0</v>
      </c>
      <c r="AG763">
        <v>12</v>
      </c>
      <c r="AH763">
        <v>11</v>
      </c>
      <c r="AI763">
        <v>130</v>
      </c>
      <c r="AJ763">
        <v>52</v>
      </c>
      <c r="AK763">
        <v>35</v>
      </c>
    </row>
    <row r="764" spans="1:37">
      <c r="A764" t="s">
        <v>1185</v>
      </c>
      <c r="B764" t="s">
        <v>1754</v>
      </c>
      <c r="C764">
        <v>15.3</v>
      </c>
      <c r="D764" t="s">
        <v>82</v>
      </c>
      <c r="E764">
        <v>5</v>
      </c>
      <c r="F764">
        <v>0</v>
      </c>
      <c r="G764">
        <v>0</v>
      </c>
      <c r="I764">
        <v>1.14243</v>
      </c>
      <c r="J764">
        <v>0.99959</v>
      </c>
      <c r="K764">
        <v>1.03799</v>
      </c>
      <c r="L764">
        <v>1.02434</v>
      </c>
      <c r="M764">
        <v>0.83697</v>
      </c>
      <c r="N764">
        <v>0.97751</v>
      </c>
      <c r="O764">
        <v>1</v>
      </c>
      <c r="P764">
        <v>1.01064</v>
      </c>
      <c r="Q764">
        <v>1</v>
      </c>
      <c r="R764">
        <v>1</v>
      </c>
      <c r="S764">
        <v>1</v>
      </c>
      <c r="T764">
        <v>1.03489</v>
      </c>
      <c r="U764">
        <v>1</v>
      </c>
      <c r="V764">
        <v>27.26</v>
      </c>
      <c r="W764">
        <v>23.097</v>
      </c>
      <c r="X764">
        <v>109.413</v>
      </c>
      <c r="Y764">
        <v>46.99</v>
      </c>
      <c r="Z764">
        <v>36.18</v>
      </c>
      <c r="AA764">
        <v>242.939</v>
      </c>
      <c r="AB764">
        <v>0.96183</v>
      </c>
      <c r="AC764">
        <v>232</v>
      </c>
      <c r="AD764">
        <v>0</v>
      </c>
      <c r="AG764">
        <v>26</v>
      </c>
      <c r="AH764">
        <v>29</v>
      </c>
      <c r="AI764">
        <v>101</v>
      </c>
      <c r="AJ764">
        <v>47</v>
      </c>
      <c r="AK764">
        <v>29</v>
      </c>
    </row>
    <row r="765" spans="1:37">
      <c r="A765" t="s">
        <v>474</v>
      </c>
      <c r="B765" t="s">
        <v>1751</v>
      </c>
      <c r="C765">
        <v>14.4</v>
      </c>
      <c r="D765" t="s">
        <v>82</v>
      </c>
      <c r="E765">
        <v>6</v>
      </c>
      <c r="F765">
        <v>0</v>
      </c>
      <c r="G765">
        <v>0</v>
      </c>
      <c r="I765">
        <v>1.14262</v>
      </c>
      <c r="J765">
        <v>1.00442</v>
      </c>
      <c r="K765">
        <v>1.03799</v>
      </c>
      <c r="L765">
        <v>1.02383</v>
      </c>
      <c r="M765">
        <v>0.9061900000000001</v>
      </c>
      <c r="N765">
        <v>0.97214</v>
      </c>
      <c r="O765">
        <v>1</v>
      </c>
      <c r="P765">
        <v>1.0054</v>
      </c>
      <c r="Q765">
        <v>1</v>
      </c>
      <c r="R765">
        <v>1</v>
      </c>
      <c r="S765">
        <v>1</v>
      </c>
      <c r="T765">
        <v>1.07393</v>
      </c>
      <c r="U765">
        <v>1</v>
      </c>
      <c r="V765">
        <v>95.724</v>
      </c>
      <c r="W765">
        <v>42.1</v>
      </c>
      <c r="X765">
        <v>76.214</v>
      </c>
      <c r="Y765">
        <v>17.337</v>
      </c>
      <c r="Z765">
        <v>29.178</v>
      </c>
      <c r="AA765">
        <v>260.554</v>
      </c>
      <c r="AB765">
        <v>0.9894500000000001</v>
      </c>
      <c r="AC765">
        <v>251</v>
      </c>
      <c r="AD765">
        <v>0</v>
      </c>
      <c r="AG765">
        <v>94</v>
      </c>
      <c r="AH765">
        <v>32</v>
      </c>
      <c r="AI765">
        <v>76</v>
      </c>
      <c r="AJ765">
        <v>18</v>
      </c>
      <c r="AK765">
        <v>31</v>
      </c>
    </row>
    <row r="766" spans="1:37">
      <c r="A766" t="s">
        <v>1186</v>
      </c>
      <c r="B766" t="s">
        <v>1751</v>
      </c>
      <c r="C766">
        <v>16.7</v>
      </c>
      <c r="D766" t="s">
        <v>82</v>
      </c>
      <c r="E766">
        <v>7</v>
      </c>
      <c r="F766">
        <v>0</v>
      </c>
      <c r="G766">
        <v>0</v>
      </c>
      <c r="I766">
        <v>1.14281</v>
      </c>
      <c r="J766">
        <v>1.00415</v>
      </c>
      <c r="K766">
        <v>1.03799</v>
      </c>
      <c r="L766">
        <v>1.02334</v>
      </c>
      <c r="M766">
        <v>0.8743</v>
      </c>
      <c r="N766">
        <v>0.9963</v>
      </c>
      <c r="O766">
        <v>1</v>
      </c>
      <c r="P766">
        <v>1.00372</v>
      </c>
      <c r="Q766">
        <v>1</v>
      </c>
      <c r="R766">
        <v>1</v>
      </c>
      <c r="S766">
        <v>1.10504</v>
      </c>
      <c r="T766">
        <v>1.0688</v>
      </c>
      <c r="U766">
        <v>1</v>
      </c>
      <c r="V766">
        <v>95.59099999999999</v>
      </c>
      <c r="W766">
        <v>48.322</v>
      </c>
      <c r="X766">
        <v>89.739</v>
      </c>
      <c r="Y766">
        <v>18.182</v>
      </c>
      <c r="Z766">
        <v>33.826</v>
      </c>
      <c r="AA766">
        <v>285.659</v>
      </c>
      <c r="AB766">
        <v>1.02007</v>
      </c>
      <c r="AC766">
        <v>293</v>
      </c>
      <c r="AD766">
        <v>0</v>
      </c>
      <c r="AG766">
        <v>108</v>
      </c>
      <c r="AH766">
        <v>47</v>
      </c>
      <c r="AI766">
        <v>85</v>
      </c>
      <c r="AJ766">
        <v>23</v>
      </c>
      <c r="AK766">
        <v>30</v>
      </c>
    </row>
    <row r="767" spans="1:37">
      <c r="A767" t="s">
        <v>1187</v>
      </c>
      <c r="B767" t="s">
        <v>1751</v>
      </c>
      <c r="C767">
        <v>17.2</v>
      </c>
      <c r="D767" t="s">
        <v>82</v>
      </c>
      <c r="E767">
        <v>8</v>
      </c>
      <c r="F767">
        <v>0</v>
      </c>
      <c r="G767">
        <v>0</v>
      </c>
      <c r="I767">
        <v>1.14299</v>
      </c>
      <c r="J767">
        <v>0.99534</v>
      </c>
      <c r="K767">
        <v>1.03799</v>
      </c>
      <c r="L767">
        <v>1.02286</v>
      </c>
      <c r="M767">
        <v>0.89974</v>
      </c>
      <c r="N767">
        <v>1.0022</v>
      </c>
      <c r="O767">
        <v>1</v>
      </c>
      <c r="P767">
        <v>1.0025</v>
      </c>
      <c r="Q767">
        <v>1</v>
      </c>
      <c r="R767">
        <v>1</v>
      </c>
      <c r="S767">
        <v>1</v>
      </c>
      <c r="T767">
        <v>1.06983</v>
      </c>
      <c r="U767">
        <v>1</v>
      </c>
      <c r="V767">
        <v>90.16500000000001</v>
      </c>
      <c r="W767">
        <v>41.601</v>
      </c>
      <c r="X767">
        <v>83.747</v>
      </c>
      <c r="Y767">
        <v>17.992</v>
      </c>
      <c r="Z767">
        <v>30.783</v>
      </c>
      <c r="AA767">
        <v>264.288</v>
      </c>
      <c r="AB767">
        <v>0.95838</v>
      </c>
      <c r="AC767">
        <v>227</v>
      </c>
      <c r="AD767">
        <v>0</v>
      </c>
      <c r="AG767">
        <v>80</v>
      </c>
      <c r="AH767">
        <v>28</v>
      </c>
      <c r="AI767">
        <v>71</v>
      </c>
      <c r="AJ767">
        <v>20</v>
      </c>
      <c r="AK767">
        <v>28</v>
      </c>
    </row>
    <row r="768" spans="1:37">
      <c r="A768" t="s">
        <v>1188</v>
      </c>
      <c r="B768" t="s">
        <v>1751</v>
      </c>
      <c r="C768">
        <v>17.5</v>
      </c>
      <c r="D768" t="s">
        <v>82</v>
      </c>
      <c r="E768">
        <v>9</v>
      </c>
      <c r="F768">
        <v>0</v>
      </c>
      <c r="G768">
        <v>0</v>
      </c>
      <c r="I768">
        <v>1.14318</v>
      </c>
      <c r="J768">
        <v>1.00525</v>
      </c>
      <c r="K768">
        <v>1.03799</v>
      </c>
      <c r="L768">
        <v>1.02241</v>
      </c>
      <c r="M768">
        <v>0.93591</v>
      </c>
      <c r="N768">
        <v>1.00687</v>
      </c>
      <c r="O768">
        <v>1</v>
      </c>
      <c r="P768">
        <v>1.00173</v>
      </c>
      <c r="Q768">
        <v>1</v>
      </c>
      <c r="R768">
        <v>1</v>
      </c>
      <c r="S768">
        <v>1</v>
      </c>
      <c r="T768">
        <v>1.06664</v>
      </c>
      <c r="U768">
        <v>1</v>
      </c>
      <c r="V768">
        <v>89.185</v>
      </c>
      <c r="W768">
        <v>39.879</v>
      </c>
      <c r="X768">
        <v>95.05500000000001</v>
      </c>
      <c r="Y768">
        <v>21.274</v>
      </c>
      <c r="Z768">
        <v>32.888</v>
      </c>
      <c r="AA768">
        <v>278.282</v>
      </c>
      <c r="AB768">
        <v>1.00198</v>
      </c>
      <c r="AC768">
        <v>282</v>
      </c>
      <c r="AD768">
        <v>0</v>
      </c>
      <c r="AG768">
        <v>88</v>
      </c>
      <c r="AH768">
        <v>37</v>
      </c>
      <c r="AI768">
        <v>98</v>
      </c>
      <c r="AJ768">
        <v>23</v>
      </c>
      <c r="AK768">
        <v>36</v>
      </c>
    </row>
    <row r="769" spans="1:37">
      <c r="A769" t="s">
        <v>1189</v>
      </c>
      <c r="B769" t="s">
        <v>1752</v>
      </c>
      <c r="C769">
        <v>16.8</v>
      </c>
      <c r="D769" t="s">
        <v>82</v>
      </c>
      <c r="E769">
        <v>10</v>
      </c>
      <c r="F769">
        <v>0</v>
      </c>
      <c r="G769">
        <v>0</v>
      </c>
      <c r="I769">
        <v>1.14337</v>
      </c>
      <c r="J769">
        <v>1.01276</v>
      </c>
      <c r="K769">
        <v>1.03799</v>
      </c>
      <c r="L769">
        <v>1.02198</v>
      </c>
      <c r="M769">
        <v>1.13434</v>
      </c>
      <c r="N769">
        <v>1.00405</v>
      </c>
      <c r="O769">
        <v>1</v>
      </c>
      <c r="P769">
        <v>1.00128</v>
      </c>
      <c r="Q769">
        <v>1</v>
      </c>
      <c r="R769">
        <v>1</v>
      </c>
      <c r="S769">
        <v>1</v>
      </c>
      <c r="T769">
        <v>1.05613</v>
      </c>
      <c r="U769">
        <v>1</v>
      </c>
      <c r="V769">
        <v>84.309</v>
      </c>
      <c r="W769">
        <v>33.812</v>
      </c>
      <c r="X769">
        <v>143.595</v>
      </c>
      <c r="Y769">
        <v>36.268</v>
      </c>
      <c r="Z769">
        <v>38.804</v>
      </c>
      <c r="AA769">
        <v>336.788</v>
      </c>
      <c r="AB769">
        <v>1.05579</v>
      </c>
      <c r="AC769">
        <v>356</v>
      </c>
      <c r="AD769">
        <v>0</v>
      </c>
      <c r="AG769">
        <v>84</v>
      </c>
      <c r="AH769">
        <v>31</v>
      </c>
      <c r="AI769">
        <v>166</v>
      </c>
      <c r="AJ769">
        <v>47</v>
      </c>
      <c r="AK769">
        <v>28</v>
      </c>
    </row>
    <row r="770" spans="1:37">
      <c r="A770" t="s">
        <v>1190</v>
      </c>
      <c r="B770" t="s">
        <v>1753</v>
      </c>
      <c r="C770">
        <v>17.7</v>
      </c>
      <c r="D770" t="s">
        <v>82</v>
      </c>
      <c r="E770">
        <v>11</v>
      </c>
      <c r="F770">
        <v>0</v>
      </c>
      <c r="G770">
        <v>0</v>
      </c>
      <c r="I770">
        <v>1.14355</v>
      </c>
      <c r="J770">
        <v>1.01327</v>
      </c>
      <c r="K770">
        <v>1.03799</v>
      </c>
      <c r="L770">
        <v>1.02159</v>
      </c>
      <c r="M770">
        <v>0.90865</v>
      </c>
      <c r="N770">
        <v>1.02138</v>
      </c>
      <c r="O770">
        <v>1</v>
      </c>
      <c r="P770">
        <v>1.00102</v>
      </c>
      <c r="Q770">
        <v>1</v>
      </c>
      <c r="R770">
        <v>1</v>
      </c>
      <c r="S770">
        <v>1</v>
      </c>
      <c r="T770">
        <v>1.02927</v>
      </c>
      <c r="U770">
        <v>1</v>
      </c>
      <c r="V770">
        <v>20.163</v>
      </c>
      <c r="W770">
        <v>14.793</v>
      </c>
      <c r="X770">
        <v>136.526</v>
      </c>
      <c r="Y770">
        <v>58.287</v>
      </c>
      <c r="Z770">
        <v>42.777</v>
      </c>
      <c r="AA770">
        <v>272.547</v>
      </c>
      <c r="AB770">
        <v>0.95712</v>
      </c>
      <c r="AC770">
        <v>272</v>
      </c>
      <c r="AD770">
        <v>0</v>
      </c>
      <c r="AG770">
        <v>16</v>
      </c>
      <c r="AH770">
        <v>11</v>
      </c>
      <c r="AI770">
        <v>149</v>
      </c>
      <c r="AJ770">
        <v>62</v>
      </c>
      <c r="AK770">
        <v>34</v>
      </c>
    </row>
    <row r="771" spans="1:37">
      <c r="A771" t="s">
        <v>1191</v>
      </c>
      <c r="B771" t="s">
        <v>1754</v>
      </c>
      <c r="C771">
        <v>18.1</v>
      </c>
      <c r="D771" t="s">
        <v>82</v>
      </c>
      <c r="E771">
        <v>12</v>
      </c>
      <c r="F771">
        <v>0</v>
      </c>
      <c r="G771">
        <v>0</v>
      </c>
      <c r="I771">
        <v>1.14374</v>
      </c>
      <c r="J771">
        <v>1.02616</v>
      </c>
      <c r="K771">
        <v>1.03799</v>
      </c>
      <c r="L771">
        <v>1.02123</v>
      </c>
      <c r="M771">
        <v>0.84754</v>
      </c>
      <c r="N771">
        <v>1.02498</v>
      </c>
      <c r="O771">
        <v>1</v>
      </c>
      <c r="P771">
        <v>1.00065</v>
      </c>
      <c r="Q771">
        <v>1</v>
      </c>
      <c r="R771">
        <v>1</v>
      </c>
      <c r="S771">
        <v>1</v>
      </c>
      <c r="T771">
        <v>1.03433</v>
      </c>
      <c r="U771">
        <v>1</v>
      </c>
      <c r="V771">
        <v>27.837</v>
      </c>
      <c r="W771">
        <v>23.533</v>
      </c>
      <c r="X771">
        <v>118.736</v>
      </c>
      <c r="Y771">
        <v>49.99</v>
      </c>
      <c r="Z771">
        <v>38.343</v>
      </c>
      <c r="AA771">
        <v>258.439</v>
      </c>
      <c r="AB771">
        <v>0.95234</v>
      </c>
      <c r="AC771">
        <v>213</v>
      </c>
      <c r="AD771">
        <v>0</v>
      </c>
      <c r="AG771">
        <v>18</v>
      </c>
      <c r="AH771">
        <v>11</v>
      </c>
      <c r="AI771">
        <v>111</v>
      </c>
      <c r="AJ771">
        <v>39</v>
      </c>
      <c r="AK771">
        <v>34</v>
      </c>
    </row>
    <row r="772" spans="1:37">
      <c r="A772" t="s">
        <v>475</v>
      </c>
      <c r="B772" t="s">
        <v>1751</v>
      </c>
      <c r="C772">
        <v>16.9</v>
      </c>
      <c r="D772" t="s">
        <v>1474</v>
      </c>
      <c r="E772">
        <v>13</v>
      </c>
      <c r="F772">
        <v>0</v>
      </c>
      <c r="G772">
        <v>0</v>
      </c>
      <c r="I772">
        <v>1.14392</v>
      </c>
      <c r="J772">
        <v>1.02621</v>
      </c>
      <c r="K772">
        <v>1.03799</v>
      </c>
      <c r="L772">
        <v>1.02091</v>
      </c>
      <c r="M772">
        <v>0.90613</v>
      </c>
      <c r="N772">
        <v>0.99878</v>
      </c>
      <c r="O772">
        <v>1.01236</v>
      </c>
      <c r="P772">
        <v>1.00033</v>
      </c>
      <c r="Q772">
        <v>1</v>
      </c>
      <c r="R772">
        <v>1</v>
      </c>
      <c r="S772">
        <v>1</v>
      </c>
      <c r="T772">
        <v>1.072</v>
      </c>
      <c r="U772">
        <v>1</v>
      </c>
      <c r="V772">
        <v>97.413</v>
      </c>
      <c r="W772">
        <v>47.057</v>
      </c>
      <c r="X772">
        <v>82.349</v>
      </c>
      <c r="Y772">
        <v>17.457</v>
      </c>
      <c r="Z772">
        <v>30.769</v>
      </c>
      <c r="AA772">
        <v>275.045</v>
      </c>
      <c r="AB772">
        <v>1.00318</v>
      </c>
      <c r="AC772">
        <v>279</v>
      </c>
      <c r="AD772">
        <v>0</v>
      </c>
      <c r="AG772">
        <v>95</v>
      </c>
      <c r="AH772">
        <v>48</v>
      </c>
      <c r="AI772">
        <v>87</v>
      </c>
      <c r="AJ772">
        <v>21</v>
      </c>
      <c r="AK772">
        <v>28</v>
      </c>
    </row>
    <row r="773" spans="1:37">
      <c r="A773" t="s">
        <v>1192</v>
      </c>
      <c r="B773" t="s">
        <v>1751</v>
      </c>
      <c r="C773">
        <v>19.3</v>
      </c>
      <c r="D773" t="s">
        <v>1474</v>
      </c>
      <c r="E773">
        <v>14</v>
      </c>
      <c r="F773">
        <v>0</v>
      </c>
      <c r="G773">
        <v>0</v>
      </c>
      <c r="I773">
        <v>1.14411</v>
      </c>
      <c r="J773">
        <v>1.02845</v>
      </c>
      <c r="K773">
        <v>1.03799</v>
      </c>
      <c r="L773">
        <v>1.02064</v>
      </c>
      <c r="M773">
        <v>0.8754</v>
      </c>
      <c r="N773">
        <v>1.02067</v>
      </c>
      <c r="O773">
        <v>1.0133</v>
      </c>
      <c r="P773">
        <v>1.00023</v>
      </c>
      <c r="Q773">
        <v>1</v>
      </c>
      <c r="R773">
        <v>1</v>
      </c>
      <c r="S773">
        <v>1.10634</v>
      </c>
      <c r="T773">
        <v>1.06709</v>
      </c>
      <c r="U773">
        <v>1</v>
      </c>
      <c r="V773">
        <v>97.611</v>
      </c>
      <c r="W773">
        <v>54.224</v>
      </c>
      <c r="X773">
        <v>96.41</v>
      </c>
      <c r="Y773">
        <v>18.273</v>
      </c>
      <c r="Z773">
        <v>35.857</v>
      </c>
      <c r="AA773">
        <v>302.374</v>
      </c>
      <c r="AB773">
        <v>0.96154</v>
      </c>
      <c r="AC773">
        <v>277</v>
      </c>
      <c r="AD773">
        <v>0</v>
      </c>
      <c r="AG773">
        <v>103</v>
      </c>
      <c r="AH773">
        <v>42</v>
      </c>
      <c r="AI773">
        <v>88</v>
      </c>
      <c r="AJ773">
        <v>15</v>
      </c>
      <c r="AK773">
        <v>29</v>
      </c>
    </row>
    <row r="774" spans="1:37">
      <c r="A774" t="s">
        <v>1193</v>
      </c>
      <c r="B774" t="s">
        <v>1751</v>
      </c>
      <c r="C774">
        <v>19.7</v>
      </c>
      <c r="D774" t="s">
        <v>1474</v>
      </c>
      <c r="E774">
        <v>15</v>
      </c>
      <c r="F774">
        <v>0</v>
      </c>
      <c r="G774">
        <v>0</v>
      </c>
      <c r="I774">
        <v>1.1443</v>
      </c>
      <c r="J774">
        <v>1.02108</v>
      </c>
      <c r="K774">
        <v>1.03799</v>
      </c>
      <c r="L774">
        <v>1.02041</v>
      </c>
      <c r="M774">
        <v>0.90111</v>
      </c>
      <c r="N774">
        <v>1.02421</v>
      </c>
      <c r="O774">
        <v>1.01198</v>
      </c>
      <c r="P774">
        <v>0.99758</v>
      </c>
      <c r="Q774">
        <v>1</v>
      </c>
      <c r="R774">
        <v>1</v>
      </c>
      <c r="S774">
        <v>1</v>
      </c>
      <c r="T774">
        <v>1.0683</v>
      </c>
      <c r="U774">
        <v>1</v>
      </c>
      <c r="V774">
        <v>92.184</v>
      </c>
      <c r="W774">
        <v>46.72</v>
      </c>
      <c r="X774">
        <v>89.381</v>
      </c>
      <c r="Y774">
        <v>17.997</v>
      </c>
      <c r="Z774">
        <v>32.564</v>
      </c>
      <c r="AA774">
        <v>278.847</v>
      </c>
      <c r="AB774">
        <v>1.00263</v>
      </c>
      <c r="AC774">
        <v>268</v>
      </c>
      <c r="AD774">
        <v>0</v>
      </c>
      <c r="AG774">
        <v>92</v>
      </c>
      <c r="AH774">
        <v>46</v>
      </c>
      <c r="AI774">
        <v>77</v>
      </c>
      <c r="AJ774">
        <v>19</v>
      </c>
      <c r="AK774">
        <v>34</v>
      </c>
    </row>
    <row r="775" spans="1:37">
      <c r="A775" t="s">
        <v>1194</v>
      </c>
      <c r="B775" t="s">
        <v>1751</v>
      </c>
      <c r="C775">
        <v>18.5</v>
      </c>
      <c r="D775" t="s">
        <v>1474</v>
      </c>
      <c r="E775">
        <v>16</v>
      </c>
      <c r="F775">
        <v>0</v>
      </c>
      <c r="G775">
        <v>0</v>
      </c>
      <c r="I775">
        <v>1.14448</v>
      </c>
      <c r="J775">
        <v>1.02333</v>
      </c>
      <c r="K775">
        <v>1.03799</v>
      </c>
      <c r="L775">
        <v>1.02023</v>
      </c>
      <c r="M775">
        <v>0.9372</v>
      </c>
      <c r="N775">
        <v>1.0168</v>
      </c>
      <c r="O775">
        <v>1.01038</v>
      </c>
      <c r="P775">
        <v>0.99483</v>
      </c>
      <c r="Q775">
        <v>1</v>
      </c>
      <c r="R775">
        <v>1</v>
      </c>
      <c r="S775">
        <v>1</v>
      </c>
      <c r="T775">
        <v>1.06594</v>
      </c>
      <c r="U775">
        <v>1</v>
      </c>
      <c r="V775">
        <v>90.435</v>
      </c>
      <c r="W775">
        <v>44.397</v>
      </c>
      <c r="X775">
        <v>97.77800000000001</v>
      </c>
      <c r="Y775">
        <v>20.665</v>
      </c>
      <c r="Z775">
        <v>33.646</v>
      </c>
      <c r="AA775">
        <v>286.92</v>
      </c>
      <c r="AB775">
        <v>0.88644</v>
      </c>
      <c r="AC775">
        <v>269</v>
      </c>
      <c r="AD775">
        <v>1</v>
      </c>
      <c r="AG775">
        <v>108</v>
      </c>
      <c r="AH775">
        <v>33</v>
      </c>
      <c r="AI775">
        <v>81</v>
      </c>
      <c r="AJ775">
        <v>19</v>
      </c>
      <c r="AK775">
        <v>28</v>
      </c>
    </row>
    <row r="776" spans="1:37">
      <c r="A776" t="s">
        <v>1195</v>
      </c>
      <c r="B776" t="s">
        <v>1752</v>
      </c>
      <c r="C776">
        <v>18.6</v>
      </c>
      <c r="D776" t="s">
        <v>1474</v>
      </c>
      <c r="E776">
        <v>17</v>
      </c>
      <c r="F776">
        <v>0</v>
      </c>
      <c r="G776">
        <v>0</v>
      </c>
      <c r="I776">
        <v>1.14467</v>
      </c>
      <c r="J776">
        <v>1.02383</v>
      </c>
      <c r="K776">
        <v>1.03799</v>
      </c>
      <c r="L776">
        <v>1.0201</v>
      </c>
      <c r="M776">
        <v>1.13287</v>
      </c>
      <c r="N776">
        <v>1.0273</v>
      </c>
      <c r="O776">
        <v>1.00445</v>
      </c>
      <c r="P776">
        <v>0.99135</v>
      </c>
      <c r="Q776">
        <v>1</v>
      </c>
      <c r="R776">
        <v>1</v>
      </c>
      <c r="S776">
        <v>1</v>
      </c>
      <c r="T776">
        <v>1.05543</v>
      </c>
      <c r="U776">
        <v>1</v>
      </c>
      <c r="V776">
        <v>84.846</v>
      </c>
      <c r="W776">
        <v>37.336</v>
      </c>
      <c r="X776">
        <v>149.033</v>
      </c>
      <c r="Y776">
        <v>35.357</v>
      </c>
      <c r="Z776">
        <v>39.82</v>
      </c>
      <c r="AA776">
        <v>346.392</v>
      </c>
      <c r="AB776">
        <v>0.9275099999999999</v>
      </c>
      <c r="AC776">
        <v>338</v>
      </c>
      <c r="AD776">
        <v>0</v>
      </c>
      <c r="AG776">
        <v>66</v>
      </c>
      <c r="AH776">
        <v>48</v>
      </c>
      <c r="AI776">
        <v>145</v>
      </c>
      <c r="AJ776">
        <v>41</v>
      </c>
      <c r="AK776">
        <v>38</v>
      </c>
    </row>
    <row r="777" spans="1:37">
      <c r="A777" t="s">
        <v>1196</v>
      </c>
      <c r="B777" t="s">
        <v>1753</v>
      </c>
      <c r="C777">
        <v>18</v>
      </c>
      <c r="D777" t="s">
        <v>1474</v>
      </c>
      <c r="E777">
        <v>18</v>
      </c>
      <c r="F777">
        <v>0</v>
      </c>
      <c r="G777">
        <v>0</v>
      </c>
      <c r="I777">
        <v>1.14486</v>
      </c>
      <c r="J777">
        <v>1.02649</v>
      </c>
      <c r="K777">
        <v>1.03799</v>
      </c>
      <c r="L777">
        <v>1.02002</v>
      </c>
      <c r="M777">
        <v>0.89446</v>
      </c>
      <c r="N777">
        <v>1.02595</v>
      </c>
      <c r="O777">
        <v>0.99476</v>
      </c>
      <c r="P777">
        <v>0.98629</v>
      </c>
      <c r="Q777">
        <v>1</v>
      </c>
      <c r="R777">
        <v>1</v>
      </c>
      <c r="S777">
        <v>1</v>
      </c>
      <c r="T777">
        <v>1.02946</v>
      </c>
      <c r="U777">
        <v>1</v>
      </c>
      <c r="V777">
        <v>20.321</v>
      </c>
      <c r="W777">
        <v>16.347</v>
      </c>
      <c r="X777">
        <v>136.939</v>
      </c>
      <c r="Y777">
        <v>55.435</v>
      </c>
      <c r="Z777">
        <v>42.828</v>
      </c>
      <c r="AA777">
        <v>271.87</v>
      </c>
      <c r="AB777">
        <v>0.9273</v>
      </c>
      <c r="AC777">
        <v>253</v>
      </c>
      <c r="AD777">
        <v>0</v>
      </c>
      <c r="AG777">
        <v>17</v>
      </c>
      <c r="AH777">
        <v>21</v>
      </c>
      <c r="AI777">
        <v>118</v>
      </c>
      <c r="AJ777">
        <v>49</v>
      </c>
      <c r="AK777">
        <v>48</v>
      </c>
    </row>
    <row r="778" spans="1:37">
      <c r="A778" t="s">
        <v>1197</v>
      </c>
      <c r="B778" t="s">
        <v>1754</v>
      </c>
      <c r="C778">
        <v>16.9</v>
      </c>
      <c r="D778" t="s">
        <v>1474</v>
      </c>
      <c r="E778">
        <v>19</v>
      </c>
      <c r="F778">
        <v>0</v>
      </c>
      <c r="G778">
        <v>0</v>
      </c>
      <c r="I778">
        <v>1.14504</v>
      </c>
      <c r="J778">
        <v>1.02312</v>
      </c>
      <c r="K778">
        <v>1.03799</v>
      </c>
      <c r="L778">
        <v>1.02</v>
      </c>
      <c r="M778">
        <v>0.83204</v>
      </c>
      <c r="N778">
        <v>1.0051</v>
      </c>
      <c r="O778">
        <v>0.99971</v>
      </c>
      <c r="P778">
        <v>0.98369</v>
      </c>
      <c r="Q778">
        <v>1</v>
      </c>
      <c r="R778">
        <v>1</v>
      </c>
      <c r="S778">
        <v>1</v>
      </c>
      <c r="T778">
        <v>1.03491</v>
      </c>
      <c r="U778">
        <v>1</v>
      </c>
      <c r="V778">
        <v>27.592</v>
      </c>
      <c r="W778">
        <v>25.559</v>
      </c>
      <c r="X778">
        <v>112.949</v>
      </c>
      <c r="Y778">
        <v>45.527</v>
      </c>
      <c r="Z778">
        <v>36.778</v>
      </c>
      <c r="AA778">
        <v>248.404</v>
      </c>
      <c r="AB778">
        <v>0.94976</v>
      </c>
      <c r="AC778">
        <v>267</v>
      </c>
      <c r="AD778">
        <v>0</v>
      </c>
      <c r="AG778">
        <v>32</v>
      </c>
      <c r="AH778">
        <v>24</v>
      </c>
      <c r="AI778">
        <v>117</v>
      </c>
      <c r="AJ778">
        <v>40</v>
      </c>
      <c r="AK778">
        <v>54</v>
      </c>
    </row>
    <row r="779" spans="1:37">
      <c r="A779" t="s">
        <v>476</v>
      </c>
      <c r="B779" t="s">
        <v>1751</v>
      </c>
      <c r="C779">
        <v>17.1</v>
      </c>
      <c r="D779" t="s">
        <v>1474</v>
      </c>
      <c r="E779">
        <v>20</v>
      </c>
      <c r="F779">
        <v>0</v>
      </c>
      <c r="G779">
        <v>0</v>
      </c>
      <c r="I779">
        <v>1.14523</v>
      </c>
      <c r="J779">
        <v>1.01285</v>
      </c>
      <c r="K779">
        <v>1.03799</v>
      </c>
      <c r="L779">
        <v>1.01994</v>
      </c>
      <c r="M779">
        <v>0.90677</v>
      </c>
      <c r="N779">
        <v>1.0008</v>
      </c>
      <c r="O779">
        <v>1.01242</v>
      </c>
      <c r="P779">
        <v>0.9850100000000001</v>
      </c>
      <c r="Q779">
        <v>1</v>
      </c>
      <c r="R779">
        <v>1</v>
      </c>
      <c r="S779">
        <v>1</v>
      </c>
      <c r="T779">
        <v>1.07242</v>
      </c>
      <c r="U779">
        <v>1</v>
      </c>
      <c r="V779">
        <v>95.503</v>
      </c>
      <c r="W779">
        <v>45.923</v>
      </c>
      <c r="X779">
        <v>79.818</v>
      </c>
      <c r="Y779">
        <v>16.896</v>
      </c>
      <c r="Z779">
        <v>29.773</v>
      </c>
      <c r="AA779">
        <v>267.913</v>
      </c>
      <c r="AB779">
        <v>0.9581499999999999</v>
      </c>
      <c r="AC779">
        <v>250</v>
      </c>
      <c r="AD779">
        <v>1</v>
      </c>
      <c r="AG779">
        <v>87</v>
      </c>
      <c r="AH779">
        <v>41</v>
      </c>
      <c r="AI779">
        <v>76</v>
      </c>
      <c r="AJ779">
        <v>14</v>
      </c>
      <c r="AK779">
        <v>32</v>
      </c>
    </row>
    <row r="780" spans="1:37">
      <c r="A780" t="s">
        <v>1198</v>
      </c>
      <c r="B780" t="s">
        <v>1751</v>
      </c>
      <c r="C780">
        <v>16.4</v>
      </c>
      <c r="D780" t="s">
        <v>1474</v>
      </c>
      <c r="E780">
        <v>21</v>
      </c>
      <c r="F780">
        <v>0</v>
      </c>
      <c r="G780">
        <v>0</v>
      </c>
      <c r="I780">
        <v>1.14542</v>
      </c>
      <c r="J780">
        <v>1.02137</v>
      </c>
      <c r="K780">
        <v>1.03799</v>
      </c>
      <c r="L780">
        <v>1.01977</v>
      </c>
      <c r="M780">
        <v>0.87924</v>
      </c>
      <c r="N780">
        <v>0.99309</v>
      </c>
      <c r="O780">
        <v>1.01393</v>
      </c>
      <c r="P780">
        <v>0.98228</v>
      </c>
      <c r="Q780">
        <v>1</v>
      </c>
      <c r="R780">
        <v>1</v>
      </c>
      <c r="S780">
        <v>1.10538</v>
      </c>
      <c r="T780">
        <v>1.0691</v>
      </c>
      <c r="U780">
        <v>1</v>
      </c>
      <c r="V780">
        <v>96.19799999999999</v>
      </c>
      <c r="W780">
        <v>53.155</v>
      </c>
      <c r="X780">
        <v>87.64100000000001</v>
      </c>
      <c r="Y780">
        <v>16.904</v>
      </c>
      <c r="Z780">
        <v>33.122</v>
      </c>
      <c r="AA780">
        <v>287.02</v>
      </c>
      <c r="AB780">
        <v>0.92528</v>
      </c>
      <c r="AC780">
        <v>276</v>
      </c>
      <c r="AD780">
        <v>1</v>
      </c>
      <c r="AG780">
        <v>104</v>
      </c>
      <c r="AH780">
        <v>50</v>
      </c>
      <c r="AI780">
        <v>76</v>
      </c>
      <c r="AJ780">
        <v>17</v>
      </c>
      <c r="AK780">
        <v>29</v>
      </c>
    </row>
    <row r="781" spans="1:37">
      <c r="A781" t="s">
        <v>1199</v>
      </c>
      <c r="B781" t="s">
        <v>1751</v>
      </c>
      <c r="C781">
        <v>16.5</v>
      </c>
      <c r="D781" t="s">
        <v>1474</v>
      </c>
      <c r="E781">
        <v>22</v>
      </c>
      <c r="F781">
        <v>0</v>
      </c>
      <c r="G781">
        <v>0</v>
      </c>
      <c r="I781">
        <v>1.1456</v>
      </c>
      <c r="J781">
        <v>1.03467</v>
      </c>
      <c r="K781">
        <v>1.03799</v>
      </c>
      <c r="L781">
        <v>1.01951</v>
      </c>
      <c r="M781">
        <v>0.90427</v>
      </c>
      <c r="N781">
        <v>0.99464</v>
      </c>
      <c r="O781">
        <v>1.01261</v>
      </c>
      <c r="P781">
        <v>0.9797400000000001</v>
      </c>
      <c r="Q781">
        <v>1</v>
      </c>
      <c r="R781">
        <v>1</v>
      </c>
      <c r="S781">
        <v>1</v>
      </c>
      <c r="T781">
        <v>1.07047</v>
      </c>
      <c r="U781">
        <v>1</v>
      </c>
      <c r="V781">
        <v>92.696</v>
      </c>
      <c r="W781">
        <v>46.73</v>
      </c>
      <c r="X781">
        <v>82.63</v>
      </c>
      <c r="Y781">
        <v>16.946</v>
      </c>
      <c r="Z781">
        <v>30.552</v>
      </c>
      <c r="AA781">
        <v>269.554</v>
      </c>
      <c r="AB781">
        <v>0.8958199999999999</v>
      </c>
      <c r="AC781">
        <v>226</v>
      </c>
      <c r="AD781">
        <v>0</v>
      </c>
      <c r="AG781">
        <v>78</v>
      </c>
      <c r="AH781">
        <v>30</v>
      </c>
      <c r="AI781">
        <v>76</v>
      </c>
      <c r="AJ781">
        <v>16</v>
      </c>
      <c r="AK781">
        <v>26</v>
      </c>
    </row>
    <row r="782" spans="1:37">
      <c r="A782" t="s">
        <v>1200</v>
      </c>
      <c r="B782" t="s">
        <v>1751</v>
      </c>
      <c r="C782">
        <v>17.3</v>
      </c>
      <c r="D782" t="s">
        <v>1474</v>
      </c>
      <c r="E782">
        <v>23</v>
      </c>
      <c r="F782">
        <v>0</v>
      </c>
      <c r="G782">
        <v>0</v>
      </c>
      <c r="I782">
        <v>1.14579</v>
      </c>
      <c r="J782">
        <v>1.02859</v>
      </c>
      <c r="K782">
        <v>1.03799</v>
      </c>
      <c r="L782">
        <v>1.01913</v>
      </c>
      <c r="M782">
        <v>0.93772</v>
      </c>
      <c r="N782">
        <v>1.00436</v>
      </c>
      <c r="O782">
        <v>1.01069</v>
      </c>
      <c r="P782">
        <v>0.97641</v>
      </c>
      <c r="Q782">
        <v>1</v>
      </c>
      <c r="R782">
        <v>1</v>
      </c>
      <c r="S782">
        <v>1</v>
      </c>
      <c r="T782">
        <v>1.06715</v>
      </c>
      <c r="U782">
        <v>1</v>
      </c>
      <c r="V782">
        <v>90.187</v>
      </c>
      <c r="W782">
        <v>44.04</v>
      </c>
      <c r="X782">
        <v>93.24299999999999</v>
      </c>
      <c r="Y782">
        <v>19.849</v>
      </c>
      <c r="Z782">
        <v>32.305</v>
      </c>
      <c r="AA782">
        <v>279.625</v>
      </c>
      <c r="AB782">
        <v>0.99297</v>
      </c>
      <c r="AC782">
        <v>286</v>
      </c>
      <c r="AD782">
        <v>0</v>
      </c>
      <c r="AG782">
        <v>86</v>
      </c>
      <c r="AH782">
        <v>46</v>
      </c>
      <c r="AI782">
        <v>108</v>
      </c>
      <c r="AJ782">
        <v>18</v>
      </c>
      <c r="AK782">
        <v>28</v>
      </c>
    </row>
    <row r="783" spans="1:37">
      <c r="A783" t="s">
        <v>1201</v>
      </c>
      <c r="B783" t="s">
        <v>1752</v>
      </c>
      <c r="C783">
        <v>16.7</v>
      </c>
      <c r="D783" t="s">
        <v>1474</v>
      </c>
      <c r="E783">
        <v>24</v>
      </c>
      <c r="F783">
        <v>0</v>
      </c>
      <c r="G783">
        <v>0</v>
      </c>
      <c r="I783">
        <v>1.14598</v>
      </c>
      <c r="J783">
        <v>1.0342</v>
      </c>
      <c r="K783">
        <v>1.03799</v>
      </c>
      <c r="L783">
        <v>1.01867</v>
      </c>
      <c r="M783">
        <v>1.12619</v>
      </c>
      <c r="N783">
        <v>1.00237</v>
      </c>
      <c r="O783">
        <v>1.00483</v>
      </c>
      <c r="P783">
        <v>0.97112</v>
      </c>
      <c r="Q783">
        <v>1</v>
      </c>
      <c r="R783">
        <v>1</v>
      </c>
      <c r="S783">
        <v>1</v>
      </c>
      <c r="T783">
        <v>1.05689</v>
      </c>
      <c r="U783">
        <v>1</v>
      </c>
      <c r="V783">
        <v>85.006</v>
      </c>
      <c r="W783">
        <v>37.207</v>
      </c>
      <c r="X783">
        <v>140.44</v>
      </c>
      <c r="Y783">
        <v>33.719</v>
      </c>
      <c r="Z783">
        <v>37.981</v>
      </c>
      <c r="AA783">
        <v>334.353</v>
      </c>
      <c r="AB783">
        <v>1.10415</v>
      </c>
      <c r="AC783">
        <v>359</v>
      </c>
      <c r="AD783">
        <v>1</v>
      </c>
      <c r="AG783">
        <v>80</v>
      </c>
      <c r="AH783">
        <v>49</v>
      </c>
      <c r="AI783">
        <v>162</v>
      </c>
      <c r="AJ783">
        <v>35</v>
      </c>
      <c r="AK783">
        <v>33</v>
      </c>
    </row>
    <row r="784" spans="1:37">
      <c r="A784" t="s">
        <v>1202</v>
      </c>
      <c r="B784" t="s">
        <v>1753</v>
      </c>
      <c r="C784">
        <v>17.1</v>
      </c>
      <c r="D784" t="s">
        <v>1475</v>
      </c>
      <c r="E784">
        <v>25</v>
      </c>
      <c r="F784">
        <v>0</v>
      </c>
      <c r="G784">
        <v>0</v>
      </c>
      <c r="I784">
        <v>1.14616</v>
      </c>
      <c r="J784">
        <v>1.03878</v>
      </c>
      <c r="K784">
        <v>1.03799</v>
      </c>
      <c r="L784">
        <v>1.01811</v>
      </c>
      <c r="M784">
        <v>0.98431</v>
      </c>
      <c r="N784">
        <v>1.01347</v>
      </c>
      <c r="O784">
        <v>1.00891</v>
      </c>
      <c r="P784">
        <v>0.9612000000000001</v>
      </c>
      <c r="Q784">
        <v>1</v>
      </c>
      <c r="R784">
        <v>1</v>
      </c>
      <c r="S784">
        <v>1.02663</v>
      </c>
      <c r="T784">
        <v>1.02875</v>
      </c>
      <c r="U784">
        <v>1</v>
      </c>
      <c r="V784">
        <v>18.959</v>
      </c>
      <c r="W784">
        <v>6.94</v>
      </c>
      <c r="X784">
        <v>144.21</v>
      </c>
      <c r="Y784">
        <v>63.391</v>
      </c>
      <c r="Z784">
        <v>41.555</v>
      </c>
      <c r="AA784">
        <v>275.055</v>
      </c>
      <c r="AB784">
        <v>0.99756</v>
      </c>
      <c r="AC784">
        <v>266</v>
      </c>
      <c r="AD784">
        <v>0</v>
      </c>
      <c r="AG784">
        <v>9</v>
      </c>
      <c r="AH784">
        <v>6</v>
      </c>
      <c r="AI784">
        <v>125</v>
      </c>
      <c r="AJ784">
        <v>79</v>
      </c>
      <c r="AK784">
        <v>47</v>
      </c>
    </row>
    <row r="785" spans="1:37">
      <c r="A785" t="s">
        <v>1203</v>
      </c>
      <c r="B785" t="s">
        <v>1755</v>
      </c>
      <c r="C785">
        <v>17.2</v>
      </c>
      <c r="D785" t="s">
        <v>1475</v>
      </c>
      <c r="E785">
        <v>26</v>
      </c>
      <c r="F785">
        <v>0</v>
      </c>
      <c r="G785">
        <v>0</v>
      </c>
      <c r="I785">
        <v>1.14635</v>
      </c>
      <c r="J785">
        <v>1.03007</v>
      </c>
      <c r="K785">
        <v>1.03799</v>
      </c>
      <c r="L785">
        <v>1.01746</v>
      </c>
      <c r="M785">
        <v>0.93329</v>
      </c>
      <c r="N785">
        <v>1.01698</v>
      </c>
      <c r="O785">
        <v>1.0083</v>
      </c>
      <c r="P785">
        <v>0.95835</v>
      </c>
      <c r="Q785">
        <v>1</v>
      </c>
      <c r="R785">
        <v>1.12039</v>
      </c>
      <c r="S785">
        <v>1.02671</v>
      </c>
      <c r="T785">
        <v>1.03246</v>
      </c>
      <c r="U785">
        <v>1</v>
      </c>
      <c r="V785">
        <v>25.596</v>
      </c>
      <c r="W785">
        <v>6.473</v>
      </c>
      <c r="X785">
        <v>145.887</v>
      </c>
      <c r="Y785">
        <v>60.711</v>
      </c>
      <c r="Z785">
        <v>37.968</v>
      </c>
      <c r="AA785">
        <v>276.635</v>
      </c>
      <c r="AB785">
        <v>1.02831</v>
      </c>
      <c r="AC785">
        <v>286</v>
      </c>
      <c r="AD785">
        <v>0</v>
      </c>
      <c r="AG785">
        <v>22</v>
      </c>
      <c r="AH785">
        <v>2</v>
      </c>
      <c r="AI785">
        <v>154</v>
      </c>
      <c r="AJ785">
        <v>68</v>
      </c>
      <c r="AK785">
        <v>40</v>
      </c>
    </row>
    <row r="786" spans="1:37">
      <c r="A786" t="s">
        <v>477</v>
      </c>
      <c r="B786" t="s">
        <v>1755</v>
      </c>
      <c r="C786">
        <v>16.7</v>
      </c>
      <c r="D786" t="s">
        <v>1475</v>
      </c>
      <c r="E786">
        <v>27</v>
      </c>
      <c r="F786">
        <v>0</v>
      </c>
      <c r="G786">
        <v>0</v>
      </c>
      <c r="I786">
        <v>1.14654</v>
      </c>
      <c r="J786">
        <v>1.02534</v>
      </c>
      <c r="K786">
        <v>1.03799</v>
      </c>
      <c r="L786">
        <v>1.01674</v>
      </c>
      <c r="M786">
        <v>0.90718</v>
      </c>
      <c r="N786">
        <v>1.00573</v>
      </c>
      <c r="O786">
        <v>0.9983300000000001</v>
      </c>
      <c r="P786">
        <v>0.9588</v>
      </c>
      <c r="Q786">
        <v>1</v>
      </c>
      <c r="R786">
        <v>1.02201</v>
      </c>
      <c r="S786">
        <v>1.02582</v>
      </c>
      <c r="T786">
        <v>1.0337</v>
      </c>
      <c r="U786">
        <v>1</v>
      </c>
      <c r="V786">
        <v>25.464</v>
      </c>
      <c r="W786">
        <v>7.514</v>
      </c>
      <c r="X786">
        <v>125.457</v>
      </c>
      <c r="Y786">
        <v>54.67</v>
      </c>
      <c r="Z786">
        <v>35.688</v>
      </c>
      <c r="AA786">
        <v>248.793</v>
      </c>
      <c r="AB786">
        <v>1.01056</v>
      </c>
      <c r="AC786">
        <v>257</v>
      </c>
      <c r="AD786">
        <v>0</v>
      </c>
      <c r="AG786">
        <v>31</v>
      </c>
      <c r="AH786">
        <v>9</v>
      </c>
      <c r="AI786">
        <v>141</v>
      </c>
      <c r="AJ786">
        <v>48</v>
      </c>
      <c r="AK786">
        <v>28</v>
      </c>
    </row>
    <row r="787" spans="1:37">
      <c r="A787" t="s">
        <v>1204</v>
      </c>
      <c r="B787" t="s">
        <v>1751</v>
      </c>
      <c r="C787">
        <v>16.6</v>
      </c>
      <c r="D787" t="s">
        <v>1475</v>
      </c>
      <c r="E787">
        <v>28</v>
      </c>
      <c r="F787">
        <v>0</v>
      </c>
      <c r="G787">
        <v>0</v>
      </c>
      <c r="I787">
        <v>1.14672</v>
      </c>
      <c r="J787">
        <v>1.0203</v>
      </c>
      <c r="K787">
        <v>1.03799</v>
      </c>
      <c r="L787">
        <v>1.01594</v>
      </c>
      <c r="M787">
        <v>0.85703</v>
      </c>
      <c r="N787">
        <v>0.99557</v>
      </c>
      <c r="O787">
        <v>0.9019200000000001</v>
      </c>
      <c r="P787">
        <v>0.96779</v>
      </c>
      <c r="Q787">
        <v>1</v>
      </c>
      <c r="R787">
        <v>1</v>
      </c>
      <c r="S787">
        <v>1.1019</v>
      </c>
      <c r="T787">
        <v>1.07129</v>
      </c>
      <c r="U787">
        <v>1</v>
      </c>
      <c r="V787">
        <v>88.633</v>
      </c>
      <c r="W787">
        <v>21.461</v>
      </c>
      <c r="X787">
        <v>89.52</v>
      </c>
      <c r="Y787">
        <v>19.544</v>
      </c>
      <c r="Z787">
        <v>32.47</v>
      </c>
      <c r="AA787">
        <v>251.626</v>
      </c>
      <c r="AB787">
        <v>1.08927</v>
      </c>
      <c r="AC787">
        <v>291</v>
      </c>
      <c r="AD787">
        <v>1</v>
      </c>
      <c r="AG787">
        <v>105</v>
      </c>
      <c r="AH787">
        <v>29</v>
      </c>
      <c r="AI787">
        <v>105</v>
      </c>
      <c r="AJ787">
        <v>19</v>
      </c>
      <c r="AK787">
        <v>33</v>
      </c>
    </row>
    <row r="788" spans="1:37">
      <c r="A788" t="s">
        <v>1205</v>
      </c>
      <c r="B788" t="s">
        <v>1751</v>
      </c>
      <c r="C788">
        <v>16.4</v>
      </c>
      <c r="D788" t="s">
        <v>1475</v>
      </c>
      <c r="E788">
        <v>29</v>
      </c>
      <c r="F788">
        <v>0</v>
      </c>
      <c r="G788">
        <v>0</v>
      </c>
      <c r="I788">
        <v>1.14691</v>
      </c>
      <c r="J788">
        <v>1.00449</v>
      </c>
      <c r="K788">
        <v>1.03799</v>
      </c>
      <c r="L788">
        <v>1.01508</v>
      </c>
      <c r="M788">
        <v>0.88645</v>
      </c>
      <c r="N788">
        <v>0.99369</v>
      </c>
      <c r="O788">
        <v>0.90766</v>
      </c>
      <c r="P788">
        <v>0.96787</v>
      </c>
      <c r="Q788">
        <v>1</v>
      </c>
      <c r="R788">
        <v>1</v>
      </c>
      <c r="S788">
        <v>1</v>
      </c>
      <c r="T788">
        <v>1.07244</v>
      </c>
      <c r="U788">
        <v>1</v>
      </c>
      <c r="V788">
        <v>83.047</v>
      </c>
      <c r="W788">
        <v>18.36</v>
      </c>
      <c r="X788">
        <v>81.67100000000001</v>
      </c>
      <c r="Y788">
        <v>19</v>
      </c>
      <c r="Z788">
        <v>29.062</v>
      </c>
      <c r="AA788">
        <v>231.14</v>
      </c>
      <c r="AB788">
        <v>0.94531</v>
      </c>
      <c r="AC788">
        <v>229</v>
      </c>
      <c r="AD788">
        <v>0</v>
      </c>
      <c r="AG788">
        <v>79</v>
      </c>
      <c r="AH788">
        <v>25</v>
      </c>
      <c r="AI788">
        <v>77</v>
      </c>
      <c r="AJ788">
        <v>22</v>
      </c>
      <c r="AK788">
        <v>26</v>
      </c>
    </row>
    <row r="789" spans="1:37">
      <c r="A789" t="s">
        <v>1206</v>
      </c>
      <c r="B789" t="s">
        <v>1751</v>
      </c>
      <c r="C789">
        <v>18.5</v>
      </c>
      <c r="D789" t="s">
        <v>1475</v>
      </c>
      <c r="E789">
        <v>30</v>
      </c>
      <c r="F789">
        <v>0</v>
      </c>
      <c r="G789">
        <v>0</v>
      </c>
      <c r="I789">
        <v>1.1471</v>
      </c>
      <c r="J789">
        <v>1.00915</v>
      </c>
      <c r="K789">
        <v>1.03799</v>
      </c>
      <c r="L789">
        <v>1.01416</v>
      </c>
      <c r="M789">
        <v>0.93114</v>
      </c>
      <c r="N789">
        <v>1.02036</v>
      </c>
      <c r="O789">
        <v>0.92125</v>
      </c>
      <c r="P789">
        <v>0.9666400000000001</v>
      </c>
      <c r="Q789">
        <v>1</v>
      </c>
      <c r="R789">
        <v>1</v>
      </c>
      <c r="S789">
        <v>1</v>
      </c>
      <c r="T789">
        <v>1.06741</v>
      </c>
      <c r="U789">
        <v>1</v>
      </c>
      <c r="V789">
        <v>81.70399999999999</v>
      </c>
      <c r="W789">
        <v>17.51</v>
      </c>
      <c r="X789">
        <v>96.13500000000001</v>
      </c>
      <c r="Y789">
        <v>23.03</v>
      </c>
      <c r="Z789">
        <v>31.805</v>
      </c>
      <c r="AA789">
        <v>250.184</v>
      </c>
      <c r="AB789">
        <v>1.01711</v>
      </c>
      <c r="AC789">
        <v>256</v>
      </c>
      <c r="AD789">
        <v>0</v>
      </c>
      <c r="AG789">
        <v>88</v>
      </c>
      <c r="AH789">
        <v>22</v>
      </c>
      <c r="AI789">
        <v>87</v>
      </c>
      <c r="AJ789">
        <v>23</v>
      </c>
      <c r="AK789">
        <v>36</v>
      </c>
    </row>
    <row r="790" spans="1:37">
      <c r="A790" t="s">
        <v>1207</v>
      </c>
      <c r="B790" t="s">
        <v>1752</v>
      </c>
      <c r="C790">
        <v>19.2</v>
      </c>
      <c r="D790" t="s">
        <v>1475</v>
      </c>
      <c r="E790">
        <v>0</v>
      </c>
      <c r="F790">
        <v>0</v>
      </c>
      <c r="G790">
        <v>0</v>
      </c>
      <c r="I790">
        <v>1.14728</v>
      </c>
      <c r="J790">
        <v>1.00672</v>
      </c>
      <c r="K790">
        <v>1.03799</v>
      </c>
      <c r="L790">
        <v>1.0132</v>
      </c>
      <c r="M790">
        <v>1.18382</v>
      </c>
      <c r="N790">
        <v>1.03946</v>
      </c>
      <c r="O790">
        <v>0.96228</v>
      </c>
      <c r="P790">
        <v>1.0731</v>
      </c>
      <c r="Q790">
        <v>1</v>
      </c>
      <c r="R790">
        <v>1</v>
      </c>
      <c r="S790">
        <v>1</v>
      </c>
      <c r="T790">
        <v>1.05235</v>
      </c>
      <c r="U790">
        <v>1</v>
      </c>
      <c r="V790">
        <v>79.596</v>
      </c>
      <c r="W790">
        <v>15.713</v>
      </c>
      <c r="X790">
        <v>169.022</v>
      </c>
      <c r="Y790">
        <v>45.32</v>
      </c>
      <c r="Z790">
        <v>43.37</v>
      </c>
      <c r="AA790">
        <v>353.022</v>
      </c>
      <c r="AB790">
        <v>1.10125</v>
      </c>
      <c r="AC790">
        <v>398</v>
      </c>
      <c r="AD790">
        <v>0</v>
      </c>
      <c r="AG790">
        <v>97</v>
      </c>
      <c r="AH790">
        <v>25</v>
      </c>
      <c r="AI790">
        <v>180</v>
      </c>
      <c r="AJ790">
        <v>41</v>
      </c>
      <c r="AK790">
        <v>55</v>
      </c>
    </row>
    <row r="791" spans="1:37">
      <c r="A791" t="s">
        <v>1208</v>
      </c>
      <c r="B791" t="s">
        <v>1753</v>
      </c>
      <c r="C791">
        <v>20.6</v>
      </c>
      <c r="D791" t="s">
        <v>1475</v>
      </c>
      <c r="E791">
        <v>1</v>
      </c>
      <c r="F791">
        <v>0</v>
      </c>
      <c r="G791">
        <v>0</v>
      </c>
      <c r="I791">
        <v>1.14747</v>
      </c>
      <c r="J791">
        <v>0.9949</v>
      </c>
      <c r="K791">
        <v>1.03799</v>
      </c>
      <c r="L791">
        <v>1.01221</v>
      </c>
      <c r="M791">
        <v>1.04283</v>
      </c>
      <c r="N791">
        <v>1.06747</v>
      </c>
      <c r="O791">
        <v>1.01691</v>
      </c>
      <c r="P791">
        <v>1.0572</v>
      </c>
      <c r="Q791">
        <v>1</v>
      </c>
      <c r="R791">
        <v>1.10964</v>
      </c>
      <c r="S791">
        <v>1</v>
      </c>
      <c r="T791">
        <v>1.02716</v>
      </c>
      <c r="U791">
        <v>1</v>
      </c>
      <c r="V791">
        <v>18.632</v>
      </c>
      <c r="W791">
        <v>6.692</v>
      </c>
      <c r="X791">
        <v>176.876</v>
      </c>
      <c r="Y791">
        <v>76.779</v>
      </c>
      <c r="Z791">
        <v>48.577</v>
      </c>
      <c r="AA791">
        <v>327.556</v>
      </c>
      <c r="AB791">
        <v>0.99901</v>
      </c>
      <c r="AC791">
        <v>299</v>
      </c>
      <c r="AD791">
        <v>0</v>
      </c>
      <c r="AG791">
        <v>21</v>
      </c>
      <c r="AH791">
        <v>6</v>
      </c>
      <c r="AI791">
        <v>162</v>
      </c>
      <c r="AJ791">
        <v>71</v>
      </c>
      <c r="AK791">
        <v>39</v>
      </c>
    </row>
    <row r="792" spans="1:37">
      <c r="A792" t="s">
        <v>1209</v>
      </c>
      <c r="B792" t="s">
        <v>1756</v>
      </c>
      <c r="C792">
        <v>20.5</v>
      </c>
      <c r="D792" t="s">
        <v>1475</v>
      </c>
      <c r="E792">
        <v>2</v>
      </c>
      <c r="F792">
        <v>1</v>
      </c>
      <c r="G792">
        <v>0</v>
      </c>
      <c r="I792">
        <v>1.14766</v>
      </c>
      <c r="J792">
        <v>0.98932</v>
      </c>
      <c r="K792">
        <v>0.99134</v>
      </c>
      <c r="L792">
        <v>1.01119</v>
      </c>
      <c r="M792">
        <v>1.03097</v>
      </c>
      <c r="N792">
        <v>1.0582</v>
      </c>
      <c r="O792">
        <v>1.00944</v>
      </c>
      <c r="P792">
        <v>1.03847</v>
      </c>
      <c r="Q792">
        <v>0.95929</v>
      </c>
      <c r="R792">
        <v>1</v>
      </c>
      <c r="S792">
        <v>1</v>
      </c>
      <c r="T792">
        <v>1.02556</v>
      </c>
      <c r="U792">
        <v>1</v>
      </c>
      <c r="V792">
        <v>12.586</v>
      </c>
      <c r="W792">
        <v>5.411</v>
      </c>
      <c r="X792">
        <v>133.378</v>
      </c>
      <c r="Y792">
        <v>43.832</v>
      </c>
      <c r="Z792">
        <v>47.096</v>
      </c>
      <c r="AA792">
        <v>242.303</v>
      </c>
      <c r="AB792">
        <v>0.96441</v>
      </c>
      <c r="AC792">
        <v>240</v>
      </c>
      <c r="AD792">
        <v>0</v>
      </c>
      <c r="AG792">
        <v>8</v>
      </c>
      <c r="AH792">
        <v>5</v>
      </c>
      <c r="AI792">
        <v>140</v>
      </c>
      <c r="AJ792">
        <v>43</v>
      </c>
      <c r="AK792">
        <v>44</v>
      </c>
    </row>
    <row r="793" spans="1:37">
      <c r="A793" t="s">
        <v>478</v>
      </c>
      <c r="B793" t="s">
        <v>1756</v>
      </c>
      <c r="C793">
        <v>20.9</v>
      </c>
      <c r="D793" t="s">
        <v>82</v>
      </c>
      <c r="E793">
        <v>3</v>
      </c>
      <c r="F793">
        <v>2</v>
      </c>
      <c r="G793">
        <v>0</v>
      </c>
      <c r="I793">
        <v>1.14784</v>
      </c>
      <c r="J793">
        <v>0.97371</v>
      </c>
      <c r="K793">
        <v>0.99134</v>
      </c>
      <c r="L793">
        <v>1.01017</v>
      </c>
      <c r="M793">
        <v>0.92945</v>
      </c>
      <c r="N793">
        <v>1.05074</v>
      </c>
      <c r="O793">
        <v>1</v>
      </c>
      <c r="P793">
        <v>1.02418</v>
      </c>
      <c r="Q793">
        <v>0.81205</v>
      </c>
      <c r="R793">
        <v>1</v>
      </c>
      <c r="S793">
        <v>1</v>
      </c>
      <c r="T793">
        <v>1.03276</v>
      </c>
      <c r="U793">
        <v>1</v>
      </c>
      <c r="V793">
        <v>22.652</v>
      </c>
      <c r="W793">
        <v>15.447</v>
      </c>
      <c r="X793">
        <v>112.941</v>
      </c>
      <c r="Y793">
        <v>26.63</v>
      </c>
      <c r="Z793">
        <v>43.947</v>
      </c>
      <c r="AA793">
        <v>221.617</v>
      </c>
      <c r="AB793">
        <v>1.00482</v>
      </c>
      <c r="AC793">
        <v>250</v>
      </c>
      <c r="AD793">
        <v>0</v>
      </c>
      <c r="AG793">
        <v>32</v>
      </c>
      <c r="AH793">
        <v>14</v>
      </c>
      <c r="AI793">
        <v>118</v>
      </c>
      <c r="AJ793">
        <v>29</v>
      </c>
      <c r="AK793">
        <v>57</v>
      </c>
    </row>
    <row r="794" spans="1:37">
      <c r="A794" t="s">
        <v>1210</v>
      </c>
      <c r="B794" t="s">
        <v>1756</v>
      </c>
      <c r="C794">
        <v>19</v>
      </c>
      <c r="D794" t="s">
        <v>82</v>
      </c>
      <c r="E794">
        <v>4</v>
      </c>
      <c r="F794">
        <v>3</v>
      </c>
      <c r="G794">
        <v>0</v>
      </c>
      <c r="I794">
        <v>1.14803</v>
      </c>
      <c r="J794">
        <v>0.993</v>
      </c>
      <c r="K794">
        <v>0.99134</v>
      </c>
      <c r="L794">
        <v>1.00913</v>
      </c>
      <c r="M794">
        <v>0.91934</v>
      </c>
      <c r="N794">
        <v>1.03011</v>
      </c>
      <c r="O794">
        <v>1</v>
      </c>
      <c r="P794">
        <v>1.01618</v>
      </c>
      <c r="Q794">
        <v>0.83375</v>
      </c>
      <c r="R794">
        <v>1</v>
      </c>
      <c r="S794">
        <v>1</v>
      </c>
      <c r="T794">
        <v>1.03301</v>
      </c>
      <c r="U794">
        <v>1</v>
      </c>
      <c r="V794">
        <v>23.344</v>
      </c>
      <c r="W794">
        <v>16.205</v>
      </c>
      <c r="X794">
        <v>114.162</v>
      </c>
      <c r="Y794">
        <v>26.421</v>
      </c>
      <c r="Z794">
        <v>44.588</v>
      </c>
      <c r="AA794">
        <v>224.721</v>
      </c>
      <c r="AB794">
        <v>1.04884</v>
      </c>
      <c r="AC794">
        <v>224</v>
      </c>
      <c r="AD794">
        <v>0</v>
      </c>
      <c r="AG794">
        <v>17</v>
      </c>
      <c r="AH794">
        <v>14</v>
      </c>
      <c r="AI794">
        <v>120</v>
      </c>
      <c r="AJ794">
        <v>28</v>
      </c>
      <c r="AK794">
        <v>45</v>
      </c>
    </row>
    <row r="795" spans="1:37">
      <c r="A795" t="s">
        <v>1211</v>
      </c>
      <c r="B795" t="s">
        <v>1756</v>
      </c>
      <c r="C795">
        <v>18.1</v>
      </c>
      <c r="D795" t="s">
        <v>82</v>
      </c>
      <c r="E795">
        <v>5</v>
      </c>
      <c r="F795">
        <v>4</v>
      </c>
      <c r="G795">
        <v>0</v>
      </c>
      <c r="I795">
        <v>1.14821</v>
      </c>
      <c r="J795">
        <v>0.99156</v>
      </c>
      <c r="K795">
        <v>0.99134</v>
      </c>
      <c r="L795">
        <v>1.00811</v>
      </c>
      <c r="M795">
        <v>0.9364</v>
      </c>
      <c r="N795">
        <v>1.01747</v>
      </c>
      <c r="O795">
        <v>1</v>
      </c>
      <c r="P795">
        <v>1.01085</v>
      </c>
      <c r="Q795">
        <v>0.8616200000000001</v>
      </c>
      <c r="R795">
        <v>1</v>
      </c>
      <c r="S795">
        <v>1</v>
      </c>
      <c r="T795">
        <v>1.03303</v>
      </c>
      <c r="U795">
        <v>1</v>
      </c>
      <c r="V795">
        <v>24.016</v>
      </c>
      <c r="W795">
        <v>16.651</v>
      </c>
      <c r="X795">
        <v>117.802</v>
      </c>
      <c r="Y795">
        <v>27.685</v>
      </c>
      <c r="Z795">
        <v>45.442</v>
      </c>
      <c r="AA795">
        <v>231.595</v>
      </c>
      <c r="AB795">
        <v>1.05324</v>
      </c>
      <c r="AC795">
        <v>250</v>
      </c>
      <c r="AD795">
        <v>0</v>
      </c>
      <c r="AG795">
        <v>21</v>
      </c>
      <c r="AH795">
        <v>19</v>
      </c>
      <c r="AI795">
        <v>139</v>
      </c>
      <c r="AJ795">
        <v>23</v>
      </c>
      <c r="AK795">
        <v>48</v>
      </c>
    </row>
    <row r="796" spans="1:37">
      <c r="A796" t="s">
        <v>1212</v>
      </c>
      <c r="B796" t="s">
        <v>1756</v>
      </c>
      <c r="C796">
        <v>19.6</v>
      </c>
      <c r="D796" t="s">
        <v>82</v>
      </c>
      <c r="E796">
        <v>6</v>
      </c>
      <c r="F796">
        <v>5</v>
      </c>
      <c r="G796">
        <v>0</v>
      </c>
      <c r="I796">
        <v>1.1484</v>
      </c>
      <c r="J796">
        <v>0.98765</v>
      </c>
      <c r="K796">
        <v>0.99134</v>
      </c>
      <c r="L796">
        <v>1.00711</v>
      </c>
      <c r="M796">
        <v>0.96698</v>
      </c>
      <c r="N796">
        <v>1.03953</v>
      </c>
      <c r="O796">
        <v>1</v>
      </c>
      <c r="P796">
        <v>1.00733</v>
      </c>
      <c r="Q796">
        <v>0.90783</v>
      </c>
      <c r="R796">
        <v>1</v>
      </c>
      <c r="S796">
        <v>1</v>
      </c>
      <c r="T796">
        <v>1.03224</v>
      </c>
      <c r="U796">
        <v>1</v>
      </c>
      <c r="V796">
        <v>24.436</v>
      </c>
      <c r="W796">
        <v>16.72</v>
      </c>
      <c r="X796">
        <v>129.36</v>
      </c>
      <c r="Y796">
        <v>30.7</v>
      </c>
      <c r="Z796">
        <v>48.599</v>
      </c>
      <c r="AA796">
        <v>249.815</v>
      </c>
      <c r="AB796">
        <v>0.99941</v>
      </c>
      <c r="AC796">
        <v>239</v>
      </c>
      <c r="AD796">
        <v>0</v>
      </c>
      <c r="AG796">
        <v>24</v>
      </c>
      <c r="AH796">
        <v>11</v>
      </c>
      <c r="AI796">
        <v>133</v>
      </c>
      <c r="AJ796">
        <v>25</v>
      </c>
      <c r="AK796">
        <v>46</v>
      </c>
    </row>
    <row r="797" spans="1:37">
      <c r="A797" t="s">
        <v>1213</v>
      </c>
      <c r="B797" t="s">
        <v>1756</v>
      </c>
      <c r="C797">
        <v>18.9</v>
      </c>
      <c r="D797" t="s">
        <v>82</v>
      </c>
      <c r="E797">
        <v>7</v>
      </c>
      <c r="F797">
        <v>6</v>
      </c>
      <c r="G797">
        <v>0</v>
      </c>
      <c r="I797">
        <v>1.14859</v>
      </c>
      <c r="J797">
        <v>0.9971</v>
      </c>
      <c r="K797">
        <v>0.99134</v>
      </c>
      <c r="L797">
        <v>1.00614</v>
      </c>
      <c r="M797">
        <v>1.09413</v>
      </c>
      <c r="N797">
        <v>1.03464</v>
      </c>
      <c r="O797">
        <v>1</v>
      </c>
      <c r="P797">
        <v>1.00499</v>
      </c>
      <c r="Q797">
        <v>0.98009</v>
      </c>
      <c r="R797">
        <v>1</v>
      </c>
      <c r="S797">
        <v>1</v>
      </c>
      <c r="T797">
        <v>1.03069</v>
      </c>
      <c r="U797">
        <v>1</v>
      </c>
      <c r="V797">
        <v>24.758</v>
      </c>
      <c r="W797">
        <v>16.211</v>
      </c>
      <c r="X797">
        <v>157.148</v>
      </c>
      <c r="Y797">
        <v>39.188</v>
      </c>
      <c r="Z797">
        <v>53.376</v>
      </c>
      <c r="AA797">
        <v>290.682</v>
      </c>
      <c r="AB797">
        <v>1.0402</v>
      </c>
      <c r="AC797">
        <v>320</v>
      </c>
      <c r="AD797">
        <v>0</v>
      </c>
      <c r="AG797">
        <v>37</v>
      </c>
      <c r="AH797">
        <v>19</v>
      </c>
      <c r="AI797">
        <v>167</v>
      </c>
      <c r="AJ797">
        <v>40</v>
      </c>
      <c r="AK797">
        <v>57</v>
      </c>
    </row>
    <row r="798" spans="1:37">
      <c r="A798" t="s">
        <v>1214</v>
      </c>
      <c r="B798" t="s">
        <v>1756</v>
      </c>
      <c r="C798">
        <v>19.4</v>
      </c>
      <c r="D798" t="s">
        <v>82</v>
      </c>
      <c r="E798">
        <v>8</v>
      </c>
      <c r="F798">
        <v>7</v>
      </c>
      <c r="G798">
        <v>0</v>
      </c>
      <c r="I798">
        <v>1.14877</v>
      </c>
      <c r="J798">
        <v>1.00197</v>
      </c>
      <c r="K798">
        <v>0.99134</v>
      </c>
      <c r="L798">
        <v>1.00521</v>
      </c>
      <c r="M798">
        <v>1.05671</v>
      </c>
      <c r="N798">
        <v>1.04318</v>
      </c>
      <c r="O798">
        <v>1</v>
      </c>
      <c r="P798">
        <v>1.00347</v>
      </c>
      <c r="Q798">
        <v>1.10269</v>
      </c>
      <c r="R798">
        <v>1</v>
      </c>
      <c r="S798">
        <v>1</v>
      </c>
      <c r="T798">
        <v>1.02525</v>
      </c>
      <c r="U798">
        <v>1</v>
      </c>
      <c r="V798">
        <v>14.019</v>
      </c>
      <c r="W798">
        <v>11.684</v>
      </c>
      <c r="X798">
        <v>154.327</v>
      </c>
      <c r="Y798">
        <v>47.484</v>
      </c>
      <c r="Z798">
        <v>55.745</v>
      </c>
      <c r="AA798">
        <v>283.259</v>
      </c>
      <c r="AB798">
        <v>0.93897</v>
      </c>
      <c r="AC798">
        <v>259</v>
      </c>
      <c r="AD798">
        <v>0</v>
      </c>
      <c r="AG798">
        <v>13</v>
      </c>
      <c r="AH798">
        <v>10</v>
      </c>
      <c r="AI798">
        <v>138</v>
      </c>
      <c r="AJ798">
        <v>44</v>
      </c>
      <c r="AK798">
        <v>54</v>
      </c>
    </row>
    <row r="799" spans="1:37">
      <c r="A799" t="s">
        <v>1215</v>
      </c>
      <c r="B799" t="s">
        <v>1756</v>
      </c>
      <c r="C799">
        <v>21</v>
      </c>
      <c r="D799" t="s">
        <v>82</v>
      </c>
      <c r="E799">
        <v>9</v>
      </c>
      <c r="F799">
        <v>8</v>
      </c>
      <c r="G799">
        <v>0</v>
      </c>
      <c r="I799">
        <v>1.14896</v>
      </c>
      <c r="J799">
        <v>1.01</v>
      </c>
      <c r="K799">
        <v>0.99134</v>
      </c>
      <c r="L799">
        <v>1.00433</v>
      </c>
      <c r="M799">
        <v>1.01513</v>
      </c>
      <c r="N799">
        <v>1.05852</v>
      </c>
      <c r="O799">
        <v>1</v>
      </c>
      <c r="P799">
        <v>1.0023</v>
      </c>
      <c r="Q799">
        <v>1.06196</v>
      </c>
      <c r="R799">
        <v>1</v>
      </c>
      <c r="S799">
        <v>1</v>
      </c>
      <c r="T799">
        <v>1.02639</v>
      </c>
      <c r="U799">
        <v>1</v>
      </c>
      <c r="V799">
        <v>15.981</v>
      </c>
      <c r="W799">
        <v>14.094</v>
      </c>
      <c r="X799">
        <v>148.14</v>
      </c>
      <c r="Y799">
        <v>45.157</v>
      </c>
      <c r="Z799">
        <v>54.603</v>
      </c>
      <c r="AA799">
        <v>277.975</v>
      </c>
      <c r="AB799">
        <v>1.06749</v>
      </c>
      <c r="AC799">
        <v>305</v>
      </c>
      <c r="AD799">
        <v>0</v>
      </c>
      <c r="AG799">
        <v>22</v>
      </c>
      <c r="AH799">
        <v>15</v>
      </c>
      <c r="AI799">
        <v>154</v>
      </c>
      <c r="AJ799">
        <v>55</v>
      </c>
      <c r="AK799">
        <v>59</v>
      </c>
    </row>
    <row r="800" spans="1:37">
      <c r="A800" t="s">
        <v>479</v>
      </c>
      <c r="B800" t="s">
        <v>1756</v>
      </c>
      <c r="C800">
        <v>20.9</v>
      </c>
      <c r="D800" t="s">
        <v>82</v>
      </c>
      <c r="E800">
        <v>10</v>
      </c>
      <c r="F800">
        <v>9</v>
      </c>
      <c r="G800">
        <v>0</v>
      </c>
      <c r="I800">
        <v>1.14915</v>
      </c>
      <c r="J800">
        <v>1.00418</v>
      </c>
      <c r="K800">
        <v>0.99134</v>
      </c>
      <c r="L800">
        <v>1.00351</v>
      </c>
      <c r="M800">
        <v>0.92966</v>
      </c>
      <c r="N800">
        <v>1.0506</v>
      </c>
      <c r="O800">
        <v>1</v>
      </c>
      <c r="P800">
        <v>1.00147</v>
      </c>
      <c r="Q800">
        <v>0.91851</v>
      </c>
      <c r="R800">
        <v>1</v>
      </c>
      <c r="S800">
        <v>1</v>
      </c>
      <c r="T800">
        <v>1.03303</v>
      </c>
      <c r="U800">
        <v>1</v>
      </c>
      <c r="V800">
        <v>26.202</v>
      </c>
      <c r="W800">
        <v>17.779</v>
      </c>
      <c r="X800">
        <v>128.381</v>
      </c>
      <c r="Y800">
        <v>30.269</v>
      </c>
      <c r="Z800">
        <v>49.953</v>
      </c>
      <c r="AA800">
        <v>252.584</v>
      </c>
      <c r="AB800">
        <v>1.11234</v>
      </c>
      <c r="AC800">
        <v>277</v>
      </c>
      <c r="AD800">
        <v>0</v>
      </c>
      <c r="AG800">
        <v>35</v>
      </c>
      <c r="AH800">
        <v>16</v>
      </c>
      <c r="AI800">
        <v>144</v>
      </c>
      <c r="AJ800">
        <v>30</v>
      </c>
      <c r="AK800">
        <v>52</v>
      </c>
    </row>
    <row r="801" spans="1:37">
      <c r="A801" t="s">
        <v>1216</v>
      </c>
      <c r="B801" t="s">
        <v>1756</v>
      </c>
      <c r="C801">
        <v>20.4</v>
      </c>
      <c r="D801" t="s">
        <v>82</v>
      </c>
      <c r="E801">
        <v>11</v>
      </c>
      <c r="F801">
        <v>10</v>
      </c>
      <c r="G801">
        <v>0</v>
      </c>
      <c r="I801">
        <v>1.14933</v>
      </c>
      <c r="J801">
        <v>0.99061</v>
      </c>
      <c r="K801">
        <v>0.99134</v>
      </c>
      <c r="L801">
        <v>1.00276</v>
      </c>
      <c r="M801">
        <v>0.91935</v>
      </c>
      <c r="N801">
        <v>1.04608</v>
      </c>
      <c r="O801">
        <v>1</v>
      </c>
      <c r="P801">
        <v>1.00099</v>
      </c>
      <c r="Q801">
        <v>0.91834</v>
      </c>
      <c r="R801">
        <v>1</v>
      </c>
      <c r="S801">
        <v>1</v>
      </c>
      <c r="T801">
        <v>1.03294</v>
      </c>
      <c r="U801">
        <v>1</v>
      </c>
      <c r="V801">
        <v>25.33</v>
      </c>
      <c r="W801">
        <v>17.524</v>
      </c>
      <c r="X801">
        <v>124.748</v>
      </c>
      <c r="Y801">
        <v>28.721</v>
      </c>
      <c r="Z801">
        <v>48.851</v>
      </c>
      <c r="AA801">
        <v>245.174</v>
      </c>
      <c r="AB801">
        <v>0.98063</v>
      </c>
      <c r="AC801">
        <v>220</v>
      </c>
      <c r="AD801">
        <v>0</v>
      </c>
      <c r="AG801">
        <v>29</v>
      </c>
      <c r="AH801">
        <v>17</v>
      </c>
      <c r="AI801">
        <v>113</v>
      </c>
      <c r="AJ801">
        <v>28</v>
      </c>
      <c r="AK801">
        <v>33</v>
      </c>
    </row>
    <row r="802" spans="1:37">
      <c r="A802" t="s">
        <v>1217</v>
      </c>
      <c r="B802" t="s">
        <v>1756</v>
      </c>
      <c r="C802">
        <v>20.6</v>
      </c>
      <c r="D802" t="s">
        <v>82</v>
      </c>
      <c r="E802">
        <v>12</v>
      </c>
      <c r="F802">
        <v>11</v>
      </c>
      <c r="G802">
        <v>0</v>
      </c>
      <c r="I802">
        <v>1.14952</v>
      </c>
      <c r="J802">
        <v>1.00036</v>
      </c>
      <c r="K802">
        <v>0.99134</v>
      </c>
      <c r="L802">
        <v>1.00209</v>
      </c>
      <c r="M802">
        <v>0.93626</v>
      </c>
      <c r="N802">
        <v>1.04854</v>
      </c>
      <c r="O802">
        <v>1</v>
      </c>
      <c r="P802">
        <v>1.00066</v>
      </c>
      <c r="Q802">
        <v>0.92438</v>
      </c>
      <c r="R802">
        <v>1</v>
      </c>
      <c r="S802">
        <v>1</v>
      </c>
      <c r="T802">
        <v>1.0327</v>
      </c>
      <c r="U802">
        <v>1</v>
      </c>
      <c r="V802">
        <v>25.563</v>
      </c>
      <c r="W802">
        <v>17.684</v>
      </c>
      <c r="X802">
        <v>129.191</v>
      </c>
      <c r="Y802">
        <v>30.044</v>
      </c>
      <c r="Z802">
        <v>49.876</v>
      </c>
      <c r="AA802">
        <v>252.359</v>
      </c>
      <c r="AB802">
        <v>0.88131</v>
      </c>
      <c r="AC802">
        <v>214</v>
      </c>
      <c r="AD802">
        <v>0</v>
      </c>
      <c r="AG802">
        <v>27</v>
      </c>
      <c r="AH802">
        <v>12</v>
      </c>
      <c r="AI802">
        <v>118</v>
      </c>
      <c r="AJ802">
        <v>21</v>
      </c>
      <c r="AK802">
        <v>36</v>
      </c>
    </row>
    <row r="803" spans="1:37">
      <c r="A803" t="s">
        <v>1218</v>
      </c>
      <c r="B803" t="s">
        <v>1756</v>
      </c>
      <c r="C803">
        <v>20.4</v>
      </c>
      <c r="D803" t="s">
        <v>82</v>
      </c>
      <c r="E803">
        <v>13</v>
      </c>
      <c r="F803">
        <v>12</v>
      </c>
      <c r="G803">
        <v>0</v>
      </c>
      <c r="I803">
        <v>1.14971</v>
      </c>
      <c r="J803">
        <v>0.99574</v>
      </c>
      <c r="K803">
        <v>0.99134</v>
      </c>
      <c r="L803">
        <v>1.0015</v>
      </c>
      <c r="M803">
        <v>0.96701</v>
      </c>
      <c r="N803">
        <v>1.048</v>
      </c>
      <c r="O803">
        <v>1</v>
      </c>
      <c r="P803">
        <v>1.00045</v>
      </c>
      <c r="Q803">
        <v>0.9372200000000001</v>
      </c>
      <c r="R803">
        <v>1</v>
      </c>
      <c r="S803">
        <v>1</v>
      </c>
      <c r="T803">
        <v>1.03221</v>
      </c>
      <c r="U803">
        <v>1</v>
      </c>
      <c r="V803">
        <v>25.228</v>
      </c>
      <c r="W803">
        <v>17.236</v>
      </c>
      <c r="X803">
        <v>134.112</v>
      </c>
      <c r="Y803">
        <v>31.744</v>
      </c>
      <c r="Z803">
        <v>50.52</v>
      </c>
      <c r="AA803">
        <v>258.84</v>
      </c>
      <c r="AB803">
        <v>0.9562</v>
      </c>
      <c r="AC803">
        <v>244</v>
      </c>
      <c r="AD803">
        <v>0</v>
      </c>
      <c r="AG803">
        <v>20</v>
      </c>
      <c r="AH803">
        <v>15</v>
      </c>
      <c r="AI803">
        <v>125</v>
      </c>
      <c r="AJ803">
        <v>27</v>
      </c>
      <c r="AK803">
        <v>57</v>
      </c>
    </row>
    <row r="804" spans="1:37">
      <c r="A804" t="s">
        <v>1219</v>
      </c>
      <c r="B804" t="s">
        <v>1756</v>
      </c>
      <c r="C804">
        <v>21.3</v>
      </c>
      <c r="D804" t="s">
        <v>82</v>
      </c>
      <c r="E804">
        <v>14</v>
      </c>
      <c r="F804">
        <v>13</v>
      </c>
      <c r="G804">
        <v>0</v>
      </c>
      <c r="I804">
        <v>1.14989</v>
      </c>
      <c r="J804">
        <v>0.99031</v>
      </c>
      <c r="K804">
        <v>0.99134</v>
      </c>
      <c r="L804">
        <v>1.001</v>
      </c>
      <c r="M804">
        <v>1.09465</v>
      </c>
      <c r="N804">
        <v>1.05967</v>
      </c>
      <c r="O804">
        <v>1</v>
      </c>
      <c r="P804">
        <v>1.0003</v>
      </c>
      <c r="Q804">
        <v>0.98648</v>
      </c>
      <c r="R804">
        <v>1</v>
      </c>
      <c r="S804">
        <v>1</v>
      </c>
      <c r="T804">
        <v>1.03042</v>
      </c>
      <c r="U804">
        <v>1</v>
      </c>
      <c r="V804">
        <v>24.455</v>
      </c>
      <c r="W804">
        <v>15.997</v>
      </c>
      <c r="X804">
        <v>158.881</v>
      </c>
      <c r="Y804">
        <v>39.327</v>
      </c>
      <c r="Z804">
        <v>54.493</v>
      </c>
      <c r="AA804">
        <v>293.153</v>
      </c>
      <c r="AB804">
        <v>0.95151</v>
      </c>
      <c r="AC804">
        <v>277</v>
      </c>
      <c r="AD804">
        <v>0</v>
      </c>
      <c r="AG804">
        <v>22</v>
      </c>
      <c r="AH804">
        <v>8</v>
      </c>
      <c r="AI804">
        <v>180</v>
      </c>
      <c r="AJ804">
        <v>26</v>
      </c>
      <c r="AK804">
        <v>41</v>
      </c>
    </row>
    <row r="805" spans="1:37">
      <c r="A805" t="s">
        <v>1220</v>
      </c>
      <c r="B805" t="s">
        <v>1756</v>
      </c>
      <c r="C805">
        <v>23.5</v>
      </c>
      <c r="D805" t="s">
        <v>82</v>
      </c>
      <c r="E805">
        <v>15</v>
      </c>
      <c r="F805">
        <v>14</v>
      </c>
      <c r="G805">
        <v>0</v>
      </c>
      <c r="I805">
        <v>1.15008</v>
      </c>
      <c r="J805">
        <v>0.99017</v>
      </c>
      <c r="K805">
        <v>0.99134</v>
      </c>
      <c r="L805">
        <v>1.0006</v>
      </c>
      <c r="M805">
        <v>1.05759</v>
      </c>
      <c r="N805">
        <v>1.06547</v>
      </c>
      <c r="O805">
        <v>1</v>
      </c>
      <c r="P805">
        <v>0.99666</v>
      </c>
      <c r="Q805">
        <v>1.10751</v>
      </c>
      <c r="R805">
        <v>1</v>
      </c>
      <c r="S805">
        <v>1</v>
      </c>
      <c r="T805">
        <v>1.02498</v>
      </c>
      <c r="U805">
        <v>1</v>
      </c>
      <c r="V805">
        <v>13.777</v>
      </c>
      <c r="W805">
        <v>11.466</v>
      </c>
      <c r="X805">
        <v>152.928</v>
      </c>
      <c r="Y805">
        <v>46.88</v>
      </c>
      <c r="Z805">
        <v>57.952</v>
      </c>
      <c r="AA805">
        <v>283.003</v>
      </c>
      <c r="AB805">
        <v>0.91418</v>
      </c>
      <c r="AC805">
        <v>273</v>
      </c>
      <c r="AD805">
        <v>0</v>
      </c>
      <c r="AG805">
        <v>14</v>
      </c>
      <c r="AH805">
        <v>11</v>
      </c>
      <c r="AI805">
        <v>149</v>
      </c>
      <c r="AJ805">
        <v>34</v>
      </c>
      <c r="AK805">
        <v>65</v>
      </c>
    </row>
    <row r="806" spans="1:37">
      <c r="A806" t="s">
        <v>1221</v>
      </c>
      <c r="B806" t="s">
        <v>1756</v>
      </c>
      <c r="C806">
        <v>23.3</v>
      </c>
      <c r="D806" t="s">
        <v>82</v>
      </c>
      <c r="E806">
        <v>16</v>
      </c>
      <c r="F806">
        <v>15</v>
      </c>
      <c r="G806">
        <v>0</v>
      </c>
      <c r="I806">
        <v>1.15027</v>
      </c>
      <c r="J806">
        <v>0.98715</v>
      </c>
      <c r="K806">
        <v>0.99134</v>
      </c>
      <c r="L806">
        <v>1.0003</v>
      </c>
      <c r="M806">
        <v>1.01487</v>
      </c>
      <c r="N806">
        <v>1.06423</v>
      </c>
      <c r="O806">
        <v>1</v>
      </c>
      <c r="P806">
        <v>0.99313</v>
      </c>
      <c r="Q806">
        <v>1.06247</v>
      </c>
      <c r="R806">
        <v>1</v>
      </c>
      <c r="S806">
        <v>1</v>
      </c>
      <c r="T806">
        <v>1.0263</v>
      </c>
      <c r="U806">
        <v>1</v>
      </c>
      <c r="V806">
        <v>15.529</v>
      </c>
      <c r="W806">
        <v>13.668</v>
      </c>
      <c r="X806">
        <v>142.665</v>
      </c>
      <c r="Y806">
        <v>43.512</v>
      </c>
      <c r="Z806">
        <v>54.519</v>
      </c>
      <c r="AA806">
        <v>269.894</v>
      </c>
      <c r="AB806">
        <v>1.1395</v>
      </c>
      <c r="AC806">
        <v>294</v>
      </c>
      <c r="AD806">
        <v>0</v>
      </c>
      <c r="AG806">
        <v>13</v>
      </c>
      <c r="AH806">
        <v>20</v>
      </c>
      <c r="AI806">
        <v>159</v>
      </c>
      <c r="AJ806">
        <v>50</v>
      </c>
      <c r="AK806">
        <v>52</v>
      </c>
    </row>
    <row r="807" spans="1:37">
      <c r="A807" t="s">
        <v>480</v>
      </c>
      <c r="B807" t="s">
        <v>1756</v>
      </c>
      <c r="C807">
        <v>24.7</v>
      </c>
      <c r="D807" t="s">
        <v>82</v>
      </c>
      <c r="E807">
        <v>17</v>
      </c>
      <c r="F807">
        <v>16</v>
      </c>
      <c r="G807">
        <v>0</v>
      </c>
      <c r="I807">
        <v>1.15045</v>
      </c>
      <c r="J807">
        <v>0.99207</v>
      </c>
      <c r="K807">
        <v>0.99134</v>
      </c>
      <c r="L807">
        <v>1.0001</v>
      </c>
      <c r="M807">
        <v>0.9303399999999999</v>
      </c>
      <c r="N807">
        <v>1.05125</v>
      </c>
      <c r="O807">
        <v>1</v>
      </c>
      <c r="P807">
        <v>0.99005</v>
      </c>
      <c r="Q807">
        <v>0.91729</v>
      </c>
      <c r="R807">
        <v>1</v>
      </c>
      <c r="S807">
        <v>1</v>
      </c>
      <c r="T807">
        <v>1.0329</v>
      </c>
      <c r="U807">
        <v>1</v>
      </c>
      <c r="V807">
        <v>25.729</v>
      </c>
      <c r="W807">
        <v>17.414</v>
      </c>
      <c r="X807">
        <v>122.7</v>
      </c>
      <c r="Y807">
        <v>29.073</v>
      </c>
      <c r="Z807">
        <v>51.395</v>
      </c>
      <c r="AA807">
        <v>246.31</v>
      </c>
      <c r="AB807">
        <v>0.97792</v>
      </c>
      <c r="AC807">
        <v>244</v>
      </c>
      <c r="AD807">
        <v>0</v>
      </c>
      <c r="AG807">
        <v>21</v>
      </c>
      <c r="AH807">
        <v>16</v>
      </c>
      <c r="AI807">
        <v>115</v>
      </c>
      <c r="AJ807">
        <v>29</v>
      </c>
      <c r="AK807">
        <v>63</v>
      </c>
    </row>
    <row r="808" spans="1:37">
      <c r="A808" t="s">
        <v>1222</v>
      </c>
      <c r="B808" t="s">
        <v>1756</v>
      </c>
      <c r="C808">
        <v>21.4</v>
      </c>
      <c r="D808" t="s">
        <v>82</v>
      </c>
      <c r="E808">
        <v>18</v>
      </c>
      <c r="F808">
        <v>17</v>
      </c>
      <c r="G808">
        <v>0</v>
      </c>
      <c r="I808">
        <v>1.15064</v>
      </c>
      <c r="J808">
        <v>0.99326</v>
      </c>
      <c r="K808">
        <v>0.99134</v>
      </c>
      <c r="L808">
        <v>1.00001</v>
      </c>
      <c r="M808">
        <v>0.91949</v>
      </c>
      <c r="N808">
        <v>1.05332</v>
      </c>
      <c r="O808">
        <v>1</v>
      </c>
      <c r="P808">
        <v>0.98667</v>
      </c>
      <c r="Q808">
        <v>0.91792</v>
      </c>
      <c r="R808">
        <v>1</v>
      </c>
      <c r="S808">
        <v>1</v>
      </c>
      <c r="T808">
        <v>1.03299</v>
      </c>
      <c r="U808">
        <v>1</v>
      </c>
      <c r="V808">
        <v>25.235</v>
      </c>
      <c r="W808">
        <v>17.403</v>
      </c>
      <c r="X808">
        <v>123.711</v>
      </c>
      <c r="Y808">
        <v>28.429</v>
      </c>
      <c r="Z808">
        <v>48.852</v>
      </c>
      <c r="AA808">
        <v>243.63</v>
      </c>
      <c r="AB808">
        <v>0.96189</v>
      </c>
      <c r="AC808">
        <v>234</v>
      </c>
      <c r="AD808">
        <v>0</v>
      </c>
      <c r="AG808">
        <v>19</v>
      </c>
      <c r="AH808">
        <v>8</v>
      </c>
      <c r="AI808">
        <v>121</v>
      </c>
      <c r="AJ808">
        <v>31</v>
      </c>
      <c r="AK808">
        <v>55</v>
      </c>
    </row>
    <row r="809" spans="1:37">
      <c r="A809" t="s">
        <v>1223</v>
      </c>
      <c r="B809" t="s">
        <v>1756</v>
      </c>
      <c r="C809">
        <v>22.1</v>
      </c>
      <c r="D809" t="s">
        <v>82</v>
      </c>
      <c r="E809">
        <v>19</v>
      </c>
      <c r="F809">
        <v>18</v>
      </c>
      <c r="G809">
        <v>0</v>
      </c>
      <c r="I809">
        <v>1.15082</v>
      </c>
      <c r="J809">
        <v>0.9855</v>
      </c>
      <c r="K809">
        <v>0.99134</v>
      </c>
      <c r="L809">
        <v>0.99999</v>
      </c>
      <c r="M809">
        <v>0.93645</v>
      </c>
      <c r="N809">
        <v>1.05687</v>
      </c>
      <c r="O809">
        <v>1</v>
      </c>
      <c r="P809">
        <v>0.98326</v>
      </c>
      <c r="Q809">
        <v>0.92377</v>
      </c>
      <c r="R809">
        <v>1</v>
      </c>
      <c r="S809">
        <v>1</v>
      </c>
      <c r="T809">
        <v>1.03272</v>
      </c>
      <c r="U809">
        <v>1</v>
      </c>
      <c r="V809">
        <v>25.013</v>
      </c>
      <c r="W809">
        <v>17.236</v>
      </c>
      <c r="X809">
        <v>125.429</v>
      </c>
      <c r="Y809">
        <v>29.121</v>
      </c>
      <c r="Z809">
        <v>49.228</v>
      </c>
      <c r="AA809">
        <v>246.027</v>
      </c>
      <c r="AB809">
        <v>1.05933</v>
      </c>
      <c r="AC809">
        <v>270</v>
      </c>
      <c r="AD809">
        <v>0</v>
      </c>
      <c r="AG809">
        <v>27</v>
      </c>
      <c r="AH809">
        <v>16</v>
      </c>
      <c r="AI809">
        <v>136</v>
      </c>
      <c r="AJ809">
        <v>37</v>
      </c>
      <c r="AK809">
        <v>54</v>
      </c>
    </row>
    <row r="810" spans="1:37">
      <c r="A810" t="s">
        <v>1224</v>
      </c>
      <c r="B810" t="s">
        <v>1756</v>
      </c>
      <c r="C810">
        <v>22.9</v>
      </c>
      <c r="D810" t="s">
        <v>82</v>
      </c>
      <c r="E810">
        <v>20</v>
      </c>
      <c r="F810">
        <v>19</v>
      </c>
      <c r="G810">
        <v>0</v>
      </c>
      <c r="I810">
        <v>1.15101</v>
      </c>
      <c r="J810">
        <v>0.97075</v>
      </c>
      <c r="K810">
        <v>0.99134</v>
      </c>
      <c r="L810">
        <v>0.99993</v>
      </c>
      <c r="M810">
        <v>0.96719</v>
      </c>
      <c r="N810">
        <v>1.05901</v>
      </c>
      <c r="O810">
        <v>1</v>
      </c>
      <c r="P810">
        <v>0.97979</v>
      </c>
      <c r="Q810">
        <v>0.93696</v>
      </c>
      <c r="R810">
        <v>1</v>
      </c>
      <c r="S810">
        <v>1</v>
      </c>
      <c r="T810">
        <v>1.03217</v>
      </c>
      <c r="U810">
        <v>1</v>
      </c>
      <c r="V810">
        <v>24.415</v>
      </c>
      <c r="W810">
        <v>16.604</v>
      </c>
      <c r="X810">
        <v>128.376</v>
      </c>
      <c r="Y810">
        <v>30.341</v>
      </c>
      <c r="Z810">
        <v>49.928</v>
      </c>
      <c r="AA810">
        <v>249.665</v>
      </c>
      <c r="AB810">
        <v>0.9899</v>
      </c>
      <c r="AC810">
        <v>233</v>
      </c>
      <c r="AD810">
        <v>0</v>
      </c>
      <c r="AG810">
        <v>22</v>
      </c>
      <c r="AH810">
        <v>17</v>
      </c>
      <c r="AI810">
        <v>126</v>
      </c>
      <c r="AJ810">
        <v>29</v>
      </c>
      <c r="AK810">
        <v>39</v>
      </c>
    </row>
    <row r="811" spans="1:37">
      <c r="A811" t="s">
        <v>1225</v>
      </c>
      <c r="B811" t="s">
        <v>1756</v>
      </c>
      <c r="C811">
        <v>22.4</v>
      </c>
      <c r="D811" t="s">
        <v>1475</v>
      </c>
      <c r="E811">
        <v>21</v>
      </c>
      <c r="F811">
        <v>20</v>
      </c>
      <c r="G811">
        <v>0</v>
      </c>
      <c r="I811">
        <v>1.1512</v>
      </c>
      <c r="J811">
        <v>0.9669</v>
      </c>
      <c r="K811">
        <v>0.99134</v>
      </c>
      <c r="L811">
        <v>0.99982</v>
      </c>
      <c r="M811">
        <v>1.10262</v>
      </c>
      <c r="N811">
        <v>1.0676</v>
      </c>
      <c r="O811">
        <v>1.00143</v>
      </c>
      <c r="P811">
        <v>0.97551</v>
      </c>
      <c r="Q811">
        <v>0.9719</v>
      </c>
      <c r="R811">
        <v>1</v>
      </c>
      <c r="S811">
        <v>1</v>
      </c>
      <c r="T811">
        <v>1.02966</v>
      </c>
      <c r="U811">
        <v>1</v>
      </c>
      <c r="V811">
        <v>20.486</v>
      </c>
      <c r="W811">
        <v>6.449</v>
      </c>
      <c r="X811">
        <v>146.201</v>
      </c>
      <c r="Y811">
        <v>38.96</v>
      </c>
      <c r="Z811">
        <v>48.959</v>
      </c>
      <c r="AA811">
        <v>261.055</v>
      </c>
      <c r="AB811">
        <v>1.18644</v>
      </c>
      <c r="AC811">
        <v>308</v>
      </c>
      <c r="AD811">
        <v>0</v>
      </c>
      <c r="AG811">
        <v>24</v>
      </c>
      <c r="AH811">
        <v>7</v>
      </c>
      <c r="AI811">
        <v>177</v>
      </c>
      <c r="AJ811">
        <v>39</v>
      </c>
      <c r="AK811">
        <v>61</v>
      </c>
    </row>
    <row r="812" spans="1:37">
      <c r="A812" t="s">
        <v>1226</v>
      </c>
      <c r="B812" t="s">
        <v>1756</v>
      </c>
      <c r="C812">
        <v>23.2</v>
      </c>
      <c r="D812" t="s">
        <v>1475</v>
      </c>
      <c r="E812">
        <v>22</v>
      </c>
      <c r="F812">
        <v>21</v>
      </c>
      <c r="G812">
        <v>0</v>
      </c>
      <c r="I812">
        <v>1.15138</v>
      </c>
      <c r="J812">
        <v>0.96997</v>
      </c>
      <c r="K812">
        <v>0.99134</v>
      </c>
      <c r="L812">
        <v>0.99966</v>
      </c>
      <c r="M812">
        <v>1.07975</v>
      </c>
      <c r="N812">
        <v>1.06954</v>
      </c>
      <c r="O812">
        <v>1.01549</v>
      </c>
      <c r="P812">
        <v>0.97121</v>
      </c>
      <c r="Q812">
        <v>1.07863</v>
      </c>
      <c r="R812">
        <v>1</v>
      </c>
      <c r="S812">
        <v>1</v>
      </c>
      <c r="T812">
        <v>1.02459</v>
      </c>
      <c r="U812">
        <v>1</v>
      </c>
      <c r="V812">
        <v>11.582</v>
      </c>
      <c r="W812">
        <v>4.639</v>
      </c>
      <c r="X812">
        <v>141.427</v>
      </c>
      <c r="Y812">
        <v>46.656</v>
      </c>
      <c r="Z812">
        <v>51.181</v>
      </c>
      <c r="AA812">
        <v>255.487</v>
      </c>
      <c r="AB812">
        <v>1.10545</v>
      </c>
      <c r="AC812">
        <v>267</v>
      </c>
      <c r="AD812">
        <v>0</v>
      </c>
      <c r="AG812">
        <v>7</v>
      </c>
      <c r="AH812">
        <v>4</v>
      </c>
      <c r="AI812">
        <v>153</v>
      </c>
      <c r="AJ812">
        <v>56</v>
      </c>
      <c r="AK812">
        <v>47</v>
      </c>
    </row>
    <row r="813" spans="1:37">
      <c r="A813" t="s">
        <v>1227</v>
      </c>
      <c r="B813" t="s">
        <v>1756</v>
      </c>
      <c r="C813">
        <v>23.5</v>
      </c>
      <c r="D813" t="s">
        <v>1475</v>
      </c>
      <c r="E813">
        <v>23</v>
      </c>
      <c r="F813">
        <v>22</v>
      </c>
      <c r="G813">
        <v>0</v>
      </c>
      <c r="I813">
        <v>1.15157</v>
      </c>
      <c r="J813">
        <v>0.96597</v>
      </c>
      <c r="K813">
        <v>0.99134</v>
      </c>
      <c r="L813">
        <v>0.99944</v>
      </c>
      <c r="M813">
        <v>1.02889</v>
      </c>
      <c r="N813">
        <v>1.0673</v>
      </c>
      <c r="O813">
        <v>1.00808</v>
      </c>
      <c r="P813">
        <v>0.96789</v>
      </c>
      <c r="Q813">
        <v>1.0429</v>
      </c>
      <c r="R813">
        <v>1</v>
      </c>
      <c r="S813">
        <v>1</v>
      </c>
      <c r="T813">
        <v>1.0258</v>
      </c>
      <c r="U813">
        <v>1</v>
      </c>
      <c r="V813">
        <v>13.043</v>
      </c>
      <c r="W813">
        <v>5.525</v>
      </c>
      <c r="X813">
        <v>131.254</v>
      </c>
      <c r="Y813">
        <v>43.13</v>
      </c>
      <c r="Z813">
        <v>48.45</v>
      </c>
      <c r="AA813">
        <v>241.403</v>
      </c>
      <c r="AB813">
        <v>0.9951100000000001</v>
      </c>
      <c r="AC813">
        <v>251</v>
      </c>
      <c r="AD813">
        <v>0</v>
      </c>
      <c r="AG813">
        <v>14</v>
      </c>
      <c r="AH813">
        <v>3</v>
      </c>
      <c r="AI813">
        <v>129</v>
      </c>
      <c r="AJ813">
        <v>50</v>
      </c>
      <c r="AK813">
        <v>55</v>
      </c>
    </row>
    <row r="814" spans="1:37">
      <c r="A814" t="s">
        <v>481</v>
      </c>
      <c r="B814" t="s">
        <v>1756</v>
      </c>
      <c r="C814">
        <v>23.5</v>
      </c>
      <c r="D814" t="s">
        <v>1475</v>
      </c>
      <c r="E814">
        <v>24</v>
      </c>
      <c r="F814">
        <v>23</v>
      </c>
      <c r="G814">
        <v>0</v>
      </c>
      <c r="I814">
        <v>1.15176</v>
      </c>
      <c r="J814">
        <v>0.96016</v>
      </c>
      <c r="K814">
        <v>0.99134</v>
      </c>
      <c r="L814">
        <v>0.99918</v>
      </c>
      <c r="M814">
        <v>0.92508</v>
      </c>
      <c r="N814">
        <v>1.06095</v>
      </c>
      <c r="O814">
        <v>0.98777</v>
      </c>
      <c r="P814">
        <v>0.96565</v>
      </c>
      <c r="Q814">
        <v>0.91106</v>
      </c>
      <c r="R814">
        <v>1</v>
      </c>
      <c r="S814">
        <v>1</v>
      </c>
      <c r="T814">
        <v>1.03222</v>
      </c>
      <c r="U814">
        <v>1</v>
      </c>
      <c r="V814">
        <v>21.371</v>
      </c>
      <c r="W814">
        <v>6.962</v>
      </c>
      <c r="X814">
        <v>113.503</v>
      </c>
      <c r="Y814">
        <v>28.843</v>
      </c>
      <c r="Z814">
        <v>44.267</v>
      </c>
      <c r="AA814">
        <v>214.947</v>
      </c>
      <c r="AB814">
        <v>1.08964</v>
      </c>
      <c r="AC814">
        <v>252</v>
      </c>
      <c r="AD814">
        <v>0</v>
      </c>
      <c r="AG814">
        <v>24</v>
      </c>
      <c r="AH814">
        <v>9</v>
      </c>
      <c r="AI814">
        <v>135</v>
      </c>
      <c r="AJ814">
        <v>31</v>
      </c>
      <c r="AK814">
        <v>53</v>
      </c>
    </row>
    <row r="815" spans="1:37">
      <c r="A815" t="s">
        <v>1228</v>
      </c>
      <c r="B815" t="s">
        <v>1756</v>
      </c>
      <c r="C815">
        <v>23.9</v>
      </c>
      <c r="D815" t="s">
        <v>1475</v>
      </c>
      <c r="E815">
        <v>25</v>
      </c>
      <c r="F815">
        <v>24</v>
      </c>
      <c r="G815">
        <v>0</v>
      </c>
      <c r="I815">
        <v>1.15194</v>
      </c>
      <c r="J815">
        <v>0.96041</v>
      </c>
      <c r="K815">
        <v>0.99134</v>
      </c>
      <c r="L815">
        <v>0.99888</v>
      </c>
      <c r="M815">
        <v>0.91439</v>
      </c>
      <c r="N815">
        <v>1.05923</v>
      </c>
      <c r="O815">
        <v>0.98686</v>
      </c>
      <c r="P815">
        <v>0.96221</v>
      </c>
      <c r="Q815">
        <v>0.91182</v>
      </c>
      <c r="R815">
        <v>1</v>
      </c>
      <c r="S815">
        <v>1</v>
      </c>
      <c r="T815">
        <v>1.03208</v>
      </c>
      <c r="U815">
        <v>1</v>
      </c>
      <c r="V815">
        <v>20.937</v>
      </c>
      <c r="W815">
        <v>6.949</v>
      </c>
      <c r="X815">
        <v>111.506</v>
      </c>
      <c r="Y815">
        <v>27.669</v>
      </c>
      <c r="Z815">
        <v>44.356</v>
      </c>
      <c r="AA815">
        <v>211.417</v>
      </c>
      <c r="AB815">
        <v>0.91012</v>
      </c>
      <c r="AC815">
        <v>186</v>
      </c>
      <c r="AD815">
        <v>0</v>
      </c>
      <c r="AG815">
        <v>22</v>
      </c>
      <c r="AH815">
        <v>8</v>
      </c>
      <c r="AI815">
        <v>103</v>
      </c>
      <c r="AJ815">
        <v>21</v>
      </c>
      <c r="AK815">
        <v>32</v>
      </c>
    </row>
    <row r="816" spans="1:37">
      <c r="A816" t="s">
        <v>1229</v>
      </c>
      <c r="B816" t="s">
        <v>1756</v>
      </c>
      <c r="C816">
        <v>23.8</v>
      </c>
      <c r="D816" t="s">
        <v>1475</v>
      </c>
      <c r="E816">
        <v>26</v>
      </c>
      <c r="F816">
        <v>25</v>
      </c>
      <c r="G816">
        <v>0</v>
      </c>
      <c r="I816">
        <v>1.15213</v>
      </c>
      <c r="J816">
        <v>0.9589800000000001</v>
      </c>
      <c r="K816">
        <v>0.99134</v>
      </c>
      <c r="L816">
        <v>0.99853</v>
      </c>
      <c r="M816">
        <v>0.93216</v>
      </c>
      <c r="N816">
        <v>1.06018</v>
      </c>
      <c r="O816">
        <v>0.988</v>
      </c>
      <c r="P816">
        <v>0.95869</v>
      </c>
      <c r="Q816">
        <v>0.91627</v>
      </c>
      <c r="R816">
        <v>1</v>
      </c>
      <c r="S816">
        <v>1</v>
      </c>
      <c r="T816">
        <v>1.03191</v>
      </c>
      <c r="U816">
        <v>1</v>
      </c>
      <c r="V816">
        <v>20.878</v>
      </c>
      <c r="W816">
        <v>6.924</v>
      </c>
      <c r="X816">
        <v>113.732</v>
      </c>
      <c r="Y816">
        <v>28.512</v>
      </c>
      <c r="Z816">
        <v>44.434</v>
      </c>
      <c r="AA816">
        <v>214.48</v>
      </c>
      <c r="AB816">
        <v>0.9523</v>
      </c>
      <c r="AC816">
        <v>232</v>
      </c>
      <c r="AD816">
        <v>0</v>
      </c>
      <c r="AG816">
        <v>17</v>
      </c>
      <c r="AH816">
        <v>10</v>
      </c>
      <c r="AI816">
        <v>122</v>
      </c>
      <c r="AJ816">
        <v>29</v>
      </c>
      <c r="AK816">
        <v>54</v>
      </c>
    </row>
    <row r="817" spans="1:37">
      <c r="A817" t="s">
        <v>1230</v>
      </c>
      <c r="B817" t="s">
        <v>1756</v>
      </c>
      <c r="C817">
        <v>22.7</v>
      </c>
      <c r="D817" t="s">
        <v>1475</v>
      </c>
      <c r="E817">
        <v>27</v>
      </c>
      <c r="F817">
        <v>26</v>
      </c>
      <c r="G817">
        <v>0</v>
      </c>
      <c r="I817">
        <v>1.15232</v>
      </c>
      <c r="J817">
        <v>0.9446600000000001</v>
      </c>
      <c r="K817">
        <v>0.99134</v>
      </c>
      <c r="L817">
        <v>0.99815</v>
      </c>
      <c r="M817">
        <v>0.96522</v>
      </c>
      <c r="N817">
        <v>1.06338</v>
      </c>
      <c r="O817">
        <v>0.9912300000000001</v>
      </c>
      <c r="P817">
        <v>0.95852</v>
      </c>
      <c r="Q817">
        <v>0.92831</v>
      </c>
      <c r="R817">
        <v>1</v>
      </c>
      <c r="S817">
        <v>1</v>
      </c>
      <c r="T817">
        <v>1.03145</v>
      </c>
      <c r="U817">
        <v>1</v>
      </c>
      <c r="V817">
        <v>20.396</v>
      </c>
      <c r="W817">
        <v>6.681</v>
      </c>
      <c r="X817">
        <v>118.087</v>
      </c>
      <c r="Y817">
        <v>30.048</v>
      </c>
      <c r="Z817">
        <v>43.987</v>
      </c>
      <c r="AA817">
        <v>219.199</v>
      </c>
      <c r="AB817">
        <v>0.89102</v>
      </c>
      <c r="AC817">
        <v>208</v>
      </c>
      <c r="AD817">
        <v>0</v>
      </c>
      <c r="AG817">
        <v>17</v>
      </c>
      <c r="AH817">
        <v>4</v>
      </c>
      <c r="AI817">
        <v>116</v>
      </c>
      <c r="AJ817">
        <v>26</v>
      </c>
      <c r="AK817">
        <v>45</v>
      </c>
    </row>
    <row r="818" spans="1:37">
      <c r="A818" t="s">
        <v>1231</v>
      </c>
      <c r="B818" t="s">
        <v>1756</v>
      </c>
      <c r="C818">
        <v>23.5</v>
      </c>
      <c r="D818" t="s">
        <v>1475</v>
      </c>
      <c r="E818">
        <v>0</v>
      </c>
      <c r="F818">
        <v>27</v>
      </c>
      <c r="G818">
        <v>0</v>
      </c>
      <c r="I818">
        <v>1.1525</v>
      </c>
      <c r="J818">
        <v>0.94648</v>
      </c>
      <c r="K818">
        <v>0.99134</v>
      </c>
      <c r="L818">
        <v>0.99773</v>
      </c>
      <c r="M818">
        <v>1.10353</v>
      </c>
      <c r="N818">
        <v>1.06683</v>
      </c>
      <c r="O818">
        <v>1.00333</v>
      </c>
      <c r="P818">
        <v>1.08403</v>
      </c>
      <c r="Q818">
        <v>0.98824</v>
      </c>
      <c r="R818">
        <v>1</v>
      </c>
      <c r="S818">
        <v>1</v>
      </c>
      <c r="T818">
        <v>1.02883</v>
      </c>
      <c r="U818">
        <v>1</v>
      </c>
      <c r="V818">
        <v>20.738</v>
      </c>
      <c r="W818">
        <v>6.679</v>
      </c>
      <c r="X818">
        <v>159.03</v>
      </c>
      <c r="Y818">
        <v>42.452</v>
      </c>
      <c r="Z818">
        <v>54.464</v>
      </c>
      <c r="AA818">
        <v>283.363</v>
      </c>
      <c r="AB818">
        <v>0.9950599999999999</v>
      </c>
      <c r="AC818">
        <v>295</v>
      </c>
      <c r="AD818">
        <v>0</v>
      </c>
      <c r="AG818">
        <v>18</v>
      </c>
      <c r="AH818">
        <v>8</v>
      </c>
      <c r="AI818">
        <v>167</v>
      </c>
      <c r="AJ818">
        <v>53</v>
      </c>
      <c r="AK818">
        <v>49</v>
      </c>
    </row>
    <row r="819" spans="1:37">
      <c r="A819" t="s">
        <v>1232</v>
      </c>
      <c r="B819" t="s">
        <v>1756</v>
      </c>
      <c r="C819">
        <v>26.1</v>
      </c>
      <c r="D819" t="s">
        <v>1475</v>
      </c>
      <c r="E819">
        <v>1</v>
      </c>
      <c r="F819">
        <v>28</v>
      </c>
      <c r="G819">
        <v>0</v>
      </c>
      <c r="I819">
        <v>1.15269</v>
      </c>
      <c r="J819">
        <v>0.94334</v>
      </c>
      <c r="K819">
        <v>0.99134</v>
      </c>
      <c r="L819">
        <v>0.99729</v>
      </c>
      <c r="M819">
        <v>1.08124</v>
      </c>
      <c r="N819">
        <v>1.04748</v>
      </c>
      <c r="O819">
        <v>1.01551</v>
      </c>
      <c r="P819">
        <v>1.05786</v>
      </c>
      <c r="Q819">
        <v>1.08612</v>
      </c>
      <c r="R819">
        <v>1</v>
      </c>
      <c r="S819">
        <v>1</v>
      </c>
      <c r="T819">
        <v>1.02405</v>
      </c>
      <c r="U819">
        <v>1</v>
      </c>
      <c r="V819">
        <v>11.558</v>
      </c>
      <c r="W819">
        <v>4.713</v>
      </c>
      <c r="X819">
        <v>143.767</v>
      </c>
      <c r="Y819">
        <v>48.005</v>
      </c>
      <c r="Z819">
        <v>56.64</v>
      </c>
      <c r="AA819">
        <v>264.683</v>
      </c>
      <c r="AB819">
        <v>1.03315</v>
      </c>
      <c r="AC819">
        <v>283</v>
      </c>
      <c r="AD819">
        <v>0</v>
      </c>
      <c r="AG819">
        <v>19</v>
      </c>
      <c r="AH819">
        <v>4</v>
      </c>
      <c r="AI819">
        <v>151</v>
      </c>
      <c r="AJ819">
        <v>47</v>
      </c>
      <c r="AK819">
        <v>62</v>
      </c>
    </row>
    <row r="820" spans="1:37">
      <c r="A820" t="s">
        <v>1233</v>
      </c>
      <c r="B820" t="s">
        <v>1756</v>
      </c>
      <c r="C820">
        <v>27.5</v>
      </c>
      <c r="D820" t="s">
        <v>1475</v>
      </c>
      <c r="E820">
        <v>2</v>
      </c>
      <c r="F820">
        <v>29</v>
      </c>
      <c r="G820">
        <v>0</v>
      </c>
      <c r="I820">
        <v>1.15288</v>
      </c>
      <c r="J820">
        <v>0.93976</v>
      </c>
      <c r="K820">
        <v>0.99134</v>
      </c>
      <c r="L820">
        <v>0.99682</v>
      </c>
      <c r="M820">
        <v>1.02864</v>
      </c>
      <c r="N820">
        <v>1.02841</v>
      </c>
      <c r="O820">
        <v>1.00707</v>
      </c>
      <c r="P820">
        <v>1.03841</v>
      </c>
      <c r="Q820">
        <v>1.32895</v>
      </c>
      <c r="R820">
        <v>1</v>
      </c>
      <c r="S820">
        <v>1</v>
      </c>
      <c r="T820">
        <v>1.02525</v>
      </c>
      <c r="U820">
        <v>1</v>
      </c>
      <c r="V820">
        <v>16.452</v>
      </c>
      <c r="W820">
        <v>7.074</v>
      </c>
      <c r="X820">
        <v>161.887</v>
      </c>
      <c r="Y820">
        <v>54.319</v>
      </c>
      <c r="Z820">
        <v>68.09699999999999</v>
      </c>
      <c r="AA820">
        <v>307.828</v>
      </c>
      <c r="AB820">
        <v>1.02008</v>
      </c>
      <c r="AC820">
        <v>309</v>
      </c>
      <c r="AD820">
        <v>0</v>
      </c>
      <c r="AG820">
        <v>19</v>
      </c>
      <c r="AH820">
        <v>2</v>
      </c>
      <c r="AI820">
        <v>149</v>
      </c>
      <c r="AJ820">
        <v>47</v>
      </c>
      <c r="AK820">
        <v>92</v>
      </c>
    </row>
    <row r="821" spans="1:37">
      <c r="A821" t="s">
        <v>482</v>
      </c>
      <c r="B821" t="s">
        <v>1757</v>
      </c>
      <c r="C821">
        <v>28.4</v>
      </c>
      <c r="D821" t="s">
        <v>1475</v>
      </c>
      <c r="E821">
        <v>3</v>
      </c>
      <c r="F821">
        <v>0</v>
      </c>
      <c r="G821">
        <v>1</v>
      </c>
      <c r="I821">
        <v>1.15306</v>
      </c>
      <c r="J821">
        <v>0.9519300000000001</v>
      </c>
      <c r="K821">
        <v>0.99134</v>
      </c>
      <c r="L821">
        <v>0.99633</v>
      </c>
      <c r="M821">
        <v>1.14844</v>
      </c>
      <c r="N821">
        <v>1.01582</v>
      </c>
      <c r="O821">
        <v>1.03882</v>
      </c>
      <c r="P821">
        <v>1.02656</v>
      </c>
      <c r="Q821">
        <v>1</v>
      </c>
      <c r="R821">
        <v>0.92467</v>
      </c>
      <c r="S821">
        <v>1</v>
      </c>
      <c r="T821">
        <v>1.0219</v>
      </c>
      <c r="U821">
        <v>1</v>
      </c>
      <c r="V821">
        <v>4.548</v>
      </c>
      <c r="W821">
        <v>1.871</v>
      </c>
      <c r="X821">
        <v>109.168</v>
      </c>
      <c r="Y821">
        <v>57.551</v>
      </c>
      <c r="Z821">
        <v>33.879</v>
      </c>
      <c r="AA821">
        <v>207.017</v>
      </c>
      <c r="AB821">
        <v>1.11328</v>
      </c>
      <c r="AC821">
        <v>244</v>
      </c>
      <c r="AD821">
        <v>0</v>
      </c>
      <c r="AG821">
        <v>8</v>
      </c>
      <c r="AH821">
        <v>1</v>
      </c>
      <c r="AI821">
        <v>121</v>
      </c>
      <c r="AJ821">
        <v>70</v>
      </c>
      <c r="AK821">
        <v>44</v>
      </c>
    </row>
    <row r="822" spans="1:37">
      <c r="A822" t="s">
        <v>1234</v>
      </c>
      <c r="B822" t="s">
        <v>1755</v>
      </c>
      <c r="C822">
        <v>29.7</v>
      </c>
      <c r="D822" t="s">
        <v>1475</v>
      </c>
      <c r="E822">
        <v>4</v>
      </c>
      <c r="F822">
        <v>0</v>
      </c>
      <c r="G822">
        <v>2</v>
      </c>
      <c r="I822">
        <v>1.15325</v>
      </c>
      <c r="J822">
        <v>0.95783</v>
      </c>
      <c r="K822">
        <v>0.99134</v>
      </c>
      <c r="L822">
        <v>0.99582</v>
      </c>
      <c r="M822">
        <v>1.06581</v>
      </c>
      <c r="N822">
        <v>0.99441</v>
      </c>
      <c r="O822">
        <v>1.02246</v>
      </c>
      <c r="P822">
        <v>1.01744</v>
      </c>
      <c r="Q822">
        <v>1</v>
      </c>
      <c r="R822">
        <v>1.17774</v>
      </c>
      <c r="S822">
        <v>1</v>
      </c>
      <c r="T822">
        <v>1.02482</v>
      </c>
      <c r="U822">
        <v>1</v>
      </c>
      <c r="V822">
        <v>11.407</v>
      </c>
      <c r="W822">
        <v>4.683</v>
      </c>
      <c r="X822">
        <v>130.2</v>
      </c>
      <c r="Y822">
        <v>67.68000000000001</v>
      </c>
      <c r="Z822">
        <v>44.486</v>
      </c>
      <c r="AA822">
        <v>258.457</v>
      </c>
      <c r="AB822">
        <v>0.96548</v>
      </c>
      <c r="AC822">
        <v>258</v>
      </c>
      <c r="AD822">
        <v>0</v>
      </c>
      <c r="AG822">
        <v>4</v>
      </c>
      <c r="AH822">
        <v>7</v>
      </c>
      <c r="AI822">
        <v>138</v>
      </c>
      <c r="AJ822">
        <v>62</v>
      </c>
      <c r="AK822">
        <v>47</v>
      </c>
    </row>
    <row r="823" spans="1:37">
      <c r="A823" t="s">
        <v>1235</v>
      </c>
      <c r="B823" t="s">
        <v>1755</v>
      </c>
      <c r="C823">
        <v>27.5</v>
      </c>
      <c r="D823" t="s">
        <v>1475</v>
      </c>
      <c r="E823">
        <v>5</v>
      </c>
      <c r="F823">
        <v>0</v>
      </c>
      <c r="G823">
        <v>3</v>
      </c>
      <c r="I823">
        <v>1.15343</v>
      </c>
      <c r="J823">
        <v>0.95373</v>
      </c>
      <c r="K823">
        <v>1.02402</v>
      </c>
      <c r="L823">
        <v>0.99531</v>
      </c>
      <c r="M823">
        <v>1.03629</v>
      </c>
      <c r="N823">
        <v>1.02954</v>
      </c>
      <c r="O823">
        <v>1.0202</v>
      </c>
      <c r="P823">
        <v>1.01161</v>
      </c>
      <c r="Q823">
        <v>1</v>
      </c>
      <c r="R823">
        <v>1.13779</v>
      </c>
      <c r="S823">
        <v>1</v>
      </c>
      <c r="T823">
        <v>1.02629</v>
      </c>
      <c r="U823">
        <v>1</v>
      </c>
      <c r="V823">
        <v>14.049</v>
      </c>
      <c r="W823">
        <v>4.801</v>
      </c>
      <c r="X823">
        <v>135.59</v>
      </c>
      <c r="Y823">
        <v>64.605</v>
      </c>
      <c r="Z823">
        <v>44.14</v>
      </c>
      <c r="AA823">
        <v>263.185</v>
      </c>
      <c r="AB823">
        <v>0.91318</v>
      </c>
      <c r="AC823">
        <v>240</v>
      </c>
      <c r="AD823">
        <v>0</v>
      </c>
      <c r="AG823">
        <v>10</v>
      </c>
      <c r="AH823">
        <v>6</v>
      </c>
      <c r="AI823">
        <v>120</v>
      </c>
      <c r="AJ823">
        <v>60</v>
      </c>
      <c r="AK823">
        <v>44</v>
      </c>
    </row>
    <row r="824" spans="1:37">
      <c r="A824" t="s">
        <v>1236</v>
      </c>
      <c r="B824" t="s">
        <v>1755</v>
      </c>
      <c r="C824">
        <v>28.3</v>
      </c>
      <c r="D824" t="s">
        <v>1475</v>
      </c>
      <c r="E824">
        <v>6</v>
      </c>
      <c r="F824">
        <v>0</v>
      </c>
      <c r="G824">
        <v>4</v>
      </c>
      <c r="I824">
        <v>1.15362</v>
      </c>
      <c r="J824">
        <v>0.95055</v>
      </c>
      <c r="K824">
        <v>1.02402</v>
      </c>
      <c r="L824">
        <v>0.99479</v>
      </c>
      <c r="M824">
        <v>0.985</v>
      </c>
      <c r="N824">
        <v>1.01651</v>
      </c>
      <c r="O824">
        <v>1.01112</v>
      </c>
      <c r="P824">
        <v>1.00767</v>
      </c>
      <c r="Q824">
        <v>1</v>
      </c>
      <c r="R824">
        <v>1.01812</v>
      </c>
      <c r="S824">
        <v>1</v>
      </c>
      <c r="T824">
        <v>1.02859</v>
      </c>
      <c r="U824">
        <v>1</v>
      </c>
      <c r="V824">
        <v>16.31</v>
      </c>
      <c r="W824">
        <v>5.251</v>
      </c>
      <c r="X824">
        <v>115.976</v>
      </c>
      <c r="Y824">
        <v>53.456</v>
      </c>
      <c r="Z824">
        <v>40.258</v>
      </c>
      <c r="AA824">
        <v>231.252</v>
      </c>
      <c r="AB824">
        <v>1.02989</v>
      </c>
      <c r="AC824">
        <v>251</v>
      </c>
      <c r="AD824">
        <v>0</v>
      </c>
      <c r="AG824">
        <v>14</v>
      </c>
      <c r="AH824">
        <v>8</v>
      </c>
      <c r="AI824">
        <v>128</v>
      </c>
      <c r="AJ824">
        <v>60</v>
      </c>
      <c r="AK824">
        <v>41</v>
      </c>
    </row>
    <row r="825" spans="1:37">
      <c r="A825" t="s">
        <v>1237</v>
      </c>
      <c r="B825" t="s">
        <v>1752</v>
      </c>
      <c r="C825">
        <v>26.6</v>
      </c>
      <c r="D825" t="s">
        <v>1475</v>
      </c>
      <c r="E825">
        <v>7</v>
      </c>
      <c r="F825">
        <v>0</v>
      </c>
      <c r="G825">
        <v>5</v>
      </c>
      <c r="I825">
        <v>1.15381</v>
      </c>
      <c r="J825">
        <v>0.9503</v>
      </c>
      <c r="K825">
        <v>1.02402</v>
      </c>
      <c r="L825">
        <v>0.9942800000000001</v>
      </c>
      <c r="M825">
        <v>1.19687</v>
      </c>
      <c r="N825">
        <v>1.03453</v>
      </c>
      <c r="O825">
        <v>0.979</v>
      </c>
      <c r="P825">
        <v>1.0046</v>
      </c>
      <c r="Q825">
        <v>1</v>
      </c>
      <c r="R825">
        <v>0.86377</v>
      </c>
      <c r="S825">
        <v>1</v>
      </c>
      <c r="T825">
        <v>1.04883</v>
      </c>
      <c r="U825">
        <v>1</v>
      </c>
      <c r="V825">
        <v>53.516</v>
      </c>
      <c r="W825">
        <v>8.316000000000001</v>
      </c>
      <c r="X825">
        <v>124.45</v>
      </c>
      <c r="Y825">
        <v>35.574</v>
      </c>
      <c r="Z825">
        <v>38.933</v>
      </c>
      <c r="AA825">
        <v>260.789</v>
      </c>
      <c r="AB825">
        <v>1.00026</v>
      </c>
      <c r="AC825">
        <v>256</v>
      </c>
      <c r="AD825">
        <v>0</v>
      </c>
      <c r="AG825">
        <v>66</v>
      </c>
      <c r="AH825">
        <v>11</v>
      </c>
      <c r="AI825">
        <v>108</v>
      </c>
      <c r="AJ825">
        <v>36</v>
      </c>
      <c r="AK825">
        <v>35</v>
      </c>
    </row>
    <row r="826" spans="1:37">
      <c r="A826" t="s">
        <v>1238</v>
      </c>
      <c r="B826" t="s">
        <v>1753</v>
      </c>
      <c r="C826">
        <v>28.6</v>
      </c>
      <c r="D826" t="s">
        <v>1475</v>
      </c>
      <c r="E826">
        <v>8</v>
      </c>
      <c r="F826">
        <v>0</v>
      </c>
      <c r="G826">
        <v>6</v>
      </c>
      <c r="I826">
        <v>1.15399</v>
      </c>
      <c r="J826">
        <v>0.9553</v>
      </c>
      <c r="K826">
        <v>1.02402</v>
      </c>
      <c r="L826">
        <v>0.99377</v>
      </c>
      <c r="M826">
        <v>1.05057</v>
      </c>
      <c r="N826">
        <v>1.0127</v>
      </c>
      <c r="O826">
        <v>1.02112</v>
      </c>
      <c r="P826">
        <v>1.00349</v>
      </c>
      <c r="Q826">
        <v>1</v>
      </c>
      <c r="R826">
        <v>0.90308</v>
      </c>
      <c r="S826">
        <v>1</v>
      </c>
      <c r="T826">
        <v>1.02618</v>
      </c>
      <c r="U826">
        <v>1</v>
      </c>
      <c r="V826">
        <v>12.853</v>
      </c>
      <c r="W826">
        <v>3.653</v>
      </c>
      <c r="X826">
        <v>110.491</v>
      </c>
      <c r="Y826">
        <v>54.506</v>
      </c>
      <c r="Z826">
        <v>43.629</v>
      </c>
      <c r="AA826">
        <v>225.132</v>
      </c>
      <c r="AB826">
        <v>0.90456</v>
      </c>
      <c r="AC826">
        <v>196</v>
      </c>
      <c r="AD826">
        <v>0</v>
      </c>
      <c r="AG826">
        <v>18</v>
      </c>
      <c r="AH826">
        <v>2</v>
      </c>
      <c r="AI826">
        <v>76</v>
      </c>
      <c r="AJ826">
        <v>54</v>
      </c>
      <c r="AK826">
        <v>46</v>
      </c>
    </row>
    <row r="827" spans="1:37">
      <c r="A827" t="s">
        <v>1239</v>
      </c>
      <c r="B827" t="s">
        <v>1754</v>
      </c>
      <c r="C827">
        <v>28</v>
      </c>
      <c r="D827" t="s">
        <v>1475</v>
      </c>
      <c r="E827">
        <v>9</v>
      </c>
      <c r="F827">
        <v>0</v>
      </c>
      <c r="G827">
        <v>7</v>
      </c>
      <c r="I827">
        <v>1.15418</v>
      </c>
      <c r="J827">
        <v>0.96241</v>
      </c>
      <c r="K827">
        <v>1.02402</v>
      </c>
      <c r="L827">
        <v>0.9932800000000001</v>
      </c>
      <c r="M827">
        <v>0.94302</v>
      </c>
      <c r="N827">
        <v>1.02079</v>
      </c>
      <c r="O827">
        <v>1.00153</v>
      </c>
      <c r="P827">
        <v>1.00228</v>
      </c>
      <c r="Q827">
        <v>1</v>
      </c>
      <c r="R827">
        <v>0.89153</v>
      </c>
      <c r="S827">
        <v>1</v>
      </c>
      <c r="T827">
        <v>1.03048</v>
      </c>
      <c r="U827">
        <v>1</v>
      </c>
      <c r="V827">
        <v>17.645</v>
      </c>
      <c r="W827">
        <v>5.778</v>
      </c>
      <c r="X827">
        <v>96.18600000000001</v>
      </c>
      <c r="Y827">
        <v>46.689</v>
      </c>
      <c r="Z827">
        <v>38.306</v>
      </c>
      <c r="AA827">
        <v>204.605</v>
      </c>
      <c r="AB827">
        <v>1.00971</v>
      </c>
      <c r="AC827">
        <v>226</v>
      </c>
      <c r="AD827">
        <v>0</v>
      </c>
      <c r="AG827">
        <v>21</v>
      </c>
      <c r="AH827">
        <v>5</v>
      </c>
      <c r="AI827">
        <v>101</v>
      </c>
      <c r="AJ827">
        <v>47</v>
      </c>
      <c r="AK827">
        <v>52</v>
      </c>
    </row>
    <row r="828" spans="1:37">
      <c r="A828" t="s">
        <v>483</v>
      </c>
      <c r="B828" t="s">
        <v>1751</v>
      </c>
      <c r="C828">
        <v>28.1</v>
      </c>
      <c r="D828" t="s">
        <v>82</v>
      </c>
      <c r="E828">
        <v>10</v>
      </c>
      <c r="F828">
        <v>0</v>
      </c>
      <c r="G828">
        <v>0</v>
      </c>
      <c r="I828">
        <v>1.15437</v>
      </c>
      <c r="J828">
        <v>0.96532</v>
      </c>
      <c r="K828">
        <v>1.02402</v>
      </c>
      <c r="L828">
        <v>0.99281</v>
      </c>
      <c r="M828">
        <v>0.9043600000000001</v>
      </c>
      <c r="N828">
        <v>1.01041</v>
      </c>
      <c r="O828">
        <v>1</v>
      </c>
      <c r="P828">
        <v>1.00111</v>
      </c>
      <c r="Q828">
        <v>1</v>
      </c>
      <c r="R828">
        <v>1</v>
      </c>
      <c r="S828">
        <v>1</v>
      </c>
      <c r="T828">
        <v>1.07175</v>
      </c>
      <c r="U828">
        <v>1</v>
      </c>
      <c r="V828">
        <v>88.76000000000001</v>
      </c>
      <c r="W828">
        <v>38.996</v>
      </c>
      <c r="X828">
        <v>73.22199999999999</v>
      </c>
      <c r="Y828">
        <v>16.456</v>
      </c>
      <c r="Z828">
        <v>33.099</v>
      </c>
      <c r="AA828">
        <v>250.534</v>
      </c>
      <c r="AB828">
        <v>0.9978399999999999</v>
      </c>
      <c r="AC828">
        <v>264</v>
      </c>
      <c r="AD828">
        <v>0</v>
      </c>
      <c r="AG828">
        <v>109</v>
      </c>
      <c r="AH828">
        <v>32</v>
      </c>
      <c r="AI828">
        <v>67</v>
      </c>
      <c r="AJ828">
        <v>25</v>
      </c>
      <c r="AK828">
        <v>31</v>
      </c>
    </row>
    <row r="829" spans="1:37">
      <c r="A829" t="s">
        <v>1240</v>
      </c>
      <c r="B829" t="s">
        <v>1751</v>
      </c>
      <c r="C829">
        <v>25.3</v>
      </c>
      <c r="D829" t="s">
        <v>82</v>
      </c>
      <c r="E829">
        <v>11</v>
      </c>
      <c r="F829">
        <v>0</v>
      </c>
      <c r="G829">
        <v>0</v>
      </c>
      <c r="I829">
        <v>1.15455</v>
      </c>
      <c r="J829">
        <v>0.95294</v>
      </c>
      <c r="K829">
        <v>1.02402</v>
      </c>
      <c r="L829">
        <v>0.99236</v>
      </c>
      <c r="M829">
        <v>0.87448</v>
      </c>
      <c r="N829">
        <v>1.02801</v>
      </c>
      <c r="O829">
        <v>1</v>
      </c>
      <c r="P829">
        <v>1.00075</v>
      </c>
      <c r="Q829">
        <v>1</v>
      </c>
      <c r="R829">
        <v>1</v>
      </c>
      <c r="S829">
        <v>1</v>
      </c>
      <c r="T829">
        <v>1.06997</v>
      </c>
      <c r="U829">
        <v>1</v>
      </c>
      <c r="V829">
        <v>83.41200000000001</v>
      </c>
      <c r="W829">
        <v>38.475</v>
      </c>
      <c r="X829">
        <v>75.167</v>
      </c>
      <c r="Y829">
        <v>15.582</v>
      </c>
      <c r="Z829">
        <v>31.404</v>
      </c>
      <c r="AA829">
        <v>244.041</v>
      </c>
      <c r="AB829">
        <v>1.09516</v>
      </c>
      <c r="AC829">
        <v>279</v>
      </c>
      <c r="AD829">
        <v>0</v>
      </c>
      <c r="AG829">
        <v>91</v>
      </c>
      <c r="AH829">
        <v>52</v>
      </c>
      <c r="AI829">
        <v>79</v>
      </c>
      <c r="AJ829">
        <v>19</v>
      </c>
      <c r="AK829">
        <v>38</v>
      </c>
    </row>
    <row r="830" spans="1:37">
      <c r="A830" t="s">
        <v>1241</v>
      </c>
      <c r="B830" t="s">
        <v>1751</v>
      </c>
      <c r="C830">
        <v>25.5</v>
      </c>
      <c r="D830" t="s">
        <v>82</v>
      </c>
      <c r="E830">
        <v>12</v>
      </c>
      <c r="F830">
        <v>0</v>
      </c>
      <c r="G830">
        <v>0</v>
      </c>
      <c r="I830">
        <v>1.15474</v>
      </c>
      <c r="J830">
        <v>0.94883</v>
      </c>
      <c r="K830">
        <v>1.02402</v>
      </c>
      <c r="L830">
        <v>0.99193</v>
      </c>
      <c r="M830">
        <v>0.89905</v>
      </c>
      <c r="N830">
        <v>1.02811</v>
      </c>
      <c r="O830">
        <v>1</v>
      </c>
      <c r="P830">
        <v>1.00051</v>
      </c>
      <c r="Q830">
        <v>1</v>
      </c>
      <c r="R830">
        <v>1</v>
      </c>
      <c r="S830">
        <v>1</v>
      </c>
      <c r="T830">
        <v>1.06861</v>
      </c>
      <c r="U830">
        <v>1</v>
      </c>
      <c r="V830">
        <v>83.021</v>
      </c>
      <c r="W830">
        <v>38.292</v>
      </c>
      <c r="X830">
        <v>79.173</v>
      </c>
      <c r="Y830">
        <v>16.869</v>
      </c>
      <c r="Z830">
        <v>32.034</v>
      </c>
      <c r="AA830">
        <v>249.388</v>
      </c>
      <c r="AB830">
        <v>0.95108</v>
      </c>
      <c r="AC830">
        <v>270</v>
      </c>
      <c r="AD830">
        <v>0</v>
      </c>
      <c r="AG830">
        <v>88</v>
      </c>
      <c r="AH830">
        <v>42</v>
      </c>
      <c r="AI830">
        <v>82</v>
      </c>
      <c r="AJ830">
        <v>26</v>
      </c>
      <c r="AK830">
        <v>32</v>
      </c>
    </row>
    <row r="831" spans="1:37">
      <c r="A831" t="s">
        <v>1242</v>
      </c>
      <c r="B831" t="s">
        <v>1751</v>
      </c>
      <c r="C831">
        <v>25.6</v>
      </c>
      <c r="D831" t="s">
        <v>82</v>
      </c>
      <c r="E831">
        <v>13</v>
      </c>
      <c r="F831">
        <v>0</v>
      </c>
      <c r="G831">
        <v>0</v>
      </c>
      <c r="I831">
        <v>1.15492</v>
      </c>
      <c r="J831">
        <v>0.94248</v>
      </c>
      <c r="K831">
        <v>1.02402</v>
      </c>
      <c r="L831">
        <v>0.99154</v>
      </c>
      <c r="M831">
        <v>0.93618</v>
      </c>
      <c r="N831">
        <v>1.02991</v>
      </c>
      <c r="O831">
        <v>1</v>
      </c>
      <c r="P831">
        <v>1.00035</v>
      </c>
      <c r="Q831">
        <v>1</v>
      </c>
      <c r="R831">
        <v>1</v>
      </c>
      <c r="S831">
        <v>1</v>
      </c>
      <c r="T831">
        <v>1.06562</v>
      </c>
      <c r="U831">
        <v>1</v>
      </c>
      <c r="V831">
        <v>80.791</v>
      </c>
      <c r="W831">
        <v>36.121</v>
      </c>
      <c r="X831">
        <v>87.682</v>
      </c>
      <c r="Y831">
        <v>19.512</v>
      </c>
      <c r="Z831">
        <v>33.58</v>
      </c>
      <c r="AA831">
        <v>257.686</v>
      </c>
      <c r="AB831">
        <v>1.05209</v>
      </c>
      <c r="AC831">
        <v>259</v>
      </c>
      <c r="AD831">
        <v>0</v>
      </c>
      <c r="AG831">
        <v>82</v>
      </c>
      <c r="AH831">
        <v>36</v>
      </c>
      <c r="AI831">
        <v>86</v>
      </c>
      <c r="AJ831">
        <v>22</v>
      </c>
      <c r="AK831">
        <v>33</v>
      </c>
    </row>
    <row r="832" spans="1:37">
      <c r="A832" t="s">
        <v>1243</v>
      </c>
      <c r="B832" t="s">
        <v>1752</v>
      </c>
      <c r="C832">
        <v>27.4</v>
      </c>
      <c r="D832" t="s">
        <v>82</v>
      </c>
      <c r="E832">
        <v>14</v>
      </c>
      <c r="F832">
        <v>0</v>
      </c>
      <c r="G832">
        <v>0</v>
      </c>
      <c r="I832">
        <v>1.15511</v>
      </c>
      <c r="J832">
        <v>0.94667</v>
      </c>
      <c r="K832">
        <v>1.02402</v>
      </c>
      <c r="L832">
        <v>0.99119</v>
      </c>
      <c r="M832">
        <v>1.13402</v>
      </c>
      <c r="N832">
        <v>1.02124</v>
      </c>
      <c r="O832">
        <v>1</v>
      </c>
      <c r="P832">
        <v>1.00026</v>
      </c>
      <c r="Q832">
        <v>1</v>
      </c>
      <c r="R832">
        <v>1</v>
      </c>
      <c r="S832">
        <v>1</v>
      </c>
      <c r="T832">
        <v>1.05543</v>
      </c>
      <c r="U832">
        <v>1</v>
      </c>
      <c r="V832">
        <v>76.163</v>
      </c>
      <c r="W832">
        <v>30.545</v>
      </c>
      <c r="X832">
        <v>128.989</v>
      </c>
      <c r="Y832">
        <v>32.616</v>
      </c>
      <c r="Z832">
        <v>40.987</v>
      </c>
      <c r="AA832">
        <v>309.3</v>
      </c>
      <c r="AB832">
        <v>1.00637</v>
      </c>
      <c r="AC832">
        <v>312</v>
      </c>
      <c r="AD832">
        <v>0</v>
      </c>
      <c r="AG832">
        <v>78</v>
      </c>
      <c r="AH832">
        <v>31</v>
      </c>
      <c r="AI832">
        <v>135</v>
      </c>
      <c r="AJ832">
        <v>27</v>
      </c>
      <c r="AK832">
        <v>41</v>
      </c>
    </row>
    <row r="833" spans="1:37">
      <c r="A833" t="s">
        <v>1244</v>
      </c>
      <c r="B833" t="s">
        <v>1753</v>
      </c>
      <c r="C833">
        <v>27</v>
      </c>
      <c r="D833" t="s">
        <v>82</v>
      </c>
      <c r="E833">
        <v>15</v>
      </c>
      <c r="F833">
        <v>0</v>
      </c>
      <c r="G833">
        <v>0</v>
      </c>
      <c r="I833">
        <v>1.1553</v>
      </c>
      <c r="J833">
        <v>0.94691</v>
      </c>
      <c r="K833">
        <v>1.02402</v>
      </c>
      <c r="L833">
        <v>0.99088</v>
      </c>
      <c r="M833">
        <v>0.90993</v>
      </c>
      <c r="N833">
        <v>1.03417</v>
      </c>
      <c r="O833">
        <v>1</v>
      </c>
      <c r="P833">
        <v>0.99675</v>
      </c>
      <c r="Q833">
        <v>1</v>
      </c>
      <c r="R833">
        <v>1</v>
      </c>
      <c r="S833">
        <v>1</v>
      </c>
      <c r="T833">
        <v>1.029</v>
      </c>
      <c r="U833">
        <v>1</v>
      </c>
      <c r="V833">
        <v>18.194</v>
      </c>
      <c r="W833">
        <v>13.339</v>
      </c>
      <c r="X833">
        <v>120.832</v>
      </c>
      <c r="Y833">
        <v>51.813</v>
      </c>
      <c r="Z833">
        <v>44.14</v>
      </c>
      <c r="AA833">
        <v>248.318</v>
      </c>
      <c r="AB833">
        <v>0.98903</v>
      </c>
      <c r="AC833">
        <v>243</v>
      </c>
      <c r="AD833">
        <v>0</v>
      </c>
      <c r="AG833">
        <v>23</v>
      </c>
      <c r="AH833">
        <v>9</v>
      </c>
      <c r="AI833">
        <v>124</v>
      </c>
      <c r="AJ833">
        <v>47</v>
      </c>
      <c r="AK833">
        <v>40</v>
      </c>
    </row>
    <row r="834" spans="1:37">
      <c r="A834" t="s">
        <v>1245</v>
      </c>
      <c r="B834" t="s">
        <v>1754</v>
      </c>
      <c r="C834">
        <v>27.7</v>
      </c>
      <c r="D834" t="s">
        <v>82</v>
      </c>
      <c r="E834">
        <v>16</v>
      </c>
      <c r="F834">
        <v>0</v>
      </c>
      <c r="G834">
        <v>0</v>
      </c>
      <c r="I834">
        <v>1.15548</v>
      </c>
      <c r="J834">
        <v>0.95064</v>
      </c>
      <c r="K834">
        <v>1.02402</v>
      </c>
      <c r="L834">
        <v>0.99061</v>
      </c>
      <c r="M834">
        <v>0.84424</v>
      </c>
      <c r="N834">
        <v>1.02243</v>
      </c>
      <c r="O834">
        <v>1</v>
      </c>
      <c r="P834">
        <v>0.99354</v>
      </c>
      <c r="Q834">
        <v>1</v>
      </c>
      <c r="R834">
        <v>1</v>
      </c>
      <c r="S834">
        <v>1</v>
      </c>
      <c r="T834">
        <v>1.03421</v>
      </c>
      <c r="U834">
        <v>1</v>
      </c>
      <c r="V834">
        <v>24.876</v>
      </c>
      <c r="W834">
        <v>21.001</v>
      </c>
      <c r="X834">
        <v>101.141</v>
      </c>
      <c r="Y834">
        <v>43.09</v>
      </c>
      <c r="Z834">
        <v>39.217</v>
      </c>
      <c r="AA834">
        <v>229.325</v>
      </c>
      <c r="AB834">
        <v>1.0816</v>
      </c>
      <c r="AC834">
        <v>237</v>
      </c>
      <c r="AD834">
        <v>0</v>
      </c>
      <c r="AG834">
        <v>27</v>
      </c>
      <c r="AH834">
        <v>21</v>
      </c>
      <c r="AI834">
        <v>110</v>
      </c>
      <c r="AJ834">
        <v>48</v>
      </c>
      <c r="AK834">
        <v>31</v>
      </c>
    </row>
    <row r="835" spans="1:37">
      <c r="A835" t="s">
        <v>484</v>
      </c>
      <c r="B835" t="s">
        <v>1751</v>
      </c>
      <c r="C835">
        <v>26.1</v>
      </c>
      <c r="D835" t="s">
        <v>82</v>
      </c>
      <c r="E835">
        <v>17</v>
      </c>
      <c r="F835">
        <v>0</v>
      </c>
      <c r="G835">
        <v>0</v>
      </c>
      <c r="I835">
        <v>1.15567</v>
      </c>
      <c r="J835">
        <v>0.97182</v>
      </c>
      <c r="K835">
        <v>1.02402</v>
      </c>
      <c r="L835">
        <v>0.99038</v>
      </c>
      <c r="M835">
        <v>0.90249</v>
      </c>
      <c r="N835">
        <v>1.02373</v>
      </c>
      <c r="O835">
        <v>1</v>
      </c>
      <c r="P835">
        <v>0.99244</v>
      </c>
      <c r="Q835">
        <v>1</v>
      </c>
      <c r="R835">
        <v>1</v>
      </c>
      <c r="S835">
        <v>1</v>
      </c>
      <c r="T835">
        <v>1.07148</v>
      </c>
      <c r="U835">
        <v>1</v>
      </c>
      <c r="V835">
        <v>88.899</v>
      </c>
      <c r="W835">
        <v>38.958</v>
      </c>
      <c r="X835">
        <v>76.3</v>
      </c>
      <c r="Y835">
        <v>16.91</v>
      </c>
      <c r="Z835">
        <v>31.959</v>
      </c>
      <c r="AA835">
        <v>253.026</v>
      </c>
      <c r="AB835">
        <v>0.96865</v>
      </c>
      <c r="AC835">
        <v>229</v>
      </c>
      <c r="AD835">
        <v>0</v>
      </c>
      <c r="AG835">
        <v>85</v>
      </c>
      <c r="AH835">
        <v>41</v>
      </c>
      <c r="AI835">
        <v>63</v>
      </c>
      <c r="AJ835">
        <v>12</v>
      </c>
      <c r="AK835">
        <v>28</v>
      </c>
    </row>
    <row r="836" spans="1:37">
      <c r="A836" t="s">
        <v>1246</v>
      </c>
      <c r="B836" t="s">
        <v>1751</v>
      </c>
      <c r="C836">
        <v>26.3</v>
      </c>
      <c r="D836" t="s">
        <v>82</v>
      </c>
      <c r="E836">
        <v>18</v>
      </c>
      <c r="F836">
        <v>0</v>
      </c>
      <c r="G836">
        <v>0</v>
      </c>
      <c r="I836">
        <v>1.15586</v>
      </c>
      <c r="J836">
        <v>0.98347</v>
      </c>
      <c r="K836">
        <v>1.02402</v>
      </c>
      <c r="L836">
        <v>0.99021</v>
      </c>
      <c r="M836">
        <v>0.87608</v>
      </c>
      <c r="N836">
        <v>1.0224</v>
      </c>
      <c r="O836">
        <v>1</v>
      </c>
      <c r="P836">
        <v>0.9898400000000001</v>
      </c>
      <c r="Q836">
        <v>1</v>
      </c>
      <c r="R836">
        <v>1</v>
      </c>
      <c r="S836">
        <v>1</v>
      </c>
      <c r="T836">
        <v>1.07054</v>
      </c>
      <c r="U836">
        <v>1</v>
      </c>
      <c r="V836">
        <v>85.58199999999999</v>
      </c>
      <c r="W836">
        <v>39.349</v>
      </c>
      <c r="X836">
        <v>74.714</v>
      </c>
      <c r="Y836">
        <v>15.577</v>
      </c>
      <c r="Z836">
        <v>32.308</v>
      </c>
      <c r="AA836">
        <v>247.531</v>
      </c>
      <c r="AB836">
        <v>0.99697</v>
      </c>
      <c r="AC836">
        <v>266</v>
      </c>
      <c r="AD836">
        <v>1</v>
      </c>
      <c r="AG836">
        <v>93</v>
      </c>
      <c r="AH836">
        <v>41</v>
      </c>
      <c r="AI836">
        <v>83</v>
      </c>
      <c r="AJ836">
        <v>18</v>
      </c>
      <c r="AK836">
        <v>31</v>
      </c>
    </row>
    <row r="837" spans="1:37">
      <c r="A837" t="s">
        <v>1247</v>
      </c>
      <c r="B837" t="s">
        <v>1751</v>
      </c>
      <c r="C837">
        <v>25.4</v>
      </c>
      <c r="D837" t="s">
        <v>82</v>
      </c>
      <c r="E837">
        <v>19</v>
      </c>
      <c r="F837">
        <v>0</v>
      </c>
      <c r="G837">
        <v>0</v>
      </c>
      <c r="I837">
        <v>1.15604</v>
      </c>
      <c r="J837">
        <v>0.98488</v>
      </c>
      <c r="K837">
        <v>1.02402</v>
      </c>
      <c r="L837">
        <v>0.99009</v>
      </c>
      <c r="M837">
        <v>0.8995300000000001</v>
      </c>
      <c r="N837">
        <v>1.02846</v>
      </c>
      <c r="O837">
        <v>1</v>
      </c>
      <c r="P837">
        <v>0.98709</v>
      </c>
      <c r="Q837">
        <v>1</v>
      </c>
      <c r="R837">
        <v>1</v>
      </c>
      <c r="S837">
        <v>1</v>
      </c>
      <c r="T837">
        <v>1.06902</v>
      </c>
      <c r="U837">
        <v>1</v>
      </c>
      <c r="V837">
        <v>85.611</v>
      </c>
      <c r="W837">
        <v>39.333</v>
      </c>
      <c r="X837">
        <v>80.68000000000001</v>
      </c>
      <c r="Y837">
        <v>17.181</v>
      </c>
      <c r="Z837">
        <v>32.535</v>
      </c>
      <c r="AA837">
        <v>255.34</v>
      </c>
      <c r="AB837">
        <v>0.92378</v>
      </c>
      <c r="AC837">
        <v>235</v>
      </c>
      <c r="AD837">
        <v>0</v>
      </c>
      <c r="AG837">
        <v>80</v>
      </c>
      <c r="AH837">
        <v>39</v>
      </c>
      <c r="AI837">
        <v>83</v>
      </c>
      <c r="AJ837">
        <v>13</v>
      </c>
      <c r="AK837">
        <v>20</v>
      </c>
    </row>
    <row r="838" spans="1:37">
      <c r="A838" t="s">
        <v>1248</v>
      </c>
      <c r="B838" t="s">
        <v>1751</v>
      </c>
      <c r="C838">
        <v>26.4</v>
      </c>
      <c r="D838" t="s">
        <v>82</v>
      </c>
      <c r="E838">
        <v>20</v>
      </c>
      <c r="F838">
        <v>0</v>
      </c>
      <c r="G838">
        <v>0</v>
      </c>
      <c r="I838">
        <v>1.15623</v>
      </c>
      <c r="J838">
        <v>0.98927</v>
      </c>
      <c r="K838">
        <v>1.02402</v>
      </c>
      <c r="L838">
        <v>0.99002</v>
      </c>
      <c r="M838">
        <v>0.93668</v>
      </c>
      <c r="N838">
        <v>1.02442</v>
      </c>
      <c r="O838">
        <v>1</v>
      </c>
      <c r="P838">
        <v>0.98407</v>
      </c>
      <c r="Q838">
        <v>1</v>
      </c>
      <c r="R838">
        <v>1</v>
      </c>
      <c r="S838">
        <v>1</v>
      </c>
      <c r="T838">
        <v>1.0663</v>
      </c>
      <c r="U838">
        <v>1</v>
      </c>
      <c r="V838">
        <v>84.184</v>
      </c>
      <c r="W838">
        <v>37.465</v>
      </c>
      <c r="X838">
        <v>88.377</v>
      </c>
      <c r="Y838">
        <v>19.761</v>
      </c>
      <c r="Z838">
        <v>34.812</v>
      </c>
      <c r="AA838">
        <v>264.599</v>
      </c>
      <c r="AB838">
        <v>1.10891</v>
      </c>
      <c r="AC838">
        <v>267</v>
      </c>
      <c r="AD838">
        <v>0</v>
      </c>
      <c r="AG838">
        <v>97</v>
      </c>
      <c r="AH838">
        <v>47</v>
      </c>
      <c r="AI838">
        <v>83</v>
      </c>
      <c r="AJ838">
        <v>16</v>
      </c>
      <c r="AK838">
        <v>24</v>
      </c>
    </row>
    <row r="839" spans="1:37">
      <c r="A839" t="s">
        <v>1249</v>
      </c>
      <c r="B839" t="s">
        <v>1752</v>
      </c>
      <c r="C839">
        <v>29.4</v>
      </c>
      <c r="D839" t="s">
        <v>82</v>
      </c>
      <c r="E839">
        <v>21</v>
      </c>
      <c r="F839">
        <v>0</v>
      </c>
      <c r="G839">
        <v>0</v>
      </c>
      <c r="I839">
        <v>1.15642</v>
      </c>
      <c r="J839">
        <v>0.98925</v>
      </c>
      <c r="K839">
        <v>1.02402</v>
      </c>
      <c r="L839">
        <v>0.99</v>
      </c>
      <c r="M839">
        <v>1.12663</v>
      </c>
      <c r="N839">
        <v>0.99927</v>
      </c>
      <c r="O839">
        <v>1</v>
      </c>
      <c r="P839">
        <v>0.97972</v>
      </c>
      <c r="Q839">
        <v>1</v>
      </c>
      <c r="R839">
        <v>1</v>
      </c>
      <c r="S839">
        <v>1</v>
      </c>
      <c r="T839">
        <v>1.05658</v>
      </c>
      <c r="U839">
        <v>1</v>
      </c>
      <c r="V839">
        <v>78.95099999999999</v>
      </c>
      <c r="W839">
        <v>31.493</v>
      </c>
      <c r="X839">
        <v>124.498</v>
      </c>
      <c r="Y839">
        <v>31.97</v>
      </c>
      <c r="Z839">
        <v>42.835</v>
      </c>
      <c r="AA839">
        <v>309.747</v>
      </c>
      <c r="AB839">
        <v>0.86222</v>
      </c>
      <c r="AC839">
        <v>253</v>
      </c>
      <c r="AD839">
        <v>0</v>
      </c>
      <c r="AG839">
        <v>64</v>
      </c>
      <c r="AH839">
        <v>21</v>
      </c>
      <c r="AI839">
        <v>101</v>
      </c>
      <c r="AJ839">
        <v>27</v>
      </c>
      <c r="AK839">
        <v>40</v>
      </c>
    </row>
    <row r="840" spans="1:37">
      <c r="A840" t="s">
        <v>1250</v>
      </c>
      <c r="B840" t="s">
        <v>1753</v>
      </c>
      <c r="C840">
        <v>28.6</v>
      </c>
      <c r="D840" t="s">
        <v>82</v>
      </c>
      <c r="E840">
        <v>22</v>
      </c>
      <c r="F840">
        <v>0</v>
      </c>
      <c r="G840">
        <v>0</v>
      </c>
      <c r="I840">
        <v>1.1566</v>
      </c>
      <c r="J840">
        <v>0.98226</v>
      </c>
      <c r="K840">
        <v>1.02402</v>
      </c>
      <c r="L840">
        <v>0.98996</v>
      </c>
      <c r="M840">
        <v>0.89711</v>
      </c>
      <c r="N840">
        <v>1.01174</v>
      </c>
      <c r="O840">
        <v>1</v>
      </c>
      <c r="P840">
        <v>0.9724</v>
      </c>
      <c r="Q840">
        <v>1</v>
      </c>
      <c r="R840">
        <v>1</v>
      </c>
      <c r="S840">
        <v>1</v>
      </c>
      <c r="T840">
        <v>1.02924</v>
      </c>
      <c r="U840">
        <v>1</v>
      </c>
      <c r="V840">
        <v>18.727</v>
      </c>
      <c r="W840">
        <v>13.657</v>
      </c>
      <c r="X840">
        <v>117.128</v>
      </c>
      <c r="Y840">
        <v>50.828</v>
      </c>
      <c r="Z840">
        <v>45.566</v>
      </c>
      <c r="AA840">
        <v>245.906</v>
      </c>
      <c r="AB840">
        <v>0.91353</v>
      </c>
      <c r="AC840">
        <v>229</v>
      </c>
      <c r="AD840">
        <v>0</v>
      </c>
      <c r="AG840">
        <v>14</v>
      </c>
      <c r="AH840">
        <v>10</v>
      </c>
      <c r="AI840">
        <v>108</v>
      </c>
      <c r="AJ840">
        <v>48</v>
      </c>
      <c r="AK840">
        <v>49</v>
      </c>
    </row>
    <row r="841" spans="1:37">
      <c r="A841" t="s">
        <v>1251</v>
      </c>
      <c r="B841" t="s">
        <v>1754</v>
      </c>
      <c r="C841">
        <v>27</v>
      </c>
      <c r="D841" t="s">
        <v>82</v>
      </c>
      <c r="E841">
        <v>23</v>
      </c>
      <c r="F841">
        <v>0</v>
      </c>
      <c r="G841">
        <v>0</v>
      </c>
      <c r="I841">
        <v>1.15679</v>
      </c>
      <c r="J841">
        <v>0.9827399999999999</v>
      </c>
      <c r="K841">
        <v>1.02402</v>
      </c>
      <c r="L841">
        <v>0.98987</v>
      </c>
      <c r="M841">
        <v>0.84288</v>
      </c>
      <c r="N841">
        <v>1.03103</v>
      </c>
      <c r="O841">
        <v>1</v>
      </c>
      <c r="P841">
        <v>0.97032</v>
      </c>
      <c r="Q841">
        <v>1</v>
      </c>
      <c r="R841">
        <v>1</v>
      </c>
      <c r="S841">
        <v>1</v>
      </c>
      <c r="T841">
        <v>1.03443</v>
      </c>
      <c r="U841">
        <v>1</v>
      </c>
      <c r="V841">
        <v>25.522</v>
      </c>
      <c r="W841">
        <v>21.432</v>
      </c>
      <c r="X841">
        <v>103.619</v>
      </c>
      <c r="Y841">
        <v>43.922</v>
      </c>
      <c r="Z841">
        <v>39.102</v>
      </c>
      <c r="AA841">
        <v>233.597</v>
      </c>
      <c r="AB841">
        <v>0.92101</v>
      </c>
      <c r="AC841">
        <v>227</v>
      </c>
      <c r="AD841">
        <v>0</v>
      </c>
      <c r="AG841">
        <v>26</v>
      </c>
      <c r="AH841">
        <v>25</v>
      </c>
      <c r="AI841">
        <v>101</v>
      </c>
      <c r="AJ841">
        <v>45</v>
      </c>
      <c r="AK841">
        <v>30</v>
      </c>
    </row>
    <row r="842" spans="1:37">
      <c r="A842" t="s">
        <v>485</v>
      </c>
      <c r="B842" t="s">
        <v>1751</v>
      </c>
      <c r="C842">
        <v>26.5</v>
      </c>
      <c r="D842" t="s">
        <v>82</v>
      </c>
      <c r="E842">
        <v>24</v>
      </c>
      <c r="F842">
        <v>0</v>
      </c>
      <c r="G842">
        <v>0</v>
      </c>
      <c r="I842">
        <v>1.15697</v>
      </c>
      <c r="J842">
        <v>0.97277</v>
      </c>
      <c r="K842">
        <v>1.02402</v>
      </c>
      <c r="L842">
        <v>0.98973</v>
      </c>
      <c r="M842">
        <v>0.90396</v>
      </c>
      <c r="N842">
        <v>1.02109</v>
      </c>
      <c r="O842">
        <v>1</v>
      </c>
      <c r="P842">
        <v>0.9746</v>
      </c>
      <c r="Q842">
        <v>1</v>
      </c>
      <c r="R842">
        <v>1</v>
      </c>
      <c r="S842">
        <v>1</v>
      </c>
      <c r="T842">
        <v>1.07218</v>
      </c>
      <c r="U842">
        <v>1</v>
      </c>
      <c r="V842">
        <v>88.32299999999999</v>
      </c>
      <c r="W842">
        <v>38.498</v>
      </c>
      <c r="X842">
        <v>73.718</v>
      </c>
      <c r="Y842">
        <v>16.378</v>
      </c>
      <c r="Z842">
        <v>31.327</v>
      </c>
      <c r="AA842">
        <v>248.244</v>
      </c>
      <c r="AB842">
        <v>1.09969</v>
      </c>
      <c r="AC842">
        <v>294</v>
      </c>
      <c r="AD842">
        <v>1</v>
      </c>
      <c r="AG842">
        <v>113</v>
      </c>
      <c r="AH842">
        <v>47</v>
      </c>
      <c r="AI842">
        <v>85</v>
      </c>
      <c r="AJ842">
        <v>11</v>
      </c>
      <c r="AK842">
        <v>38</v>
      </c>
    </row>
    <row r="843" spans="1:37">
      <c r="A843" t="s">
        <v>1252</v>
      </c>
      <c r="B843" t="s">
        <v>1751</v>
      </c>
      <c r="C843">
        <v>27.2</v>
      </c>
      <c r="D843" t="s">
        <v>82</v>
      </c>
      <c r="E843">
        <v>25</v>
      </c>
      <c r="F843">
        <v>0</v>
      </c>
      <c r="G843">
        <v>0</v>
      </c>
      <c r="I843">
        <v>1.15716</v>
      </c>
      <c r="J843">
        <v>0.9672500000000001</v>
      </c>
      <c r="K843">
        <v>1.02402</v>
      </c>
      <c r="L843">
        <v>0.98954</v>
      </c>
      <c r="M843">
        <v>0.89398</v>
      </c>
      <c r="N843">
        <v>1.01471</v>
      </c>
      <c r="O843">
        <v>1</v>
      </c>
      <c r="P843">
        <v>0.97194</v>
      </c>
      <c r="Q843">
        <v>1</v>
      </c>
      <c r="R843">
        <v>1</v>
      </c>
      <c r="S843">
        <v>1</v>
      </c>
      <c r="T843">
        <v>1.07123</v>
      </c>
      <c r="U843">
        <v>0.76741</v>
      </c>
      <c r="V843">
        <v>66.834</v>
      </c>
      <c r="W843">
        <v>24.834</v>
      </c>
      <c r="X843">
        <v>42.03</v>
      </c>
      <c r="Y843">
        <v>8.081</v>
      </c>
      <c r="Z843">
        <v>40.728</v>
      </c>
      <c r="AA843">
        <v>182.508</v>
      </c>
      <c r="AB843">
        <v>1.07063</v>
      </c>
      <c r="AC843">
        <v>187</v>
      </c>
      <c r="AD843">
        <v>0</v>
      </c>
      <c r="AE843" t="s">
        <v>313</v>
      </c>
      <c r="AG843">
        <v>68</v>
      </c>
      <c r="AH843">
        <v>28</v>
      </c>
      <c r="AI843">
        <v>39</v>
      </c>
      <c r="AJ843">
        <v>10</v>
      </c>
      <c r="AK843">
        <v>42</v>
      </c>
    </row>
    <row r="844" spans="1:37">
      <c r="A844" t="s">
        <v>1253</v>
      </c>
      <c r="B844" t="s">
        <v>1751</v>
      </c>
      <c r="C844">
        <v>28.7</v>
      </c>
      <c r="D844" t="s">
        <v>82</v>
      </c>
      <c r="E844">
        <v>26</v>
      </c>
      <c r="F844">
        <v>0</v>
      </c>
      <c r="G844">
        <v>0</v>
      </c>
      <c r="I844">
        <v>1.15735</v>
      </c>
      <c r="J844">
        <v>0.96627</v>
      </c>
      <c r="K844">
        <v>1.02402</v>
      </c>
      <c r="L844">
        <v>0.9893</v>
      </c>
      <c r="M844">
        <v>0.90339</v>
      </c>
      <c r="N844">
        <v>1.00616</v>
      </c>
      <c r="O844">
        <v>1</v>
      </c>
      <c r="P844">
        <v>0.9692499999999999</v>
      </c>
      <c r="Q844">
        <v>1</v>
      </c>
      <c r="R844">
        <v>1</v>
      </c>
      <c r="S844">
        <v>1</v>
      </c>
      <c r="T844">
        <v>1.07051</v>
      </c>
      <c r="U844">
        <v>1</v>
      </c>
      <c r="V844">
        <v>83.35599999999999</v>
      </c>
      <c r="W844">
        <v>38.091</v>
      </c>
      <c r="X844">
        <v>71.23399999999999</v>
      </c>
      <c r="Y844">
        <v>15.516</v>
      </c>
      <c r="Z844">
        <v>32.524</v>
      </c>
      <c r="AA844">
        <v>240.72</v>
      </c>
      <c r="AB844">
        <v>0.94237</v>
      </c>
      <c r="AC844">
        <v>239</v>
      </c>
      <c r="AD844">
        <v>0</v>
      </c>
      <c r="AG844">
        <v>72</v>
      </c>
      <c r="AH844">
        <v>41</v>
      </c>
      <c r="AI844">
        <v>85</v>
      </c>
      <c r="AJ844">
        <v>11</v>
      </c>
      <c r="AK844">
        <v>30</v>
      </c>
    </row>
    <row r="845" spans="1:37">
      <c r="A845" t="s">
        <v>1254</v>
      </c>
      <c r="B845" t="s">
        <v>1751</v>
      </c>
      <c r="C845">
        <v>27.5</v>
      </c>
      <c r="D845" t="s">
        <v>82</v>
      </c>
      <c r="E845">
        <v>27</v>
      </c>
      <c r="F845">
        <v>0</v>
      </c>
      <c r="G845">
        <v>0</v>
      </c>
      <c r="I845">
        <v>1.15753</v>
      </c>
      <c r="J845">
        <v>0.963</v>
      </c>
      <c r="K845">
        <v>1.02402</v>
      </c>
      <c r="L845">
        <v>0.98902</v>
      </c>
      <c r="M845">
        <v>0.93732</v>
      </c>
      <c r="N845">
        <v>1.01599</v>
      </c>
      <c r="O845">
        <v>1</v>
      </c>
      <c r="P845">
        <v>0.96821</v>
      </c>
      <c r="Q845">
        <v>1</v>
      </c>
      <c r="R845">
        <v>1</v>
      </c>
      <c r="S845">
        <v>1</v>
      </c>
      <c r="T845">
        <v>1.06712</v>
      </c>
      <c r="U845">
        <v>1</v>
      </c>
      <c r="V845">
        <v>81.402</v>
      </c>
      <c r="W845">
        <v>36.059</v>
      </c>
      <c r="X845">
        <v>81.861</v>
      </c>
      <c r="Y845">
        <v>18.443</v>
      </c>
      <c r="Z845">
        <v>33.618</v>
      </c>
      <c r="AA845">
        <v>251.383</v>
      </c>
      <c r="AB845">
        <v>1.11261</v>
      </c>
      <c r="AC845">
        <v>317</v>
      </c>
      <c r="AD845">
        <v>0</v>
      </c>
      <c r="AG845">
        <v>102</v>
      </c>
      <c r="AH845">
        <v>46</v>
      </c>
      <c r="AI845">
        <v>108</v>
      </c>
      <c r="AJ845">
        <v>21</v>
      </c>
      <c r="AK845">
        <v>40</v>
      </c>
    </row>
    <row r="846" spans="1:37">
      <c r="A846" t="s">
        <v>1255</v>
      </c>
      <c r="B846" t="s">
        <v>1752</v>
      </c>
      <c r="C846">
        <v>29</v>
      </c>
      <c r="D846" t="s">
        <v>82</v>
      </c>
      <c r="E846">
        <v>28</v>
      </c>
      <c r="F846">
        <v>0</v>
      </c>
      <c r="G846">
        <v>0</v>
      </c>
      <c r="I846">
        <v>1.15772</v>
      </c>
      <c r="J846">
        <v>0.9616</v>
      </c>
      <c r="K846">
        <v>1.02402</v>
      </c>
      <c r="L846">
        <v>0.98869</v>
      </c>
      <c r="M846">
        <v>1.12639</v>
      </c>
      <c r="N846">
        <v>1.00357</v>
      </c>
      <c r="O846">
        <v>1</v>
      </c>
      <c r="P846">
        <v>0.96516</v>
      </c>
      <c r="Q846">
        <v>1</v>
      </c>
      <c r="R846">
        <v>1</v>
      </c>
      <c r="S846">
        <v>1</v>
      </c>
      <c r="T846">
        <v>1.05683</v>
      </c>
      <c r="U846">
        <v>1</v>
      </c>
      <c r="V846">
        <v>76.294</v>
      </c>
      <c r="W846">
        <v>30.317</v>
      </c>
      <c r="X846">
        <v>119.933</v>
      </c>
      <c r="Y846">
        <v>30.7</v>
      </c>
      <c r="Z846">
        <v>40.61</v>
      </c>
      <c r="AA846">
        <v>297.852</v>
      </c>
      <c r="AB846">
        <v>1.03692</v>
      </c>
      <c r="AC846">
        <v>309</v>
      </c>
      <c r="AD846">
        <v>0</v>
      </c>
      <c r="AG846">
        <v>86</v>
      </c>
      <c r="AH846">
        <v>29</v>
      </c>
      <c r="AI846">
        <v>123</v>
      </c>
      <c r="AJ846">
        <v>32</v>
      </c>
      <c r="AK846">
        <v>39</v>
      </c>
    </row>
    <row r="847" spans="1:37">
      <c r="A847" t="s">
        <v>1256</v>
      </c>
      <c r="B847" t="s">
        <v>1753</v>
      </c>
      <c r="C847">
        <v>28.8</v>
      </c>
      <c r="D847" t="s">
        <v>82</v>
      </c>
      <c r="E847">
        <v>29</v>
      </c>
      <c r="F847">
        <v>0</v>
      </c>
      <c r="G847">
        <v>0</v>
      </c>
      <c r="I847">
        <v>1.15791</v>
      </c>
      <c r="J847">
        <v>0.97315</v>
      </c>
      <c r="K847">
        <v>1.02402</v>
      </c>
      <c r="L847">
        <v>0.98832</v>
      </c>
      <c r="M847">
        <v>0.89317</v>
      </c>
      <c r="N847">
        <v>1.00889</v>
      </c>
      <c r="O847">
        <v>1</v>
      </c>
      <c r="P847">
        <v>0.9586</v>
      </c>
      <c r="Q847">
        <v>1</v>
      </c>
      <c r="R847">
        <v>1</v>
      </c>
      <c r="S847">
        <v>1</v>
      </c>
      <c r="T847">
        <v>1.02938</v>
      </c>
      <c r="U847">
        <v>1</v>
      </c>
      <c r="V847">
        <v>18.459</v>
      </c>
      <c r="W847">
        <v>13.42</v>
      </c>
      <c r="X847">
        <v>113.582</v>
      </c>
      <c r="Y847">
        <v>49.366</v>
      </c>
      <c r="Z847">
        <v>44.542</v>
      </c>
      <c r="AA847">
        <v>239.369</v>
      </c>
      <c r="AB847">
        <v>1.01059</v>
      </c>
      <c r="AC847">
        <v>240</v>
      </c>
      <c r="AD847">
        <v>0</v>
      </c>
      <c r="AG847">
        <v>19</v>
      </c>
      <c r="AH847">
        <v>12</v>
      </c>
      <c r="AI847">
        <v>103</v>
      </c>
      <c r="AJ847">
        <v>62</v>
      </c>
      <c r="AK847">
        <v>44</v>
      </c>
    </row>
    <row r="848" spans="1:37">
      <c r="A848" t="s">
        <v>1257</v>
      </c>
      <c r="B848" t="s">
        <v>1754</v>
      </c>
      <c r="C848">
        <v>29.1</v>
      </c>
      <c r="D848" t="s">
        <v>82</v>
      </c>
      <c r="E848">
        <v>30</v>
      </c>
      <c r="F848">
        <v>0</v>
      </c>
      <c r="G848">
        <v>0</v>
      </c>
      <c r="I848">
        <v>1.15809</v>
      </c>
      <c r="J848">
        <v>0.96621</v>
      </c>
      <c r="K848">
        <v>1.02402</v>
      </c>
      <c r="L848">
        <v>0.98792</v>
      </c>
      <c r="M848">
        <v>0.83395</v>
      </c>
      <c r="N848">
        <v>1.00448</v>
      </c>
      <c r="O848">
        <v>1</v>
      </c>
      <c r="P848">
        <v>0.96056</v>
      </c>
      <c r="Q848">
        <v>1</v>
      </c>
      <c r="R848">
        <v>1</v>
      </c>
      <c r="S848">
        <v>1</v>
      </c>
      <c r="T848">
        <v>1.03474</v>
      </c>
      <c r="U848">
        <v>1</v>
      </c>
      <c r="V848">
        <v>24.986</v>
      </c>
      <c r="W848">
        <v>20.933</v>
      </c>
      <c r="X848">
        <v>95.277</v>
      </c>
      <c r="Y848">
        <v>41.033</v>
      </c>
      <c r="Z848">
        <v>39.065</v>
      </c>
      <c r="AA848">
        <v>221.295</v>
      </c>
      <c r="AB848">
        <v>1.15969</v>
      </c>
      <c r="AC848">
        <v>237</v>
      </c>
      <c r="AD848">
        <v>0</v>
      </c>
      <c r="AG848">
        <v>23</v>
      </c>
      <c r="AH848">
        <v>28</v>
      </c>
      <c r="AI848">
        <v>109</v>
      </c>
      <c r="AJ848">
        <v>41</v>
      </c>
      <c r="AK848">
        <v>36</v>
      </c>
    </row>
    <row r="849" spans="1:37">
      <c r="A849" t="s">
        <v>486</v>
      </c>
      <c r="B849" t="s">
        <v>1751</v>
      </c>
      <c r="C849">
        <v>29.9</v>
      </c>
      <c r="D849" t="s">
        <v>82</v>
      </c>
      <c r="E849">
        <v>0</v>
      </c>
      <c r="F849">
        <v>0</v>
      </c>
      <c r="G849">
        <v>0</v>
      </c>
      <c r="I849">
        <v>1.15828</v>
      </c>
      <c r="J849">
        <v>0.97279</v>
      </c>
      <c r="K849">
        <v>1.02402</v>
      </c>
      <c r="L849">
        <v>0.98749</v>
      </c>
      <c r="M849">
        <v>0.9035</v>
      </c>
      <c r="N849">
        <v>0.9977</v>
      </c>
      <c r="O849">
        <v>1</v>
      </c>
      <c r="P849">
        <v>1.06029</v>
      </c>
      <c r="Q849">
        <v>1</v>
      </c>
      <c r="R849">
        <v>1</v>
      </c>
      <c r="S849">
        <v>1</v>
      </c>
      <c r="T849">
        <v>1.07058</v>
      </c>
      <c r="U849">
        <v>1</v>
      </c>
      <c r="V849">
        <v>91.637</v>
      </c>
      <c r="W849">
        <v>40.954</v>
      </c>
      <c r="X849">
        <v>76.416</v>
      </c>
      <c r="Y849">
        <v>17.418</v>
      </c>
      <c r="Z849">
        <v>37.112</v>
      </c>
      <c r="AA849">
        <v>263.538</v>
      </c>
      <c r="AB849">
        <v>0.96548</v>
      </c>
      <c r="AC849">
        <v>232</v>
      </c>
      <c r="AD849">
        <v>0</v>
      </c>
      <c r="AG849">
        <v>74</v>
      </c>
      <c r="AH849">
        <v>32</v>
      </c>
      <c r="AI849">
        <v>76</v>
      </c>
      <c r="AJ849">
        <v>16</v>
      </c>
      <c r="AK849">
        <v>34</v>
      </c>
    </row>
    <row r="850" spans="1:37">
      <c r="A850" t="s">
        <v>1258</v>
      </c>
      <c r="B850" t="s">
        <v>1751</v>
      </c>
      <c r="C850">
        <v>28.6</v>
      </c>
      <c r="D850" t="s">
        <v>82</v>
      </c>
      <c r="E850">
        <v>1</v>
      </c>
      <c r="F850">
        <v>0</v>
      </c>
      <c r="G850">
        <v>0</v>
      </c>
      <c r="I850">
        <v>1.15846</v>
      </c>
      <c r="J850">
        <v>0.97276</v>
      </c>
      <c r="K850">
        <v>1.02402</v>
      </c>
      <c r="L850">
        <v>0.98702</v>
      </c>
      <c r="M850">
        <v>0.87641</v>
      </c>
      <c r="N850">
        <v>1.00705</v>
      </c>
      <c r="O850">
        <v>1</v>
      </c>
      <c r="P850">
        <v>1.04073</v>
      </c>
      <c r="Q850">
        <v>1</v>
      </c>
      <c r="R850">
        <v>1</v>
      </c>
      <c r="S850">
        <v>1</v>
      </c>
      <c r="T850">
        <v>1.06967</v>
      </c>
      <c r="U850">
        <v>1</v>
      </c>
      <c r="V850">
        <v>86.488</v>
      </c>
      <c r="W850">
        <v>40.359</v>
      </c>
      <c r="X850">
        <v>75.038</v>
      </c>
      <c r="Y850">
        <v>15.906</v>
      </c>
      <c r="Z850">
        <v>35.467</v>
      </c>
      <c r="AA850">
        <v>253.259</v>
      </c>
      <c r="AB850">
        <v>1.07465</v>
      </c>
      <c r="AC850">
        <v>290</v>
      </c>
      <c r="AD850">
        <v>0</v>
      </c>
      <c r="AG850">
        <v>108</v>
      </c>
      <c r="AH850">
        <v>43</v>
      </c>
      <c r="AI850">
        <v>83</v>
      </c>
      <c r="AJ850">
        <v>20</v>
      </c>
      <c r="AK850">
        <v>36</v>
      </c>
    </row>
    <row r="851" spans="1:37">
      <c r="A851" t="s">
        <v>1259</v>
      </c>
      <c r="B851" t="s">
        <v>1751</v>
      </c>
      <c r="C851">
        <v>29.6</v>
      </c>
      <c r="D851" t="s">
        <v>82</v>
      </c>
      <c r="E851">
        <v>2</v>
      </c>
      <c r="F851">
        <v>0</v>
      </c>
      <c r="G851">
        <v>0</v>
      </c>
      <c r="I851">
        <v>1.15865</v>
      </c>
      <c r="J851">
        <v>0.9597</v>
      </c>
      <c r="K851">
        <v>1.02402</v>
      </c>
      <c r="L851">
        <v>0.98654</v>
      </c>
      <c r="M851">
        <v>0.9019200000000001</v>
      </c>
      <c r="N851">
        <v>0.9997</v>
      </c>
      <c r="O851">
        <v>1</v>
      </c>
      <c r="P851">
        <v>1.02755</v>
      </c>
      <c r="Q851">
        <v>1</v>
      </c>
      <c r="R851">
        <v>1</v>
      </c>
      <c r="S851">
        <v>1</v>
      </c>
      <c r="T851">
        <v>1.06899</v>
      </c>
      <c r="U851">
        <v>1</v>
      </c>
      <c r="V851">
        <v>84.79900000000001</v>
      </c>
      <c r="W851">
        <v>39.42</v>
      </c>
      <c r="X851">
        <v>75.13500000000001</v>
      </c>
      <c r="Y851">
        <v>16.482</v>
      </c>
      <c r="Z851">
        <v>35.56</v>
      </c>
      <c r="AA851">
        <v>251.397</v>
      </c>
      <c r="AB851">
        <v>1.00594</v>
      </c>
      <c r="AC851">
        <v>256</v>
      </c>
      <c r="AD851">
        <v>0</v>
      </c>
      <c r="AG851">
        <v>80</v>
      </c>
      <c r="AH851">
        <v>56</v>
      </c>
      <c r="AI851">
        <v>70</v>
      </c>
      <c r="AJ851">
        <v>14</v>
      </c>
      <c r="AK851">
        <v>36</v>
      </c>
    </row>
    <row r="852" spans="1:37">
      <c r="A852" t="s">
        <v>1260</v>
      </c>
      <c r="B852" t="s">
        <v>1751</v>
      </c>
      <c r="C852">
        <v>29.1</v>
      </c>
      <c r="D852" t="s">
        <v>82</v>
      </c>
      <c r="E852">
        <v>3</v>
      </c>
      <c r="F852">
        <v>0</v>
      </c>
      <c r="G852">
        <v>0</v>
      </c>
      <c r="I852">
        <v>1.15884</v>
      </c>
      <c r="J852">
        <v>0.9625899999999999</v>
      </c>
      <c r="K852">
        <v>1.02402</v>
      </c>
      <c r="L852">
        <v>0.98604</v>
      </c>
      <c r="M852">
        <v>0.9372</v>
      </c>
      <c r="N852">
        <v>1.00326</v>
      </c>
      <c r="O852">
        <v>1</v>
      </c>
      <c r="P852">
        <v>1.01905</v>
      </c>
      <c r="Q852">
        <v>1</v>
      </c>
      <c r="R852">
        <v>1</v>
      </c>
      <c r="S852">
        <v>1</v>
      </c>
      <c r="T852">
        <v>1.06612</v>
      </c>
      <c r="U852">
        <v>1</v>
      </c>
      <c r="V852">
        <v>82.996</v>
      </c>
      <c r="W852">
        <v>37.304</v>
      </c>
      <c r="X852">
        <v>84.229</v>
      </c>
      <c r="Y852">
        <v>19.211</v>
      </c>
      <c r="Z852">
        <v>36.864</v>
      </c>
      <c r="AA852">
        <v>260.604</v>
      </c>
      <c r="AB852">
        <v>0.97995</v>
      </c>
      <c r="AC852">
        <v>259</v>
      </c>
      <c r="AD852">
        <v>0</v>
      </c>
      <c r="AG852">
        <v>86</v>
      </c>
      <c r="AH852">
        <v>38</v>
      </c>
      <c r="AI852">
        <v>76</v>
      </c>
      <c r="AJ852">
        <v>27</v>
      </c>
      <c r="AK852">
        <v>32</v>
      </c>
    </row>
    <row r="853" spans="1:37">
      <c r="A853" t="s">
        <v>1261</v>
      </c>
      <c r="B853" t="s">
        <v>1752</v>
      </c>
      <c r="C853">
        <v>28.8</v>
      </c>
      <c r="D853" t="s">
        <v>82</v>
      </c>
      <c r="E853">
        <v>4</v>
      </c>
      <c r="F853">
        <v>0</v>
      </c>
      <c r="G853">
        <v>0</v>
      </c>
      <c r="I853">
        <v>1.15902</v>
      </c>
      <c r="J853">
        <v>0.97663</v>
      </c>
      <c r="K853">
        <v>1.05022</v>
      </c>
      <c r="L853">
        <v>0.98554</v>
      </c>
      <c r="M853">
        <v>1.13136</v>
      </c>
      <c r="N853">
        <v>1.00584</v>
      </c>
      <c r="O853">
        <v>1</v>
      </c>
      <c r="P853">
        <v>1.01408</v>
      </c>
      <c r="Q853">
        <v>1</v>
      </c>
      <c r="R853">
        <v>1</v>
      </c>
      <c r="S853">
        <v>1</v>
      </c>
      <c r="T853">
        <v>1.0556</v>
      </c>
      <c r="U853">
        <v>1</v>
      </c>
      <c r="V853">
        <v>80.828</v>
      </c>
      <c r="W853">
        <v>32.532</v>
      </c>
      <c r="X853">
        <v>133.623</v>
      </c>
      <c r="Y853">
        <v>34.149</v>
      </c>
      <c r="Z853">
        <v>44.883</v>
      </c>
      <c r="AA853">
        <v>326.015</v>
      </c>
      <c r="AB853">
        <v>1.01076</v>
      </c>
      <c r="AC853">
        <v>359</v>
      </c>
      <c r="AD853">
        <v>0</v>
      </c>
      <c r="AG853">
        <v>81</v>
      </c>
      <c r="AH853">
        <v>41</v>
      </c>
      <c r="AI853">
        <v>148</v>
      </c>
      <c r="AJ853">
        <v>34</v>
      </c>
      <c r="AK853">
        <v>55</v>
      </c>
    </row>
    <row r="854" spans="1:37">
      <c r="A854" t="s">
        <v>1262</v>
      </c>
      <c r="B854" t="s">
        <v>1753</v>
      </c>
      <c r="C854">
        <v>29.7</v>
      </c>
      <c r="D854" t="s">
        <v>82</v>
      </c>
      <c r="E854">
        <v>5</v>
      </c>
      <c r="F854">
        <v>0</v>
      </c>
      <c r="G854">
        <v>0</v>
      </c>
      <c r="I854">
        <v>1.15921</v>
      </c>
      <c r="J854">
        <v>0.98575</v>
      </c>
      <c r="K854">
        <v>1.05022</v>
      </c>
      <c r="L854">
        <v>0.98502</v>
      </c>
      <c r="M854">
        <v>0.89959</v>
      </c>
      <c r="N854">
        <v>0.99641</v>
      </c>
      <c r="O854">
        <v>1</v>
      </c>
      <c r="P854">
        <v>1.01119</v>
      </c>
      <c r="Q854">
        <v>1</v>
      </c>
      <c r="R854">
        <v>1</v>
      </c>
      <c r="S854">
        <v>1</v>
      </c>
      <c r="T854">
        <v>1.029</v>
      </c>
      <c r="U854">
        <v>1</v>
      </c>
      <c r="V854">
        <v>19.467</v>
      </c>
      <c r="W854">
        <v>14.318</v>
      </c>
      <c r="X854">
        <v>121.843</v>
      </c>
      <c r="Y854">
        <v>53.334</v>
      </c>
      <c r="Z854">
        <v>49.528</v>
      </c>
      <c r="AA854">
        <v>258.49</v>
      </c>
      <c r="AB854">
        <v>0.96001</v>
      </c>
      <c r="AC854">
        <v>236</v>
      </c>
      <c r="AD854">
        <v>0</v>
      </c>
      <c r="AG854">
        <v>14</v>
      </c>
      <c r="AH854">
        <v>17</v>
      </c>
      <c r="AI854">
        <v>111</v>
      </c>
      <c r="AJ854">
        <v>44</v>
      </c>
      <c r="AK854">
        <v>50</v>
      </c>
    </row>
    <row r="855" spans="1:37">
      <c r="A855" t="s">
        <v>1263</v>
      </c>
      <c r="B855" t="s">
        <v>1754</v>
      </c>
      <c r="C855">
        <v>30.9</v>
      </c>
      <c r="D855" t="s">
        <v>82</v>
      </c>
      <c r="E855">
        <v>6</v>
      </c>
      <c r="F855">
        <v>0</v>
      </c>
      <c r="G855">
        <v>0</v>
      </c>
      <c r="I855">
        <v>1.15939</v>
      </c>
      <c r="J855">
        <v>0.97278</v>
      </c>
      <c r="K855">
        <v>1.05022</v>
      </c>
      <c r="L855">
        <v>0.98451</v>
      </c>
      <c r="M855">
        <v>0.83538</v>
      </c>
      <c r="N855">
        <v>0.98307</v>
      </c>
      <c r="O855">
        <v>1</v>
      </c>
      <c r="P855">
        <v>1.00713</v>
      </c>
      <c r="Q855">
        <v>1</v>
      </c>
      <c r="R855">
        <v>1</v>
      </c>
      <c r="S855">
        <v>1</v>
      </c>
      <c r="T855">
        <v>1.03437</v>
      </c>
      <c r="U855">
        <v>1</v>
      </c>
      <c r="V855">
        <v>26.156</v>
      </c>
      <c r="W855">
        <v>22.151</v>
      </c>
      <c r="X855">
        <v>98.911</v>
      </c>
      <c r="Y855">
        <v>43.201</v>
      </c>
      <c r="Z855">
        <v>43.509</v>
      </c>
      <c r="AA855">
        <v>233.928</v>
      </c>
      <c r="AB855">
        <v>1.04384</v>
      </c>
      <c r="AC855">
        <v>245</v>
      </c>
      <c r="AD855">
        <v>0</v>
      </c>
      <c r="AG855">
        <v>32</v>
      </c>
      <c r="AH855">
        <v>22</v>
      </c>
      <c r="AI855">
        <v>109</v>
      </c>
      <c r="AJ855">
        <v>45</v>
      </c>
      <c r="AK855">
        <v>37</v>
      </c>
    </row>
    <row r="856" spans="1:37">
      <c r="A856" t="s">
        <v>487</v>
      </c>
      <c r="B856" t="s">
        <v>1751</v>
      </c>
      <c r="C856">
        <v>32</v>
      </c>
      <c r="D856" t="s">
        <v>82</v>
      </c>
      <c r="E856">
        <v>7</v>
      </c>
      <c r="F856">
        <v>0</v>
      </c>
      <c r="G856">
        <v>0</v>
      </c>
      <c r="I856">
        <v>1.15958</v>
      </c>
      <c r="J856">
        <v>0.97602</v>
      </c>
      <c r="K856">
        <v>1.05022</v>
      </c>
      <c r="L856">
        <v>0.984</v>
      </c>
      <c r="M856">
        <v>0.90888</v>
      </c>
      <c r="N856">
        <v>0.98536</v>
      </c>
      <c r="O856">
        <v>1</v>
      </c>
      <c r="P856">
        <v>1.00364</v>
      </c>
      <c r="Q856">
        <v>1</v>
      </c>
      <c r="R856">
        <v>1</v>
      </c>
      <c r="S856">
        <v>1</v>
      </c>
      <c r="T856">
        <v>1.07283</v>
      </c>
      <c r="U856">
        <v>1</v>
      </c>
      <c r="V856">
        <v>91.744</v>
      </c>
      <c r="W856">
        <v>40.34</v>
      </c>
      <c r="X856">
        <v>68.77</v>
      </c>
      <c r="Y856">
        <v>15.922</v>
      </c>
      <c r="Z856">
        <v>36.122</v>
      </c>
      <c r="AA856">
        <v>252.897</v>
      </c>
      <c r="AB856">
        <v>0.90266</v>
      </c>
      <c r="AC856">
        <v>239</v>
      </c>
      <c r="AD856">
        <v>0</v>
      </c>
      <c r="AG856">
        <v>78</v>
      </c>
      <c r="AH856">
        <v>36</v>
      </c>
      <c r="AI856">
        <v>68</v>
      </c>
      <c r="AJ856">
        <v>14</v>
      </c>
      <c r="AK856">
        <v>43</v>
      </c>
    </row>
    <row r="857" spans="1:37">
      <c r="A857" t="s">
        <v>1264</v>
      </c>
      <c r="B857" t="s">
        <v>1751</v>
      </c>
      <c r="C857">
        <v>32.6</v>
      </c>
      <c r="D857" t="s">
        <v>82</v>
      </c>
      <c r="E857">
        <v>8</v>
      </c>
      <c r="F857">
        <v>0</v>
      </c>
      <c r="G857">
        <v>0</v>
      </c>
      <c r="I857">
        <v>1.15977</v>
      </c>
      <c r="J857">
        <v>0.97768</v>
      </c>
      <c r="K857">
        <v>1.05022</v>
      </c>
      <c r="L857">
        <v>0.9835</v>
      </c>
      <c r="M857">
        <v>0.88305</v>
      </c>
      <c r="N857">
        <v>0.98298</v>
      </c>
      <c r="O857">
        <v>1</v>
      </c>
      <c r="P857">
        <v>1.00245</v>
      </c>
      <c r="Q857">
        <v>1</v>
      </c>
      <c r="R857">
        <v>1</v>
      </c>
      <c r="S857">
        <v>1</v>
      </c>
      <c r="T857">
        <v>1.07184</v>
      </c>
      <c r="U857">
        <v>1</v>
      </c>
      <c r="V857">
        <v>87.447</v>
      </c>
      <c r="W857">
        <v>40.359</v>
      </c>
      <c r="X857">
        <v>66.224</v>
      </c>
      <c r="Y857">
        <v>14.463</v>
      </c>
      <c r="Z857">
        <v>36.386</v>
      </c>
      <c r="AA857">
        <v>244.878</v>
      </c>
      <c r="AB857">
        <v>0.99383</v>
      </c>
      <c r="AC857">
        <v>251</v>
      </c>
      <c r="AD857">
        <v>1</v>
      </c>
      <c r="AG857">
        <v>94</v>
      </c>
      <c r="AH857">
        <v>38</v>
      </c>
      <c r="AI857">
        <v>61</v>
      </c>
      <c r="AJ857">
        <v>15</v>
      </c>
      <c r="AK857">
        <v>43</v>
      </c>
    </row>
    <row r="858" spans="1:37">
      <c r="A858" t="s">
        <v>1265</v>
      </c>
      <c r="B858" t="s">
        <v>1751</v>
      </c>
      <c r="C858">
        <v>35.2</v>
      </c>
      <c r="D858" t="s">
        <v>82</v>
      </c>
      <c r="E858">
        <v>9</v>
      </c>
      <c r="F858">
        <v>0</v>
      </c>
      <c r="G858">
        <v>0</v>
      </c>
      <c r="I858">
        <v>1.15995</v>
      </c>
      <c r="J858">
        <v>0.98394</v>
      </c>
      <c r="K858">
        <v>1.05022</v>
      </c>
      <c r="L858">
        <v>0.9830100000000001</v>
      </c>
      <c r="M858">
        <v>0.90724</v>
      </c>
      <c r="N858">
        <v>0.97365</v>
      </c>
      <c r="O858">
        <v>1</v>
      </c>
      <c r="P858">
        <v>1.00165</v>
      </c>
      <c r="Q858">
        <v>1</v>
      </c>
      <c r="R858">
        <v>1</v>
      </c>
      <c r="S858">
        <v>1</v>
      </c>
      <c r="T858">
        <v>1.07079</v>
      </c>
      <c r="U858">
        <v>1</v>
      </c>
      <c r="V858">
        <v>87.94499999999999</v>
      </c>
      <c r="W858">
        <v>40.579</v>
      </c>
      <c r="X858">
        <v>67.80200000000001</v>
      </c>
      <c r="Y858">
        <v>15.41</v>
      </c>
      <c r="Z858">
        <v>38.62</v>
      </c>
      <c r="AA858">
        <v>250.356</v>
      </c>
      <c r="AB858">
        <v>0.96136</v>
      </c>
      <c r="AC858">
        <v>234</v>
      </c>
      <c r="AD858">
        <v>0</v>
      </c>
      <c r="AG858">
        <v>72</v>
      </c>
      <c r="AH858">
        <v>29</v>
      </c>
      <c r="AI858">
        <v>74</v>
      </c>
      <c r="AJ858">
        <v>20</v>
      </c>
      <c r="AK858">
        <v>39</v>
      </c>
    </row>
    <row r="859" spans="1:37">
      <c r="A859" t="s">
        <v>1266</v>
      </c>
      <c r="B859" t="s">
        <v>1751</v>
      </c>
      <c r="C859">
        <v>35.4</v>
      </c>
      <c r="D859" t="s">
        <v>82</v>
      </c>
      <c r="E859">
        <v>10</v>
      </c>
      <c r="F859">
        <v>0</v>
      </c>
      <c r="G859">
        <v>0</v>
      </c>
      <c r="I859">
        <v>1.16014</v>
      </c>
      <c r="J859">
        <v>0.97971</v>
      </c>
      <c r="K859">
        <v>1.05022</v>
      </c>
      <c r="L859">
        <v>0.98255</v>
      </c>
      <c r="M859">
        <v>0.93938</v>
      </c>
      <c r="N859">
        <v>0.96998</v>
      </c>
      <c r="O859">
        <v>1</v>
      </c>
      <c r="P859">
        <v>1.00114</v>
      </c>
      <c r="Q859">
        <v>1</v>
      </c>
      <c r="R859">
        <v>1</v>
      </c>
      <c r="S859">
        <v>1</v>
      </c>
      <c r="T859">
        <v>1.06787</v>
      </c>
      <c r="U859">
        <v>1</v>
      </c>
      <c r="V859">
        <v>85.768</v>
      </c>
      <c r="W859">
        <v>38.357</v>
      </c>
      <c r="X859">
        <v>75.18899999999999</v>
      </c>
      <c r="Y859">
        <v>17.852</v>
      </c>
      <c r="Z859">
        <v>40.599</v>
      </c>
      <c r="AA859">
        <v>257.765</v>
      </c>
      <c r="AB859">
        <v>0.9731</v>
      </c>
      <c r="AC859">
        <v>270</v>
      </c>
      <c r="AD859">
        <v>0</v>
      </c>
      <c r="AG859">
        <v>94</v>
      </c>
      <c r="AH859">
        <v>39</v>
      </c>
      <c r="AI859">
        <v>66</v>
      </c>
      <c r="AJ859">
        <v>22</v>
      </c>
      <c r="AK859">
        <v>49</v>
      </c>
    </row>
    <row r="860" spans="1:37">
      <c r="A860" t="s">
        <v>1267</v>
      </c>
      <c r="B860" t="s">
        <v>1752</v>
      </c>
      <c r="C860">
        <v>36.1</v>
      </c>
      <c r="D860" t="s">
        <v>82</v>
      </c>
      <c r="E860">
        <v>11</v>
      </c>
      <c r="F860">
        <v>0</v>
      </c>
      <c r="G860">
        <v>0</v>
      </c>
      <c r="I860">
        <v>1.16033</v>
      </c>
      <c r="J860">
        <v>0.9760799999999999</v>
      </c>
      <c r="K860">
        <v>1.05022</v>
      </c>
      <c r="L860">
        <v>0.98211</v>
      </c>
      <c r="M860">
        <v>1.11557</v>
      </c>
      <c r="N860">
        <v>0.95425</v>
      </c>
      <c r="O860">
        <v>1</v>
      </c>
      <c r="P860">
        <v>1.00084</v>
      </c>
      <c r="Q860">
        <v>1</v>
      </c>
      <c r="R860">
        <v>1</v>
      </c>
      <c r="S860">
        <v>1</v>
      </c>
      <c r="T860">
        <v>1.05736</v>
      </c>
      <c r="U860">
        <v>1</v>
      </c>
      <c r="V860">
        <v>80.18300000000001</v>
      </c>
      <c r="W860">
        <v>32.163</v>
      </c>
      <c r="X860">
        <v>113.396</v>
      </c>
      <c r="Y860">
        <v>30.312</v>
      </c>
      <c r="Z860">
        <v>48.33</v>
      </c>
      <c r="AA860">
        <v>304.384</v>
      </c>
      <c r="AB860">
        <v>0.99364</v>
      </c>
      <c r="AC860">
        <v>321</v>
      </c>
      <c r="AD860">
        <v>0</v>
      </c>
      <c r="AG860">
        <v>88</v>
      </c>
      <c r="AH860">
        <v>35</v>
      </c>
      <c r="AI860">
        <v>115</v>
      </c>
      <c r="AJ860">
        <v>32</v>
      </c>
      <c r="AK860">
        <v>51</v>
      </c>
    </row>
    <row r="861" spans="1:37">
      <c r="A861" t="s">
        <v>1268</v>
      </c>
      <c r="B861" t="s">
        <v>1753</v>
      </c>
      <c r="C861">
        <v>34.6</v>
      </c>
      <c r="D861" t="s">
        <v>82</v>
      </c>
      <c r="E861">
        <v>12</v>
      </c>
      <c r="F861">
        <v>0</v>
      </c>
      <c r="G861">
        <v>0</v>
      </c>
      <c r="I861">
        <v>1.16051</v>
      </c>
      <c r="J861">
        <v>0.96831</v>
      </c>
      <c r="K861">
        <v>1.05022</v>
      </c>
      <c r="L861">
        <v>0.98171</v>
      </c>
      <c r="M861">
        <v>0.87963</v>
      </c>
      <c r="N861">
        <v>0.94898</v>
      </c>
      <c r="O861">
        <v>1</v>
      </c>
      <c r="P861">
        <v>1.00068</v>
      </c>
      <c r="Q861">
        <v>1</v>
      </c>
      <c r="R861">
        <v>1</v>
      </c>
      <c r="S861">
        <v>1</v>
      </c>
      <c r="T861">
        <v>1.02907</v>
      </c>
      <c r="U861">
        <v>1</v>
      </c>
      <c r="V861">
        <v>19.015</v>
      </c>
      <c r="W861">
        <v>13.953</v>
      </c>
      <c r="X861">
        <v>106.535</v>
      </c>
      <c r="Y861">
        <v>48.153</v>
      </c>
      <c r="Z861">
        <v>51.124</v>
      </c>
      <c r="AA861">
        <v>238.78</v>
      </c>
      <c r="AB861">
        <v>0.96614</v>
      </c>
      <c r="AC861">
        <v>229</v>
      </c>
      <c r="AD861">
        <v>0</v>
      </c>
      <c r="AG861">
        <v>28</v>
      </c>
      <c r="AH861">
        <v>11</v>
      </c>
      <c r="AI861">
        <v>94</v>
      </c>
      <c r="AJ861">
        <v>46</v>
      </c>
      <c r="AK861">
        <v>50</v>
      </c>
    </row>
    <row r="862" spans="1:37">
      <c r="A862" t="s">
        <v>1269</v>
      </c>
      <c r="B862" t="s">
        <v>1754</v>
      </c>
      <c r="C862">
        <v>34.5</v>
      </c>
      <c r="D862" t="s">
        <v>82</v>
      </c>
      <c r="E862">
        <v>13</v>
      </c>
      <c r="F862">
        <v>0</v>
      </c>
      <c r="G862">
        <v>0</v>
      </c>
      <c r="I862">
        <v>1.1607</v>
      </c>
      <c r="J862">
        <v>0.96299</v>
      </c>
      <c r="K862">
        <v>1.05022</v>
      </c>
      <c r="L862">
        <v>0.98134</v>
      </c>
      <c r="M862">
        <v>0.82584</v>
      </c>
      <c r="N862">
        <v>0.95472</v>
      </c>
      <c r="O862">
        <v>1</v>
      </c>
      <c r="P862">
        <v>1.00043</v>
      </c>
      <c r="Q862">
        <v>1</v>
      </c>
      <c r="R862">
        <v>1</v>
      </c>
      <c r="S862">
        <v>1</v>
      </c>
      <c r="T862">
        <v>1.03457</v>
      </c>
      <c r="U862">
        <v>1</v>
      </c>
      <c r="V862">
        <v>25.779</v>
      </c>
      <c r="W862">
        <v>21.799</v>
      </c>
      <c r="X862">
        <v>90.339</v>
      </c>
      <c r="Y862">
        <v>40.347</v>
      </c>
      <c r="Z862">
        <v>44.666</v>
      </c>
      <c r="AA862">
        <v>222.931</v>
      </c>
      <c r="AB862">
        <v>1.09655</v>
      </c>
      <c r="AC862">
        <v>225</v>
      </c>
      <c r="AD862">
        <v>0</v>
      </c>
      <c r="AG862">
        <v>31</v>
      </c>
      <c r="AH862">
        <v>25</v>
      </c>
      <c r="AI862">
        <v>92</v>
      </c>
      <c r="AJ862">
        <v>41</v>
      </c>
      <c r="AK862">
        <v>36</v>
      </c>
    </row>
    <row r="863" spans="1:37">
      <c r="A863" t="s">
        <v>488</v>
      </c>
      <c r="B863" t="s">
        <v>1751</v>
      </c>
      <c r="C863">
        <v>33.4</v>
      </c>
      <c r="D863" t="s">
        <v>82</v>
      </c>
      <c r="E863">
        <v>14</v>
      </c>
      <c r="F863">
        <v>0</v>
      </c>
      <c r="G863">
        <v>0</v>
      </c>
      <c r="I863">
        <v>1.16088</v>
      </c>
      <c r="J863">
        <v>0.97594</v>
      </c>
      <c r="K863">
        <v>1.05022</v>
      </c>
      <c r="L863">
        <v>0.98101</v>
      </c>
      <c r="M863">
        <v>0.91034</v>
      </c>
      <c r="N863">
        <v>0.97945</v>
      </c>
      <c r="O863">
        <v>1</v>
      </c>
      <c r="P863">
        <v>1.00022</v>
      </c>
      <c r="Q863">
        <v>1</v>
      </c>
      <c r="R863">
        <v>1</v>
      </c>
      <c r="S863">
        <v>1</v>
      </c>
      <c r="T863">
        <v>1.0732</v>
      </c>
      <c r="U863">
        <v>1</v>
      </c>
      <c r="V863">
        <v>91.42</v>
      </c>
      <c r="W863">
        <v>40.157</v>
      </c>
      <c r="X863">
        <v>66.416</v>
      </c>
      <c r="Y863">
        <v>15.512</v>
      </c>
      <c r="Z863">
        <v>36.514</v>
      </c>
      <c r="AA863">
        <v>250.019</v>
      </c>
      <c r="AB863">
        <v>1.01206</v>
      </c>
      <c r="AC863">
        <v>243</v>
      </c>
      <c r="AD863">
        <v>0</v>
      </c>
      <c r="AG863">
        <v>100</v>
      </c>
      <c r="AH863">
        <v>44</v>
      </c>
      <c r="AI863">
        <v>53</v>
      </c>
      <c r="AJ863">
        <v>13</v>
      </c>
      <c r="AK863">
        <v>33</v>
      </c>
    </row>
    <row r="864" spans="1:37">
      <c r="A864" t="s">
        <v>1270</v>
      </c>
      <c r="B864" t="s">
        <v>1751</v>
      </c>
      <c r="C864">
        <v>31.2</v>
      </c>
      <c r="D864" t="s">
        <v>82</v>
      </c>
      <c r="E864">
        <v>15</v>
      </c>
      <c r="F864">
        <v>0</v>
      </c>
      <c r="G864">
        <v>0</v>
      </c>
      <c r="I864">
        <v>1.16107</v>
      </c>
      <c r="J864">
        <v>0.97629</v>
      </c>
      <c r="K864">
        <v>1.05022</v>
      </c>
      <c r="L864">
        <v>0.98072</v>
      </c>
      <c r="M864">
        <v>0.89706</v>
      </c>
      <c r="N864">
        <v>1.00112</v>
      </c>
      <c r="O864">
        <v>1</v>
      </c>
      <c r="P864">
        <v>0.99762</v>
      </c>
      <c r="Q864">
        <v>1</v>
      </c>
      <c r="R864">
        <v>1</v>
      </c>
      <c r="S864">
        <v>1</v>
      </c>
      <c r="T864">
        <v>1.07072</v>
      </c>
      <c r="U864">
        <v>0.7775</v>
      </c>
      <c r="V864">
        <v>69.58799999999999</v>
      </c>
      <c r="W864">
        <v>26.058</v>
      </c>
      <c r="X864">
        <v>40.56</v>
      </c>
      <c r="Y864">
        <v>8.042</v>
      </c>
      <c r="Z864">
        <v>45.976</v>
      </c>
      <c r="AA864">
        <v>190.224</v>
      </c>
      <c r="AB864">
        <v>1.11314</v>
      </c>
      <c r="AC864">
        <v>214</v>
      </c>
      <c r="AD864">
        <v>0</v>
      </c>
      <c r="AE864" t="s">
        <v>313</v>
      </c>
      <c r="AG864">
        <v>80</v>
      </c>
      <c r="AH864">
        <v>32</v>
      </c>
      <c r="AI864">
        <v>39</v>
      </c>
      <c r="AJ864">
        <v>10</v>
      </c>
      <c r="AK864">
        <v>53</v>
      </c>
    </row>
    <row r="865" spans="1:37">
      <c r="A865" t="s">
        <v>1271</v>
      </c>
      <c r="B865" t="s">
        <v>1751</v>
      </c>
      <c r="C865">
        <v>29.9</v>
      </c>
      <c r="D865" t="s">
        <v>82</v>
      </c>
      <c r="E865">
        <v>16</v>
      </c>
      <c r="F865">
        <v>0</v>
      </c>
      <c r="G865">
        <v>0</v>
      </c>
      <c r="I865">
        <v>1.16126</v>
      </c>
      <c r="J865">
        <v>0.98098</v>
      </c>
      <c r="K865">
        <v>1.05022</v>
      </c>
      <c r="L865">
        <v>0.98048</v>
      </c>
      <c r="M865">
        <v>0.90352</v>
      </c>
      <c r="N865">
        <v>0.99758</v>
      </c>
      <c r="O865">
        <v>1</v>
      </c>
      <c r="P865">
        <v>0.995</v>
      </c>
      <c r="Q865">
        <v>1</v>
      </c>
      <c r="R865">
        <v>1</v>
      </c>
      <c r="S865">
        <v>1</v>
      </c>
      <c r="T865">
        <v>1.07009</v>
      </c>
      <c r="U865">
        <v>1</v>
      </c>
      <c r="V865">
        <v>87.295</v>
      </c>
      <c r="W865">
        <v>40.201</v>
      </c>
      <c r="X865">
        <v>74.26900000000001</v>
      </c>
      <c r="Y865">
        <v>16.33</v>
      </c>
      <c r="Z865">
        <v>35.569</v>
      </c>
      <c r="AA865">
        <v>253.664</v>
      </c>
      <c r="AB865">
        <v>1.09901</v>
      </c>
      <c r="AC865">
        <v>274</v>
      </c>
      <c r="AD865">
        <v>1</v>
      </c>
      <c r="AG865">
        <v>82</v>
      </c>
      <c r="AH865">
        <v>52</v>
      </c>
      <c r="AI865">
        <v>83</v>
      </c>
      <c r="AJ865">
        <v>17</v>
      </c>
      <c r="AK865">
        <v>40</v>
      </c>
    </row>
    <row r="866" spans="1:37">
      <c r="A866" t="s">
        <v>1272</v>
      </c>
      <c r="B866" t="s">
        <v>1751</v>
      </c>
      <c r="C866">
        <v>31.2</v>
      </c>
      <c r="D866" t="s">
        <v>82</v>
      </c>
      <c r="E866">
        <v>17</v>
      </c>
      <c r="F866">
        <v>0</v>
      </c>
      <c r="G866">
        <v>0</v>
      </c>
      <c r="I866">
        <v>1.16144</v>
      </c>
      <c r="J866">
        <v>0.97731</v>
      </c>
      <c r="K866">
        <v>1.05022</v>
      </c>
      <c r="L866">
        <v>0.98028</v>
      </c>
      <c r="M866">
        <v>0.93836</v>
      </c>
      <c r="N866">
        <v>0.9877</v>
      </c>
      <c r="O866">
        <v>1</v>
      </c>
      <c r="P866">
        <v>0.99222</v>
      </c>
      <c r="Q866">
        <v>1</v>
      </c>
      <c r="R866">
        <v>1</v>
      </c>
      <c r="S866">
        <v>1</v>
      </c>
      <c r="T866">
        <v>1.06753</v>
      </c>
      <c r="U866">
        <v>1</v>
      </c>
      <c r="V866">
        <v>85.128</v>
      </c>
      <c r="W866">
        <v>37.974</v>
      </c>
      <c r="X866">
        <v>79.73399999999999</v>
      </c>
      <c r="Y866">
        <v>18.484</v>
      </c>
      <c r="Z866">
        <v>37.86</v>
      </c>
      <c r="AA866">
        <v>259.18</v>
      </c>
      <c r="AB866">
        <v>0.93834</v>
      </c>
      <c r="AC866">
        <v>240</v>
      </c>
      <c r="AD866">
        <v>0</v>
      </c>
      <c r="AG866">
        <v>80</v>
      </c>
      <c r="AH866">
        <v>44</v>
      </c>
      <c r="AI866">
        <v>57</v>
      </c>
      <c r="AJ866">
        <v>13</v>
      </c>
      <c r="AK866">
        <v>46</v>
      </c>
    </row>
    <row r="867" spans="1:37">
      <c r="A867" t="s">
        <v>1273</v>
      </c>
      <c r="B867" t="s">
        <v>1752</v>
      </c>
      <c r="C867">
        <v>29.8</v>
      </c>
      <c r="D867" t="s">
        <v>82</v>
      </c>
      <c r="E867">
        <v>18</v>
      </c>
      <c r="F867">
        <v>0</v>
      </c>
      <c r="G867">
        <v>0</v>
      </c>
      <c r="I867">
        <v>1.16163</v>
      </c>
      <c r="J867">
        <v>0.98869</v>
      </c>
      <c r="K867">
        <v>1.05022</v>
      </c>
      <c r="L867">
        <v>0.98014</v>
      </c>
      <c r="M867">
        <v>1.12633</v>
      </c>
      <c r="N867">
        <v>0.995</v>
      </c>
      <c r="O867">
        <v>1</v>
      </c>
      <c r="P867">
        <v>0.98847</v>
      </c>
      <c r="Q867">
        <v>1</v>
      </c>
      <c r="R867">
        <v>1</v>
      </c>
      <c r="S867">
        <v>1</v>
      </c>
      <c r="T867">
        <v>1.05655</v>
      </c>
      <c r="U867">
        <v>1</v>
      </c>
      <c r="V867">
        <v>80.755</v>
      </c>
      <c r="W867">
        <v>32.289</v>
      </c>
      <c r="X867">
        <v>127.041</v>
      </c>
      <c r="Y867">
        <v>32.724</v>
      </c>
      <c r="Z867">
        <v>44.409</v>
      </c>
      <c r="AA867">
        <v>317.218</v>
      </c>
      <c r="AB867">
        <v>0.91726</v>
      </c>
      <c r="AC867">
        <v>305</v>
      </c>
      <c r="AD867">
        <v>0</v>
      </c>
      <c r="AG867">
        <v>82</v>
      </c>
      <c r="AH867">
        <v>31</v>
      </c>
      <c r="AI867">
        <v>105</v>
      </c>
      <c r="AJ867">
        <v>35</v>
      </c>
      <c r="AK867">
        <v>52</v>
      </c>
    </row>
    <row r="868" spans="1:37">
      <c r="A868" t="s">
        <v>1274</v>
      </c>
      <c r="B868" t="s">
        <v>1753</v>
      </c>
      <c r="C868">
        <v>31.2</v>
      </c>
      <c r="D868" t="s">
        <v>82</v>
      </c>
      <c r="E868">
        <v>19</v>
      </c>
      <c r="F868">
        <v>0</v>
      </c>
      <c r="G868">
        <v>0</v>
      </c>
      <c r="I868">
        <v>1.16182</v>
      </c>
      <c r="J868">
        <v>0.9893</v>
      </c>
      <c r="K868">
        <v>1.05022</v>
      </c>
      <c r="L868">
        <v>0.98004</v>
      </c>
      <c r="M868">
        <v>0.88691</v>
      </c>
      <c r="N868">
        <v>0.97748</v>
      </c>
      <c r="O868">
        <v>1</v>
      </c>
      <c r="P868">
        <v>0.98284</v>
      </c>
      <c r="Q868">
        <v>1</v>
      </c>
      <c r="R868">
        <v>1</v>
      </c>
      <c r="S868">
        <v>1</v>
      </c>
      <c r="T868">
        <v>1.02927</v>
      </c>
      <c r="U868">
        <v>1</v>
      </c>
      <c r="V868">
        <v>19.302</v>
      </c>
      <c r="W868">
        <v>14.109</v>
      </c>
      <c r="X868">
        <v>113.826</v>
      </c>
      <c r="Y868">
        <v>50.402</v>
      </c>
      <c r="Z868">
        <v>49.013</v>
      </c>
      <c r="AA868">
        <v>246.653</v>
      </c>
      <c r="AB868">
        <v>1.05551</v>
      </c>
      <c r="AC868">
        <v>273</v>
      </c>
      <c r="AD868">
        <v>0</v>
      </c>
      <c r="AG868">
        <v>16</v>
      </c>
      <c r="AH868">
        <v>17</v>
      </c>
      <c r="AI868">
        <v>136</v>
      </c>
      <c r="AJ868">
        <v>51</v>
      </c>
      <c r="AK868">
        <v>53</v>
      </c>
    </row>
    <row r="869" spans="1:37">
      <c r="A869" t="s">
        <v>1275</v>
      </c>
      <c r="B869" t="s">
        <v>1754</v>
      </c>
      <c r="C869">
        <v>31.2</v>
      </c>
      <c r="D869" t="s">
        <v>82</v>
      </c>
      <c r="E869">
        <v>20</v>
      </c>
      <c r="F869">
        <v>0</v>
      </c>
      <c r="G869">
        <v>0</v>
      </c>
      <c r="I869">
        <v>1.162</v>
      </c>
      <c r="J869">
        <v>0.97855</v>
      </c>
      <c r="K869">
        <v>1.05022</v>
      </c>
      <c r="L869">
        <v>0.98</v>
      </c>
      <c r="M869">
        <v>0.83021</v>
      </c>
      <c r="N869">
        <v>0.97993</v>
      </c>
      <c r="O869">
        <v>1</v>
      </c>
      <c r="P869">
        <v>0.98037</v>
      </c>
      <c r="Q869">
        <v>1</v>
      </c>
      <c r="R869">
        <v>1</v>
      </c>
      <c r="S869">
        <v>1</v>
      </c>
      <c r="T869">
        <v>1.03472</v>
      </c>
      <c r="U869">
        <v>1</v>
      </c>
      <c r="V869">
        <v>26.008</v>
      </c>
      <c r="W869">
        <v>21.892</v>
      </c>
      <c r="X869">
        <v>95.55200000000001</v>
      </c>
      <c r="Y869">
        <v>41.826</v>
      </c>
      <c r="Z869">
        <v>42.505</v>
      </c>
      <c r="AA869">
        <v>227.783</v>
      </c>
      <c r="AB869">
        <v>0.8913</v>
      </c>
      <c r="AC869">
        <v>199</v>
      </c>
      <c r="AD869">
        <v>0</v>
      </c>
      <c r="AG869">
        <v>29</v>
      </c>
      <c r="AH869">
        <v>16</v>
      </c>
      <c r="AI869">
        <v>82</v>
      </c>
      <c r="AJ869">
        <v>35</v>
      </c>
      <c r="AK869">
        <v>37</v>
      </c>
    </row>
    <row r="870" spans="1:37">
      <c r="A870" t="s">
        <v>489</v>
      </c>
      <c r="B870" t="s">
        <v>1751</v>
      </c>
      <c r="C870">
        <v>31.5</v>
      </c>
      <c r="D870" t="s">
        <v>82</v>
      </c>
      <c r="E870">
        <v>21</v>
      </c>
      <c r="F870">
        <v>0</v>
      </c>
      <c r="G870">
        <v>0</v>
      </c>
      <c r="I870">
        <v>1.16219</v>
      </c>
      <c r="J870">
        <v>0.97267</v>
      </c>
      <c r="K870">
        <v>1.05022</v>
      </c>
      <c r="L870">
        <v>0.97999</v>
      </c>
      <c r="M870">
        <v>0.90957</v>
      </c>
      <c r="N870">
        <v>0.98806</v>
      </c>
      <c r="O870">
        <v>1</v>
      </c>
      <c r="P870">
        <v>0.9825199999999999</v>
      </c>
      <c r="Q870">
        <v>1</v>
      </c>
      <c r="R870">
        <v>1</v>
      </c>
      <c r="S870">
        <v>1</v>
      </c>
      <c r="T870">
        <v>1.07344</v>
      </c>
      <c r="U870">
        <v>1</v>
      </c>
      <c r="V870">
        <v>90.39100000000001</v>
      </c>
      <c r="W870">
        <v>39.495</v>
      </c>
      <c r="X870">
        <v>66.998</v>
      </c>
      <c r="Y870">
        <v>15.457</v>
      </c>
      <c r="Z870">
        <v>34.574</v>
      </c>
      <c r="AA870">
        <v>246.915</v>
      </c>
      <c r="AB870">
        <v>0.98189</v>
      </c>
      <c r="AC870">
        <v>265</v>
      </c>
      <c r="AD870">
        <v>0</v>
      </c>
      <c r="AG870">
        <v>93</v>
      </c>
      <c r="AH870">
        <v>45</v>
      </c>
      <c r="AI870">
        <v>65</v>
      </c>
      <c r="AJ870">
        <v>22</v>
      </c>
      <c r="AK870">
        <v>40</v>
      </c>
    </row>
    <row r="871" spans="1:37">
      <c r="A871" t="s">
        <v>1276</v>
      </c>
      <c r="B871" t="s">
        <v>1751</v>
      </c>
      <c r="C871">
        <v>30.4</v>
      </c>
      <c r="D871" t="s">
        <v>82</v>
      </c>
      <c r="E871">
        <v>22</v>
      </c>
      <c r="F871">
        <v>0</v>
      </c>
      <c r="G871">
        <v>0</v>
      </c>
      <c r="I871">
        <v>1.16237</v>
      </c>
      <c r="J871">
        <v>0.98327</v>
      </c>
      <c r="K871">
        <v>1.05022</v>
      </c>
      <c r="L871">
        <v>0.97992</v>
      </c>
      <c r="M871">
        <v>0.88179</v>
      </c>
      <c r="N871">
        <v>0.99474</v>
      </c>
      <c r="O871">
        <v>1</v>
      </c>
      <c r="P871">
        <v>0.97987</v>
      </c>
      <c r="Q871">
        <v>1</v>
      </c>
      <c r="R871">
        <v>1</v>
      </c>
      <c r="S871">
        <v>1</v>
      </c>
      <c r="T871">
        <v>1.0721</v>
      </c>
      <c r="U871">
        <v>1</v>
      </c>
      <c r="V871">
        <v>86.934</v>
      </c>
      <c r="W871">
        <v>39.853</v>
      </c>
      <c r="X871">
        <v>67.613</v>
      </c>
      <c r="Y871">
        <v>14.536</v>
      </c>
      <c r="Z871">
        <v>34.322</v>
      </c>
      <c r="AA871">
        <v>243.258</v>
      </c>
      <c r="AB871">
        <v>1.04029</v>
      </c>
      <c r="AC871">
        <v>247</v>
      </c>
      <c r="AD871">
        <v>0</v>
      </c>
      <c r="AG871">
        <v>84</v>
      </c>
      <c r="AH871">
        <v>42</v>
      </c>
      <c r="AI871">
        <v>81</v>
      </c>
      <c r="AJ871">
        <v>10</v>
      </c>
      <c r="AK871">
        <v>30</v>
      </c>
    </row>
    <row r="872" spans="1:37">
      <c r="A872" t="s">
        <v>1277</v>
      </c>
      <c r="B872" t="s">
        <v>1751</v>
      </c>
      <c r="C872">
        <v>29.2</v>
      </c>
      <c r="D872" t="s">
        <v>82</v>
      </c>
      <c r="E872">
        <v>23</v>
      </c>
      <c r="F872">
        <v>0</v>
      </c>
      <c r="G872">
        <v>0</v>
      </c>
      <c r="I872">
        <v>1.16256</v>
      </c>
      <c r="J872">
        <v>0.97719</v>
      </c>
      <c r="K872">
        <v>1.05022</v>
      </c>
      <c r="L872">
        <v>0.9798</v>
      </c>
      <c r="M872">
        <v>0.92598</v>
      </c>
      <c r="N872">
        <v>1.00255</v>
      </c>
      <c r="O872">
        <v>1</v>
      </c>
      <c r="P872">
        <v>0.97909</v>
      </c>
      <c r="Q872">
        <v>1</v>
      </c>
      <c r="R872">
        <v>1</v>
      </c>
      <c r="S872">
        <v>1</v>
      </c>
      <c r="T872">
        <v>1.08315</v>
      </c>
      <c r="U872">
        <v>0.76706</v>
      </c>
      <c r="V872">
        <v>81.49299999999999</v>
      </c>
      <c r="W872">
        <v>32.818</v>
      </c>
      <c r="X872">
        <v>45.349</v>
      </c>
      <c r="Y872">
        <v>7.827</v>
      </c>
      <c r="Z872">
        <v>23.853</v>
      </c>
      <c r="AA872">
        <v>191.339</v>
      </c>
      <c r="AB872">
        <v>1.05847</v>
      </c>
      <c r="AC872">
        <v>214</v>
      </c>
      <c r="AD872">
        <v>0</v>
      </c>
      <c r="AE872" t="s">
        <v>1760</v>
      </c>
      <c r="AG872">
        <v>86</v>
      </c>
      <c r="AH872">
        <v>48</v>
      </c>
      <c r="AI872">
        <v>53</v>
      </c>
      <c r="AJ872">
        <v>7</v>
      </c>
      <c r="AK872">
        <v>20</v>
      </c>
    </row>
    <row r="873" spans="1:37">
      <c r="A873" t="s">
        <v>1278</v>
      </c>
      <c r="B873" t="s">
        <v>1751</v>
      </c>
      <c r="C873">
        <v>30.1</v>
      </c>
      <c r="D873" t="s">
        <v>82</v>
      </c>
      <c r="E873">
        <v>24</v>
      </c>
      <c r="F873">
        <v>0</v>
      </c>
      <c r="G873">
        <v>0</v>
      </c>
      <c r="I873">
        <v>1.16275</v>
      </c>
      <c r="J873">
        <v>0.98599</v>
      </c>
      <c r="K873">
        <v>1.05022</v>
      </c>
      <c r="L873">
        <v>0.97963</v>
      </c>
      <c r="M873">
        <v>0.93824</v>
      </c>
      <c r="N873">
        <v>0.9954</v>
      </c>
      <c r="O873">
        <v>1</v>
      </c>
      <c r="P873">
        <v>0.97374</v>
      </c>
      <c r="Q873">
        <v>1</v>
      </c>
      <c r="R873">
        <v>1</v>
      </c>
      <c r="S873">
        <v>1</v>
      </c>
      <c r="T873">
        <v>1.06781</v>
      </c>
      <c r="U873">
        <v>1</v>
      </c>
      <c r="V873">
        <v>85.236</v>
      </c>
      <c r="W873">
        <v>37.821</v>
      </c>
      <c r="X873">
        <v>80.505</v>
      </c>
      <c r="Y873">
        <v>18.506</v>
      </c>
      <c r="Z873">
        <v>36.662</v>
      </c>
      <c r="AA873">
        <v>258.731</v>
      </c>
      <c r="AB873">
        <v>0.92064</v>
      </c>
      <c r="AC873">
        <v>228</v>
      </c>
      <c r="AD873">
        <v>1</v>
      </c>
      <c r="AG873">
        <v>80</v>
      </c>
      <c r="AH873">
        <v>37</v>
      </c>
      <c r="AI873">
        <v>61</v>
      </c>
      <c r="AJ873">
        <v>19</v>
      </c>
      <c r="AK873">
        <v>31</v>
      </c>
    </row>
    <row r="874" spans="1:37">
      <c r="A874" t="s">
        <v>1279</v>
      </c>
      <c r="B874" t="s">
        <v>1752</v>
      </c>
      <c r="C874">
        <v>30.1</v>
      </c>
      <c r="D874" t="s">
        <v>82</v>
      </c>
      <c r="E874">
        <v>25</v>
      </c>
      <c r="F874">
        <v>0</v>
      </c>
      <c r="G874">
        <v>0</v>
      </c>
      <c r="I874">
        <v>1.16293</v>
      </c>
      <c r="J874">
        <v>0.98634</v>
      </c>
      <c r="K874">
        <v>1.05022</v>
      </c>
      <c r="L874">
        <v>0.97941</v>
      </c>
      <c r="M874">
        <v>1.12364</v>
      </c>
      <c r="N874">
        <v>0.99187</v>
      </c>
      <c r="O874">
        <v>1</v>
      </c>
      <c r="P874">
        <v>0.96817</v>
      </c>
      <c r="Q874">
        <v>1</v>
      </c>
      <c r="R874">
        <v>1</v>
      </c>
      <c r="S874">
        <v>1</v>
      </c>
      <c r="T874">
        <v>1.05716</v>
      </c>
      <c r="U874">
        <v>1</v>
      </c>
      <c r="V874">
        <v>79.94799999999999</v>
      </c>
      <c r="W874">
        <v>31.798</v>
      </c>
      <c r="X874">
        <v>122.43</v>
      </c>
      <c r="Y874">
        <v>31.609</v>
      </c>
      <c r="Z874">
        <v>43.308</v>
      </c>
      <c r="AA874">
        <v>309.093</v>
      </c>
      <c r="AB874">
        <v>0.9416099999999999</v>
      </c>
      <c r="AC874">
        <v>301</v>
      </c>
      <c r="AD874">
        <v>0</v>
      </c>
      <c r="AG874">
        <v>101</v>
      </c>
      <c r="AH874">
        <v>21</v>
      </c>
      <c r="AI874">
        <v>112</v>
      </c>
      <c r="AJ874">
        <v>28</v>
      </c>
      <c r="AK874">
        <v>39</v>
      </c>
    </row>
    <row r="875" spans="1:37">
      <c r="A875" t="s">
        <v>1280</v>
      </c>
      <c r="B875" t="s">
        <v>1753</v>
      </c>
      <c r="C875">
        <v>32</v>
      </c>
      <c r="D875" t="s">
        <v>82</v>
      </c>
      <c r="E875">
        <v>26</v>
      </c>
      <c r="F875">
        <v>0</v>
      </c>
      <c r="G875">
        <v>0</v>
      </c>
      <c r="I875">
        <v>1.16312</v>
      </c>
      <c r="J875">
        <v>0.98094</v>
      </c>
      <c r="K875">
        <v>1.05022</v>
      </c>
      <c r="L875">
        <v>0.97915</v>
      </c>
      <c r="M875">
        <v>0.87854</v>
      </c>
      <c r="N875">
        <v>0.96878</v>
      </c>
      <c r="O875">
        <v>1</v>
      </c>
      <c r="P875">
        <v>0.95875</v>
      </c>
      <c r="Q875">
        <v>1</v>
      </c>
      <c r="R875">
        <v>1</v>
      </c>
      <c r="S875">
        <v>1</v>
      </c>
      <c r="T875">
        <v>1.02948</v>
      </c>
      <c r="U875">
        <v>1</v>
      </c>
      <c r="V875">
        <v>18.989</v>
      </c>
      <c r="W875">
        <v>13.808</v>
      </c>
      <c r="X875">
        <v>107.859</v>
      </c>
      <c r="Y875">
        <v>48.028</v>
      </c>
      <c r="Z875">
        <v>47.801</v>
      </c>
      <c r="AA875">
        <v>236.485</v>
      </c>
      <c r="AB875">
        <v>1.05245</v>
      </c>
      <c r="AC875">
        <v>262</v>
      </c>
      <c r="AD875">
        <v>0</v>
      </c>
      <c r="AG875">
        <v>16</v>
      </c>
      <c r="AH875">
        <v>21</v>
      </c>
      <c r="AI875">
        <v>123</v>
      </c>
      <c r="AJ875">
        <v>60</v>
      </c>
      <c r="AK875">
        <v>42</v>
      </c>
    </row>
    <row r="876" spans="1:37">
      <c r="A876" t="s">
        <v>1281</v>
      </c>
      <c r="B876" t="s">
        <v>1754</v>
      </c>
      <c r="C876">
        <v>32.9</v>
      </c>
      <c r="D876" t="s">
        <v>82</v>
      </c>
      <c r="E876">
        <v>27</v>
      </c>
      <c r="F876">
        <v>0</v>
      </c>
      <c r="G876">
        <v>0</v>
      </c>
      <c r="I876">
        <v>1.1633</v>
      </c>
      <c r="J876">
        <v>0.97858</v>
      </c>
      <c r="K876">
        <v>1.05022</v>
      </c>
      <c r="L876">
        <v>0.97884</v>
      </c>
      <c r="M876">
        <v>0.82242</v>
      </c>
      <c r="N876">
        <v>0.96462</v>
      </c>
      <c r="O876">
        <v>1</v>
      </c>
      <c r="P876">
        <v>0.96079</v>
      </c>
      <c r="Q876">
        <v>1</v>
      </c>
      <c r="R876">
        <v>1</v>
      </c>
      <c r="S876">
        <v>1</v>
      </c>
      <c r="T876">
        <v>1.03504</v>
      </c>
      <c r="U876">
        <v>1</v>
      </c>
      <c r="V876">
        <v>25.827</v>
      </c>
      <c r="W876">
        <v>21.642</v>
      </c>
      <c r="X876">
        <v>89.961</v>
      </c>
      <c r="Y876">
        <v>39.831</v>
      </c>
      <c r="Z876">
        <v>42.445</v>
      </c>
      <c r="AA876">
        <v>219.706</v>
      </c>
      <c r="AB876">
        <v>1.07061</v>
      </c>
      <c r="AC876">
        <v>239</v>
      </c>
      <c r="AD876">
        <v>0</v>
      </c>
      <c r="AG876">
        <v>31</v>
      </c>
      <c r="AH876">
        <v>28</v>
      </c>
      <c r="AI876">
        <v>90</v>
      </c>
      <c r="AJ876">
        <v>44</v>
      </c>
      <c r="AK876">
        <v>46</v>
      </c>
    </row>
    <row r="877" spans="1:37">
      <c r="A877" t="s">
        <v>490</v>
      </c>
      <c r="B877" t="s">
        <v>1751</v>
      </c>
      <c r="C877">
        <v>32.1</v>
      </c>
      <c r="D877" t="s">
        <v>82</v>
      </c>
      <c r="E877">
        <v>28</v>
      </c>
      <c r="F877">
        <v>0</v>
      </c>
      <c r="G877">
        <v>0</v>
      </c>
      <c r="I877">
        <v>1.16349</v>
      </c>
      <c r="J877">
        <v>0.98392</v>
      </c>
      <c r="K877">
        <v>1.05022</v>
      </c>
      <c r="L877">
        <v>0.97849</v>
      </c>
      <c r="M877">
        <v>0.91094</v>
      </c>
      <c r="N877">
        <v>0.98495</v>
      </c>
      <c r="O877">
        <v>1</v>
      </c>
      <c r="P877">
        <v>0.97005</v>
      </c>
      <c r="Q877">
        <v>1</v>
      </c>
      <c r="R877">
        <v>1</v>
      </c>
      <c r="S877">
        <v>1</v>
      </c>
      <c r="T877">
        <v>1.07401</v>
      </c>
      <c r="U877">
        <v>1</v>
      </c>
      <c r="V877">
        <v>90.86499999999999</v>
      </c>
      <c r="W877">
        <v>39.556</v>
      </c>
      <c r="X877">
        <v>65.541</v>
      </c>
      <c r="Y877">
        <v>15.183</v>
      </c>
      <c r="Z877">
        <v>34.554</v>
      </c>
      <c r="AA877">
        <v>245.698</v>
      </c>
      <c r="AB877">
        <v>0.95417</v>
      </c>
      <c r="AC877">
        <v>223</v>
      </c>
      <c r="AD877">
        <v>0</v>
      </c>
      <c r="AG877">
        <v>76</v>
      </c>
      <c r="AH877">
        <v>32</v>
      </c>
      <c r="AI877">
        <v>72</v>
      </c>
      <c r="AJ877">
        <v>14</v>
      </c>
      <c r="AK877">
        <v>29</v>
      </c>
    </row>
    <row r="878" spans="1:37">
      <c r="A878" t="s">
        <v>1282</v>
      </c>
      <c r="B878" t="s">
        <v>1751</v>
      </c>
      <c r="C878">
        <v>30.8</v>
      </c>
      <c r="D878" t="s">
        <v>82</v>
      </c>
      <c r="E878">
        <v>29</v>
      </c>
      <c r="F878">
        <v>0</v>
      </c>
      <c r="G878">
        <v>0</v>
      </c>
      <c r="I878">
        <v>1.16368</v>
      </c>
      <c r="J878">
        <v>0.99193</v>
      </c>
      <c r="K878">
        <v>1.05022</v>
      </c>
      <c r="L878">
        <v>0.9781</v>
      </c>
      <c r="M878">
        <v>0.88283</v>
      </c>
      <c r="N878">
        <v>0.99218</v>
      </c>
      <c r="O878">
        <v>1</v>
      </c>
      <c r="P878">
        <v>0.96983</v>
      </c>
      <c r="Q878">
        <v>1</v>
      </c>
      <c r="R878">
        <v>1</v>
      </c>
      <c r="S878">
        <v>1</v>
      </c>
      <c r="T878">
        <v>1.07255</v>
      </c>
      <c r="U878">
        <v>1</v>
      </c>
      <c r="V878">
        <v>87.217</v>
      </c>
      <c r="W878">
        <v>39.869</v>
      </c>
      <c r="X878">
        <v>66.41800000000001</v>
      </c>
      <c r="Y878">
        <v>14.321</v>
      </c>
      <c r="Z878">
        <v>34.243</v>
      </c>
      <c r="AA878">
        <v>242.068</v>
      </c>
      <c r="AB878">
        <v>0.98739</v>
      </c>
      <c r="AC878">
        <v>241</v>
      </c>
      <c r="AD878">
        <v>0</v>
      </c>
      <c r="AG878">
        <v>86</v>
      </c>
      <c r="AH878">
        <v>33</v>
      </c>
      <c r="AI878">
        <v>71</v>
      </c>
      <c r="AJ878">
        <v>12</v>
      </c>
      <c r="AK878">
        <v>39</v>
      </c>
    </row>
    <row r="879" spans="1:37">
      <c r="A879" t="s">
        <v>1283</v>
      </c>
      <c r="B879" t="s">
        <v>1751</v>
      </c>
      <c r="C879">
        <v>29.7</v>
      </c>
      <c r="D879" t="s">
        <v>82</v>
      </c>
      <c r="E879">
        <v>0</v>
      </c>
      <c r="F879">
        <v>0</v>
      </c>
      <c r="G879">
        <v>0</v>
      </c>
      <c r="I879">
        <v>1.16386</v>
      </c>
      <c r="J879">
        <v>0.99156</v>
      </c>
      <c r="K879">
        <v>1.05022</v>
      </c>
      <c r="L879">
        <v>0.97768</v>
      </c>
      <c r="M879">
        <v>0.90077</v>
      </c>
      <c r="N879">
        <v>0.99869</v>
      </c>
      <c r="O879">
        <v>1</v>
      </c>
      <c r="P879">
        <v>1.0613</v>
      </c>
      <c r="Q879">
        <v>1</v>
      </c>
      <c r="R879">
        <v>1</v>
      </c>
      <c r="S879">
        <v>1</v>
      </c>
      <c r="T879">
        <v>1.06811</v>
      </c>
      <c r="U879">
        <v>1</v>
      </c>
      <c r="V879">
        <v>90.73399999999999</v>
      </c>
      <c r="W879">
        <v>42.594</v>
      </c>
      <c r="X879">
        <v>82.78400000000001</v>
      </c>
      <c r="Y879">
        <v>18.171</v>
      </c>
      <c r="Z879">
        <v>39.35</v>
      </c>
      <c r="AA879">
        <v>273.633</v>
      </c>
      <c r="AB879">
        <v>0.98094</v>
      </c>
      <c r="AC879">
        <v>287</v>
      </c>
      <c r="AD879">
        <v>1</v>
      </c>
      <c r="AG879">
        <v>86</v>
      </c>
      <c r="AH879">
        <v>47</v>
      </c>
      <c r="AI879">
        <v>81</v>
      </c>
      <c r="AJ879">
        <v>20</v>
      </c>
      <c r="AK879">
        <v>53</v>
      </c>
    </row>
    <row r="880" spans="1:37">
      <c r="A880" t="s">
        <v>1284</v>
      </c>
      <c r="B880" t="s">
        <v>1751</v>
      </c>
      <c r="C880">
        <v>31.2</v>
      </c>
      <c r="D880" t="s">
        <v>82</v>
      </c>
      <c r="E880">
        <v>1</v>
      </c>
      <c r="F880">
        <v>0</v>
      </c>
      <c r="G880">
        <v>0</v>
      </c>
      <c r="I880">
        <v>1.16405</v>
      </c>
      <c r="J880">
        <v>0.98186</v>
      </c>
      <c r="K880">
        <v>1.05022</v>
      </c>
      <c r="L880">
        <v>0.97723</v>
      </c>
      <c r="M880">
        <v>0.93768</v>
      </c>
      <c r="N880">
        <v>0.98712</v>
      </c>
      <c r="O880">
        <v>1</v>
      </c>
      <c r="P880">
        <v>1.04211</v>
      </c>
      <c r="Q880">
        <v>1</v>
      </c>
      <c r="R880">
        <v>1</v>
      </c>
      <c r="S880">
        <v>1</v>
      </c>
      <c r="T880">
        <v>1.06611</v>
      </c>
      <c r="U880">
        <v>1</v>
      </c>
      <c r="V880">
        <v>87.254</v>
      </c>
      <c r="W880">
        <v>39.488</v>
      </c>
      <c r="X880">
        <v>85.782</v>
      </c>
      <c r="Y880">
        <v>19.882</v>
      </c>
      <c r="Z880">
        <v>40.75</v>
      </c>
      <c r="AA880">
        <v>273.156</v>
      </c>
      <c r="AB880">
        <v>1.03512</v>
      </c>
      <c r="AC880">
        <v>275</v>
      </c>
      <c r="AD880">
        <v>0</v>
      </c>
      <c r="AG880">
        <v>78</v>
      </c>
      <c r="AH880">
        <v>46</v>
      </c>
      <c r="AI880">
        <v>91</v>
      </c>
      <c r="AJ880">
        <v>18</v>
      </c>
      <c r="AK880">
        <v>42</v>
      </c>
    </row>
    <row r="881" spans="1:37">
      <c r="A881" t="s">
        <v>1285</v>
      </c>
      <c r="B881" t="s">
        <v>1752</v>
      </c>
      <c r="C881">
        <v>31.7</v>
      </c>
      <c r="D881" t="s">
        <v>82</v>
      </c>
      <c r="E881">
        <v>2</v>
      </c>
      <c r="F881">
        <v>0</v>
      </c>
      <c r="G881">
        <v>0</v>
      </c>
      <c r="I881">
        <v>1.16423</v>
      </c>
      <c r="J881">
        <v>0.98597</v>
      </c>
      <c r="K881">
        <v>1.05022</v>
      </c>
      <c r="L881">
        <v>0.97676</v>
      </c>
      <c r="M881">
        <v>1.12517</v>
      </c>
      <c r="N881">
        <v>0.9762999999999999</v>
      </c>
      <c r="O881">
        <v>1</v>
      </c>
      <c r="P881">
        <v>1.03106</v>
      </c>
      <c r="Q881">
        <v>1</v>
      </c>
      <c r="R881">
        <v>1</v>
      </c>
      <c r="S881">
        <v>1</v>
      </c>
      <c r="T881">
        <v>1.05608</v>
      </c>
      <c r="U881">
        <v>1</v>
      </c>
      <c r="V881">
        <v>81.738</v>
      </c>
      <c r="W881">
        <v>33.059</v>
      </c>
      <c r="X881">
        <v>127.465</v>
      </c>
      <c r="Y881">
        <v>33.3</v>
      </c>
      <c r="Z881">
        <v>47.899</v>
      </c>
      <c r="AA881">
        <v>323.461</v>
      </c>
      <c r="AB881">
        <v>0.92752</v>
      </c>
      <c r="AC881">
        <v>293</v>
      </c>
      <c r="AD881">
        <v>0</v>
      </c>
      <c r="AG881">
        <v>94</v>
      </c>
      <c r="AH881">
        <v>26</v>
      </c>
      <c r="AI881">
        <v>116</v>
      </c>
      <c r="AJ881">
        <v>25</v>
      </c>
      <c r="AK881">
        <v>32</v>
      </c>
    </row>
    <row r="882" spans="1:37">
      <c r="A882" t="s">
        <v>1286</v>
      </c>
      <c r="B882" t="s">
        <v>1753</v>
      </c>
      <c r="C882">
        <v>32.1</v>
      </c>
      <c r="D882" t="s">
        <v>1475</v>
      </c>
      <c r="E882">
        <v>3</v>
      </c>
      <c r="F882">
        <v>0</v>
      </c>
      <c r="G882">
        <v>0</v>
      </c>
      <c r="I882">
        <v>1.16442</v>
      </c>
      <c r="J882">
        <v>0.981</v>
      </c>
      <c r="K882">
        <v>1.05022</v>
      </c>
      <c r="L882">
        <v>0.97627</v>
      </c>
      <c r="M882">
        <v>0.97285</v>
      </c>
      <c r="N882">
        <v>0.9648</v>
      </c>
      <c r="O882">
        <v>1.00626</v>
      </c>
      <c r="P882">
        <v>1.02539</v>
      </c>
      <c r="Q882">
        <v>1</v>
      </c>
      <c r="R882">
        <v>1</v>
      </c>
      <c r="S882">
        <v>1</v>
      </c>
      <c r="T882">
        <v>1.02808</v>
      </c>
      <c r="U882">
        <v>1</v>
      </c>
      <c r="V882">
        <v>18.007</v>
      </c>
      <c r="W882">
        <v>6.431</v>
      </c>
      <c r="X882">
        <v>120.102</v>
      </c>
      <c r="Y882">
        <v>57.619</v>
      </c>
      <c r="Z882">
        <v>51.386</v>
      </c>
      <c r="AA882">
        <v>253.545</v>
      </c>
      <c r="AB882">
        <v>1.00939</v>
      </c>
      <c r="AC882">
        <v>254</v>
      </c>
      <c r="AD882">
        <v>0</v>
      </c>
      <c r="AG882">
        <v>12</v>
      </c>
      <c r="AH882">
        <v>8</v>
      </c>
      <c r="AI882">
        <v>113</v>
      </c>
      <c r="AJ882">
        <v>61</v>
      </c>
      <c r="AK882">
        <v>60</v>
      </c>
    </row>
    <row r="883" spans="1:37">
      <c r="A883" t="s">
        <v>1287</v>
      </c>
      <c r="B883" t="s">
        <v>1754</v>
      </c>
      <c r="C883">
        <v>31.4</v>
      </c>
      <c r="D883" t="s">
        <v>1475</v>
      </c>
      <c r="E883">
        <v>4</v>
      </c>
      <c r="F883">
        <v>0</v>
      </c>
      <c r="G883">
        <v>0</v>
      </c>
      <c r="I883">
        <v>1.16461</v>
      </c>
      <c r="J883">
        <v>0.97693</v>
      </c>
      <c r="K883">
        <v>1.05022</v>
      </c>
      <c r="L883">
        <v>0.97576</v>
      </c>
      <c r="M883">
        <v>0.88603</v>
      </c>
      <c r="N883">
        <v>0.97472</v>
      </c>
      <c r="O883">
        <v>0.9789</v>
      </c>
      <c r="P883">
        <v>1.01641</v>
      </c>
      <c r="Q883">
        <v>1</v>
      </c>
      <c r="R883">
        <v>1</v>
      </c>
      <c r="S883">
        <v>1</v>
      </c>
      <c r="T883">
        <v>1.03333</v>
      </c>
      <c r="U883">
        <v>1</v>
      </c>
      <c r="V883">
        <v>24.376</v>
      </c>
      <c r="W883">
        <v>10.016</v>
      </c>
      <c r="X883">
        <v>102.549</v>
      </c>
      <c r="Y883">
        <v>48.393</v>
      </c>
      <c r="Z883">
        <v>44.221</v>
      </c>
      <c r="AA883">
        <v>229.556</v>
      </c>
      <c r="AB883">
        <v>0.98072</v>
      </c>
      <c r="AC883">
        <v>218</v>
      </c>
      <c r="AD883">
        <v>0</v>
      </c>
      <c r="AG883">
        <v>23</v>
      </c>
      <c r="AH883">
        <v>13</v>
      </c>
      <c r="AI883">
        <v>89</v>
      </c>
      <c r="AJ883">
        <v>47</v>
      </c>
      <c r="AK883">
        <v>46</v>
      </c>
    </row>
    <row r="884" spans="1:37">
      <c r="A884" t="s">
        <v>491</v>
      </c>
      <c r="B884" t="s">
        <v>1751</v>
      </c>
      <c r="C884">
        <v>31.6</v>
      </c>
      <c r="D884" t="s">
        <v>1475</v>
      </c>
      <c r="E884">
        <v>5</v>
      </c>
      <c r="F884">
        <v>0</v>
      </c>
      <c r="G884">
        <v>0</v>
      </c>
      <c r="I884">
        <v>1.16479</v>
      </c>
      <c r="J884">
        <v>0.96974</v>
      </c>
      <c r="K884">
        <v>0.9904500000000001</v>
      </c>
      <c r="L884">
        <v>0.97525</v>
      </c>
      <c r="M884">
        <v>0.89197</v>
      </c>
      <c r="N884">
        <v>0.9841299999999999</v>
      </c>
      <c r="O884">
        <v>0.90578</v>
      </c>
      <c r="P884">
        <v>1.00852</v>
      </c>
      <c r="Q884">
        <v>1</v>
      </c>
      <c r="R884">
        <v>1</v>
      </c>
      <c r="S884">
        <v>1</v>
      </c>
      <c r="T884">
        <v>1.07363</v>
      </c>
      <c r="U884">
        <v>1</v>
      </c>
      <c r="V884">
        <v>79.68300000000001</v>
      </c>
      <c r="W884">
        <v>16.992</v>
      </c>
      <c r="X884">
        <v>67.699</v>
      </c>
      <c r="Y884">
        <v>16.825</v>
      </c>
      <c r="Z884">
        <v>33.747</v>
      </c>
      <c r="AA884">
        <v>214.946</v>
      </c>
      <c r="AB884">
        <v>1.08703</v>
      </c>
      <c r="AC884">
        <v>251</v>
      </c>
      <c r="AD884">
        <v>0</v>
      </c>
      <c r="AG884">
        <v>99</v>
      </c>
      <c r="AH884">
        <v>21</v>
      </c>
      <c r="AI884">
        <v>74</v>
      </c>
      <c r="AJ884">
        <v>26</v>
      </c>
      <c r="AK884">
        <v>31</v>
      </c>
    </row>
    <row r="885" spans="1:37">
      <c r="A885" t="s">
        <v>1288</v>
      </c>
      <c r="B885" t="s">
        <v>1751</v>
      </c>
      <c r="C885">
        <v>30.8</v>
      </c>
      <c r="D885" t="s">
        <v>1475</v>
      </c>
      <c r="E885">
        <v>6</v>
      </c>
      <c r="F885">
        <v>0</v>
      </c>
      <c r="G885">
        <v>0</v>
      </c>
      <c r="I885">
        <v>1.16498</v>
      </c>
      <c r="J885">
        <v>0.9667</v>
      </c>
      <c r="K885">
        <v>0.9904500000000001</v>
      </c>
      <c r="L885">
        <v>0.97473</v>
      </c>
      <c r="M885">
        <v>0.86275</v>
      </c>
      <c r="N885">
        <v>0.98965</v>
      </c>
      <c r="O885">
        <v>0.90387</v>
      </c>
      <c r="P885">
        <v>1.00575</v>
      </c>
      <c r="Q885">
        <v>1</v>
      </c>
      <c r="R885">
        <v>1</v>
      </c>
      <c r="S885">
        <v>1</v>
      </c>
      <c r="T885">
        <v>1.07245</v>
      </c>
      <c r="U885">
        <v>1</v>
      </c>
      <c r="V885">
        <v>75.518</v>
      </c>
      <c r="W885">
        <v>16.899</v>
      </c>
      <c r="X885">
        <v>66.803</v>
      </c>
      <c r="Y885">
        <v>15.506</v>
      </c>
      <c r="Z885">
        <v>33.148</v>
      </c>
      <c r="AA885">
        <v>207.873</v>
      </c>
      <c r="AB885">
        <v>1.00356</v>
      </c>
      <c r="AC885">
        <v>205</v>
      </c>
      <c r="AD885">
        <v>0</v>
      </c>
      <c r="AG885">
        <v>86</v>
      </c>
      <c r="AH885">
        <v>12</v>
      </c>
      <c r="AI885">
        <v>56</v>
      </c>
      <c r="AJ885">
        <v>18</v>
      </c>
      <c r="AK885">
        <v>33</v>
      </c>
    </row>
    <row r="886" spans="1:37">
      <c r="A886" t="s">
        <v>1289</v>
      </c>
      <c r="B886" t="s">
        <v>1751</v>
      </c>
      <c r="C886">
        <v>31.2</v>
      </c>
      <c r="D886" t="s">
        <v>1475</v>
      </c>
      <c r="E886">
        <v>7</v>
      </c>
      <c r="F886">
        <v>0</v>
      </c>
      <c r="G886">
        <v>0</v>
      </c>
      <c r="I886">
        <v>1.16516</v>
      </c>
      <c r="J886">
        <v>0.97246</v>
      </c>
      <c r="K886">
        <v>0.9904500000000001</v>
      </c>
      <c r="L886">
        <v>0.97422</v>
      </c>
      <c r="M886">
        <v>0.88945</v>
      </c>
      <c r="N886">
        <v>0.98588</v>
      </c>
      <c r="O886">
        <v>0.90715</v>
      </c>
      <c r="P886">
        <v>1.0039</v>
      </c>
      <c r="Q886">
        <v>1</v>
      </c>
      <c r="R886">
        <v>1</v>
      </c>
      <c r="S886">
        <v>1</v>
      </c>
      <c r="T886">
        <v>1.07102</v>
      </c>
      <c r="U886">
        <v>1</v>
      </c>
      <c r="V886">
        <v>75.864</v>
      </c>
      <c r="W886">
        <v>16.971</v>
      </c>
      <c r="X886">
        <v>70.479</v>
      </c>
      <c r="Y886">
        <v>16.845</v>
      </c>
      <c r="Z886">
        <v>34.161</v>
      </c>
      <c r="AA886">
        <v>214.32</v>
      </c>
      <c r="AB886">
        <v>1.1063</v>
      </c>
      <c r="AC886">
        <v>208</v>
      </c>
      <c r="AD886">
        <v>0</v>
      </c>
      <c r="AG886">
        <v>70</v>
      </c>
      <c r="AH886">
        <v>15</v>
      </c>
      <c r="AI886">
        <v>67</v>
      </c>
      <c r="AJ886">
        <v>20</v>
      </c>
      <c r="AK886">
        <v>36</v>
      </c>
    </row>
    <row r="887" spans="1:37">
      <c r="A887" t="s">
        <v>1290</v>
      </c>
      <c r="B887" t="s">
        <v>1751</v>
      </c>
      <c r="C887">
        <v>31.3</v>
      </c>
      <c r="D887" t="s">
        <v>1475</v>
      </c>
      <c r="E887">
        <v>8</v>
      </c>
      <c r="F887">
        <v>0</v>
      </c>
      <c r="G887">
        <v>0</v>
      </c>
      <c r="I887">
        <v>1.16535</v>
      </c>
      <c r="J887">
        <v>0.9767</v>
      </c>
      <c r="K887">
        <v>0.9904500000000001</v>
      </c>
      <c r="L887">
        <v>0.97371</v>
      </c>
      <c r="M887">
        <v>0.93346</v>
      </c>
      <c r="N887">
        <v>0.98332</v>
      </c>
      <c r="O887">
        <v>0.91755</v>
      </c>
      <c r="P887">
        <v>1.00269</v>
      </c>
      <c r="Q887">
        <v>1</v>
      </c>
      <c r="R887">
        <v>1</v>
      </c>
      <c r="S887">
        <v>1</v>
      </c>
      <c r="T887">
        <v>1.06749</v>
      </c>
      <c r="U887">
        <v>1</v>
      </c>
      <c r="V887">
        <v>74.58499999999999</v>
      </c>
      <c r="W887">
        <v>16.172</v>
      </c>
      <c r="X887">
        <v>78.73399999999999</v>
      </c>
      <c r="Y887">
        <v>19.655</v>
      </c>
      <c r="Z887">
        <v>36.144</v>
      </c>
      <c r="AA887">
        <v>225.289</v>
      </c>
      <c r="AB887">
        <v>0.99392</v>
      </c>
      <c r="AC887">
        <v>212</v>
      </c>
      <c r="AD887">
        <v>0</v>
      </c>
      <c r="AG887">
        <v>67</v>
      </c>
      <c r="AH887">
        <v>11</v>
      </c>
      <c r="AI887">
        <v>80</v>
      </c>
      <c r="AJ887">
        <v>19</v>
      </c>
      <c r="AK887">
        <v>35</v>
      </c>
    </row>
    <row r="888" spans="1:37">
      <c r="A888" t="s">
        <v>1291</v>
      </c>
      <c r="B888" t="s">
        <v>1755</v>
      </c>
      <c r="C888">
        <v>31.8</v>
      </c>
      <c r="D888" t="s">
        <v>1475</v>
      </c>
      <c r="E888">
        <v>9</v>
      </c>
      <c r="F888">
        <v>0</v>
      </c>
      <c r="G888">
        <v>0</v>
      </c>
      <c r="H888">
        <v>0</v>
      </c>
      <c r="I888">
        <v>1.16554</v>
      </c>
      <c r="J888">
        <v>0.98068</v>
      </c>
      <c r="K888">
        <v>0.9904500000000001</v>
      </c>
      <c r="L888">
        <v>0.97322</v>
      </c>
      <c r="M888">
        <v>0.83771</v>
      </c>
      <c r="N888">
        <v>0.97443</v>
      </c>
      <c r="O888">
        <v>0.96943</v>
      </c>
      <c r="P888">
        <v>1.00218</v>
      </c>
      <c r="Q888">
        <v>1</v>
      </c>
      <c r="R888">
        <v>0.76603</v>
      </c>
      <c r="S888">
        <v>1</v>
      </c>
      <c r="T888">
        <v>1.0355</v>
      </c>
      <c r="U888">
        <v>1</v>
      </c>
      <c r="V888">
        <v>20.612</v>
      </c>
      <c r="W888">
        <v>7.514</v>
      </c>
      <c r="X888">
        <v>70.818</v>
      </c>
      <c r="Y888">
        <v>26.797</v>
      </c>
      <c r="Z888">
        <v>37.223</v>
      </c>
      <c r="AA888">
        <v>162.964</v>
      </c>
      <c r="AB888">
        <v>1.01329</v>
      </c>
      <c r="AC888">
        <v>169</v>
      </c>
      <c r="AD888">
        <v>0</v>
      </c>
      <c r="AG888">
        <v>20</v>
      </c>
      <c r="AH888">
        <v>4</v>
      </c>
      <c r="AI888">
        <v>89</v>
      </c>
      <c r="AJ888">
        <v>33</v>
      </c>
      <c r="AK888">
        <v>23</v>
      </c>
    </row>
    <row r="889" spans="1:37">
      <c r="A889" t="s">
        <v>1292</v>
      </c>
      <c r="B889" t="s">
        <v>1757</v>
      </c>
      <c r="C889">
        <v>31.1</v>
      </c>
      <c r="D889" t="s">
        <v>1475</v>
      </c>
      <c r="E889">
        <v>10</v>
      </c>
      <c r="F889">
        <v>0</v>
      </c>
      <c r="G889">
        <v>0</v>
      </c>
      <c r="H889">
        <v>1</v>
      </c>
      <c r="I889">
        <v>1.16572</v>
      </c>
      <c r="J889">
        <v>0.9744</v>
      </c>
      <c r="K889">
        <v>0.9904500000000001</v>
      </c>
      <c r="L889">
        <v>0.97275</v>
      </c>
      <c r="M889">
        <v>1.2811</v>
      </c>
      <c r="N889">
        <v>0.97288</v>
      </c>
      <c r="O889">
        <v>1.03994</v>
      </c>
      <c r="P889">
        <v>1.00162</v>
      </c>
      <c r="Q889">
        <v>1</v>
      </c>
      <c r="R889">
        <v>0.76474</v>
      </c>
      <c r="S889">
        <v>1</v>
      </c>
      <c r="T889">
        <v>1.02055</v>
      </c>
      <c r="U889">
        <v>1</v>
      </c>
      <c r="V889">
        <v>3.334</v>
      </c>
      <c r="W889">
        <v>1.187</v>
      </c>
      <c r="X889">
        <v>89.417</v>
      </c>
      <c r="Y889">
        <v>47.88</v>
      </c>
      <c r="Z889">
        <v>36.978</v>
      </c>
      <c r="AA889">
        <v>178.795</v>
      </c>
      <c r="AB889">
        <v>1.02958</v>
      </c>
      <c r="AC889">
        <v>208</v>
      </c>
      <c r="AD889">
        <v>0</v>
      </c>
      <c r="AG889">
        <v>5</v>
      </c>
      <c r="AH889">
        <v>1</v>
      </c>
      <c r="AI889">
        <v>111</v>
      </c>
      <c r="AJ889">
        <v>56</v>
      </c>
      <c r="AK889">
        <v>35</v>
      </c>
    </row>
    <row r="890" spans="1:37">
      <c r="A890" t="s">
        <v>1293</v>
      </c>
      <c r="B890" t="s">
        <v>1755</v>
      </c>
      <c r="C890">
        <v>31.1</v>
      </c>
      <c r="D890" t="s">
        <v>1475</v>
      </c>
      <c r="E890">
        <v>11</v>
      </c>
      <c r="F890">
        <v>0</v>
      </c>
      <c r="G890">
        <v>0</v>
      </c>
      <c r="H890">
        <v>2</v>
      </c>
      <c r="I890">
        <v>1.16591</v>
      </c>
      <c r="J890">
        <v>0.97615</v>
      </c>
      <c r="K890">
        <v>0.9904500000000001</v>
      </c>
      <c r="L890">
        <v>0.9723000000000001</v>
      </c>
      <c r="M890">
        <v>1.04996</v>
      </c>
      <c r="N890">
        <v>0.97185</v>
      </c>
      <c r="O890">
        <v>1.01883</v>
      </c>
      <c r="P890">
        <v>1.00106</v>
      </c>
      <c r="Q890">
        <v>1</v>
      </c>
      <c r="R890">
        <v>1.09736</v>
      </c>
      <c r="S890">
        <v>1</v>
      </c>
      <c r="T890">
        <v>1.02533</v>
      </c>
      <c r="U890">
        <v>1</v>
      </c>
      <c r="V890">
        <v>11.378</v>
      </c>
      <c r="W890">
        <v>4.668</v>
      </c>
      <c r="X890">
        <v>114.311</v>
      </c>
      <c r="Y890">
        <v>60.497</v>
      </c>
      <c r="Z890">
        <v>42.75</v>
      </c>
      <c r="AA890">
        <v>233.604</v>
      </c>
      <c r="AB890">
        <v>0.9025</v>
      </c>
      <c r="AC890">
        <v>216</v>
      </c>
      <c r="AD890">
        <v>0</v>
      </c>
      <c r="AG890">
        <v>7</v>
      </c>
      <c r="AH890">
        <v>7</v>
      </c>
      <c r="AI890">
        <v>98</v>
      </c>
      <c r="AJ890">
        <v>55</v>
      </c>
      <c r="AK890">
        <v>49</v>
      </c>
    </row>
    <row r="891" spans="1:37">
      <c r="A891" t="s">
        <v>492</v>
      </c>
      <c r="B891" t="s">
        <v>1755</v>
      </c>
      <c r="C891">
        <v>34.4</v>
      </c>
      <c r="D891" t="s">
        <v>1475</v>
      </c>
      <c r="E891">
        <v>12</v>
      </c>
      <c r="F891">
        <v>0</v>
      </c>
      <c r="G891">
        <v>0</v>
      </c>
      <c r="H891">
        <v>3</v>
      </c>
      <c r="I891">
        <v>1.16609</v>
      </c>
      <c r="J891">
        <v>0.97911</v>
      </c>
      <c r="K891">
        <v>0.9904500000000001</v>
      </c>
      <c r="L891">
        <v>0.97188</v>
      </c>
      <c r="M891">
        <v>1.00853</v>
      </c>
      <c r="N891">
        <v>0.94063</v>
      </c>
      <c r="O891">
        <v>1.01366</v>
      </c>
      <c r="P891">
        <v>1.0007</v>
      </c>
      <c r="Q891">
        <v>1</v>
      </c>
      <c r="R891">
        <v>1.06026</v>
      </c>
      <c r="S891">
        <v>1</v>
      </c>
      <c r="T891">
        <v>1.02677</v>
      </c>
      <c r="U891">
        <v>1</v>
      </c>
      <c r="V891">
        <v>13.684</v>
      </c>
      <c r="W891">
        <v>4.68</v>
      </c>
      <c r="X891">
        <v>102.895</v>
      </c>
      <c r="Y891">
        <v>53.684</v>
      </c>
      <c r="Z891">
        <v>44.7</v>
      </c>
      <c r="AA891">
        <v>219.643</v>
      </c>
      <c r="AB891">
        <v>0.97977</v>
      </c>
      <c r="AC891">
        <v>239</v>
      </c>
      <c r="AD891">
        <v>0</v>
      </c>
      <c r="AG891">
        <v>10</v>
      </c>
      <c r="AH891">
        <v>3</v>
      </c>
      <c r="AI891">
        <v>133</v>
      </c>
      <c r="AJ891">
        <v>55</v>
      </c>
      <c r="AK891">
        <v>38</v>
      </c>
    </row>
    <row r="892" spans="1:37">
      <c r="A892" t="s">
        <v>1294</v>
      </c>
      <c r="B892" t="s">
        <v>1755</v>
      </c>
      <c r="C892">
        <v>34.6</v>
      </c>
      <c r="D892" t="s">
        <v>1475</v>
      </c>
      <c r="E892">
        <v>13</v>
      </c>
      <c r="F892">
        <v>0</v>
      </c>
      <c r="G892">
        <v>0</v>
      </c>
      <c r="H892">
        <v>4</v>
      </c>
      <c r="I892">
        <v>1.16628</v>
      </c>
      <c r="J892">
        <v>0.9873499999999999</v>
      </c>
      <c r="K892">
        <v>0.9904500000000001</v>
      </c>
      <c r="L892">
        <v>0.9715</v>
      </c>
      <c r="M892">
        <v>0.9561500000000001</v>
      </c>
      <c r="N892">
        <v>0.94334</v>
      </c>
      <c r="O892">
        <v>1.00382</v>
      </c>
      <c r="P892">
        <v>1.00046</v>
      </c>
      <c r="Q892">
        <v>1</v>
      </c>
      <c r="R892">
        <v>0.95692</v>
      </c>
      <c r="S892">
        <v>1</v>
      </c>
      <c r="T892">
        <v>1.0291</v>
      </c>
      <c r="U892">
        <v>1</v>
      </c>
      <c r="V892">
        <v>16.085</v>
      </c>
      <c r="W892">
        <v>5.19</v>
      </c>
      <c r="X892">
        <v>89.871</v>
      </c>
      <c r="Y892">
        <v>45.325</v>
      </c>
      <c r="Z892">
        <v>43.016</v>
      </c>
      <c r="AA892">
        <v>199.487</v>
      </c>
      <c r="AB892">
        <v>1.04369</v>
      </c>
      <c r="AC892">
        <v>209</v>
      </c>
      <c r="AD892">
        <v>0</v>
      </c>
      <c r="AG892">
        <v>13</v>
      </c>
      <c r="AH892">
        <v>6</v>
      </c>
      <c r="AI892">
        <v>90</v>
      </c>
      <c r="AJ892">
        <v>55</v>
      </c>
      <c r="AK892">
        <v>45</v>
      </c>
    </row>
    <row r="893" spans="1:37">
      <c r="A893" t="s">
        <v>1295</v>
      </c>
      <c r="B893" t="s">
        <v>1751</v>
      </c>
      <c r="C893">
        <v>37.5</v>
      </c>
      <c r="D893" t="s">
        <v>1475</v>
      </c>
      <c r="E893">
        <v>14</v>
      </c>
      <c r="F893">
        <v>0</v>
      </c>
      <c r="G893">
        <v>0</v>
      </c>
      <c r="H893">
        <v>5</v>
      </c>
      <c r="I893">
        <v>1.16647</v>
      </c>
      <c r="J893">
        <v>0.9692499999999999</v>
      </c>
      <c r="K893">
        <v>0.9904500000000001</v>
      </c>
      <c r="L893">
        <v>0.97115</v>
      </c>
      <c r="M893">
        <v>0.88951</v>
      </c>
      <c r="N893">
        <v>0.96135</v>
      </c>
      <c r="O893">
        <v>0.9025</v>
      </c>
      <c r="P893">
        <v>1.00024</v>
      </c>
      <c r="Q893">
        <v>1</v>
      </c>
      <c r="R893">
        <v>0.86378</v>
      </c>
      <c r="S893">
        <v>1</v>
      </c>
      <c r="T893">
        <v>1.06758</v>
      </c>
      <c r="U893">
        <v>1</v>
      </c>
      <c r="V893">
        <v>60.102</v>
      </c>
      <c r="W893">
        <v>15.153</v>
      </c>
      <c r="X893">
        <v>56.958</v>
      </c>
      <c r="Y893">
        <v>14.007</v>
      </c>
      <c r="Z893">
        <v>32.926</v>
      </c>
      <c r="AA893">
        <v>179.147</v>
      </c>
      <c r="AB893">
        <v>1.04652</v>
      </c>
      <c r="AC893">
        <v>196</v>
      </c>
      <c r="AD893">
        <v>0</v>
      </c>
      <c r="AG893">
        <v>67</v>
      </c>
      <c r="AH893">
        <v>15</v>
      </c>
      <c r="AI893">
        <v>72</v>
      </c>
      <c r="AJ893">
        <v>9</v>
      </c>
      <c r="AK893">
        <v>33</v>
      </c>
    </row>
    <row r="894" spans="1:37">
      <c r="A894" t="s">
        <v>1296</v>
      </c>
      <c r="B894" t="s">
        <v>1751</v>
      </c>
      <c r="C894">
        <v>36.7</v>
      </c>
      <c r="D894" t="s">
        <v>1475</v>
      </c>
      <c r="E894">
        <v>15</v>
      </c>
      <c r="F894">
        <v>0</v>
      </c>
      <c r="G894">
        <v>0</v>
      </c>
      <c r="H894">
        <v>6</v>
      </c>
      <c r="I894">
        <v>1.16665</v>
      </c>
      <c r="J894">
        <v>0.96727</v>
      </c>
      <c r="K894">
        <v>0.9904500000000001</v>
      </c>
      <c r="L894">
        <v>0.97084</v>
      </c>
      <c r="M894">
        <v>0.93345</v>
      </c>
      <c r="N894">
        <v>0.95734</v>
      </c>
      <c r="O894">
        <v>0.91335</v>
      </c>
      <c r="P894">
        <v>0.99738</v>
      </c>
      <c r="Q894">
        <v>1</v>
      </c>
      <c r="R894">
        <v>0.86605</v>
      </c>
      <c r="S894">
        <v>1</v>
      </c>
      <c r="T894">
        <v>1.06428</v>
      </c>
      <c r="U894">
        <v>1</v>
      </c>
      <c r="V894">
        <v>58.662</v>
      </c>
      <c r="W894">
        <v>14.336</v>
      </c>
      <c r="X894">
        <v>63.594</v>
      </c>
      <c r="Y894">
        <v>16.288</v>
      </c>
      <c r="Z894">
        <v>34.173</v>
      </c>
      <c r="AA894">
        <v>187.054</v>
      </c>
      <c r="AB894">
        <v>0.99407</v>
      </c>
      <c r="AC894">
        <v>197</v>
      </c>
      <c r="AD894">
        <v>0</v>
      </c>
      <c r="AG894">
        <v>70</v>
      </c>
      <c r="AH894">
        <v>11</v>
      </c>
      <c r="AI894">
        <v>63</v>
      </c>
      <c r="AJ894">
        <v>21</v>
      </c>
      <c r="AK894">
        <v>32</v>
      </c>
    </row>
    <row r="895" spans="1:37">
      <c r="A895" t="s">
        <v>1297</v>
      </c>
      <c r="B895" t="s">
        <v>1752</v>
      </c>
      <c r="C895">
        <v>35.8</v>
      </c>
      <c r="D895" t="s">
        <v>1475</v>
      </c>
      <c r="E895">
        <v>16</v>
      </c>
      <c r="F895">
        <v>0</v>
      </c>
      <c r="G895">
        <v>0</v>
      </c>
      <c r="H895">
        <v>7</v>
      </c>
      <c r="I895">
        <v>1.16684</v>
      </c>
      <c r="J895">
        <v>0.9640300000000001</v>
      </c>
      <c r="K895">
        <v>0.9904500000000001</v>
      </c>
      <c r="L895">
        <v>0.97058</v>
      </c>
      <c r="M895">
        <v>1.16154</v>
      </c>
      <c r="N895">
        <v>0.9432700000000001</v>
      </c>
      <c r="O895">
        <v>0.95039</v>
      </c>
      <c r="P895">
        <v>0.99405</v>
      </c>
      <c r="Q895">
        <v>1</v>
      </c>
      <c r="R895">
        <v>0.87414</v>
      </c>
      <c r="S895">
        <v>1</v>
      </c>
      <c r="T895">
        <v>1.05303</v>
      </c>
      <c r="U895">
        <v>1</v>
      </c>
      <c r="V895">
        <v>54.775</v>
      </c>
      <c r="W895">
        <v>12.008</v>
      </c>
      <c r="X895">
        <v>97.08199999999999</v>
      </c>
      <c r="Y895">
        <v>27.84</v>
      </c>
      <c r="Z895">
        <v>39.778</v>
      </c>
      <c r="AA895">
        <v>231.483</v>
      </c>
      <c r="AB895">
        <v>1.02618</v>
      </c>
      <c r="AC895">
        <v>217</v>
      </c>
      <c r="AD895">
        <v>0</v>
      </c>
      <c r="AG895">
        <v>46</v>
      </c>
      <c r="AH895">
        <v>12</v>
      </c>
      <c r="AI895">
        <v>98</v>
      </c>
      <c r="AJ895">
        <v>29</v>
      </c>
      <c r="AK895">
        <v>32</v>
      </c>
    </row>
    <row r="896" spans="1:37">
      <c r="A896" t="s">
        <v>1298</v>
      </c>
      <c r="B896" t="s">
        <v>1753</v>
      </c>
      <c r="C896">
        <v>35</v>
      </c>
      <c r="D896" t="s">
        <v>1475</v>
      </c>
      <c r="E896">
        <v>17</v>
      </c>
      <c r="F896">
        <v>0</v>
      </c>
      <c r="G896">
        <v>0</v>
      </c>
      <c r="I896">
        <v>1.16702</v>
      </c>
      <c r="J896">
        <v>0.95944</v>
      </c>
      <c r="K896">
        <v>0.9904500000000001</v>
      </c>
      <c r="L896">
        <v>0.97036</v>
      </c>
      <c r="M896">
        <v>0.95684</v>
      </c>
      <c r="N896">
        <v>0.93726</v>
      </c>
      <c r="O896">
        <v>1.00358</v>
      </c>
      <c r="P896">
        <v>0.9895699999999999</v>
      </c>
      <c r="Q896">
        <v>1</v>
      </c>
      <c r="R896">
        <v>1</v>
      </c>
      <c r="S896">
        <v>1</v>
      </c>
      <c r="T896">
        <v>1.02825</v>
      </c>
      <c r="U896">
        <v>1</v>
      </c>
      <c r="V896">
        <v>16.261</v>
      </c>
      <c r="W896">
        <v>5.798</v>
      </c>
      <c r="X896">
        <v>100.389</v>
      </c>
      <c r="Y896">
        <v>48.788</v>
      </c>
      <c r="Z896">
        <v>47.157</v>
      </c>
      <c r="AA896">
        <v>218.393</v>
      </c>
      <c r="AB896">
        <v>0.89973</v>
      </c>
      <c r="AC896">
        <v>191</v>
      </c>
      <c r="AD896">
        <v>0</v>
      </c>
      <c r="AG896">
        <v>11</v>
      </c>
      <c r="AH896">
        <v>6</v>
      </c>
      <c r="AI896">
        <v>81</v>
      </c>
      <c r="AJ896">
        <v>46</v>
      </c>
      <c r="AK896">
        <v>47</v>
      </c>
    </row>
    <row r="897" spans="1:37">
      <c r="A897" t="s">
        <v>1299</v>
      </c>
      <c r="B897" t="s">
        <v>1754</v>
      </c>
      <c r="C897">
        <v>34</v>
      </c>
      <c r="D897" t="s">
        <v>1475</v>
      </c>
      <c r="E897">
        <v>18</v>
      </c>
      <c r="F897">
        <v>0</v>
      </c>
      <c r="G897">
        <v>0</v>
      </c>
      <c r="I897">
        <v>1.16721</v>
      </c>
      <c r="J897">
        <v>0.95579</v>
      </c>
      <c r="K897">
        <v>0.9904500000000001</v>
      </c>
      <c r="L897">
        <v>0.97019</v>
      </c>
      <c r="M897">
        <v>0.87457</v>
      </c>
      <c r="N897">
        <v>0.9462</v>
      </c>
      <c r="O897">
        <v>0.97537</v>
      </c>
      <c r="P897">
        <v>0.98655</v>
      </c>
      <c r="Q897">
        <v>1</v>
      </c>
      <c r="R897">
        <v>1</v>
      </c>
      <c r="S897">
        <v>1</v>
      </c>
      <c r="T897">
        <v>1.03372</v>
      </c>
      <c r="U897">
        <v>1</v>
      </c>
      <c r="V897">
        <v>22.043</v>
      </c>
      <c r="W897">
        <v>9.058999999999999</v>
      </c>
      <c r="X897">
        <v>85.985</v>
      </c>
      <c r="Y897">
        <v>41.099</v>
      </c>
      <c r="Z897">
        <v>40.67</v>
      </c>
      <c r="AA897">
        <v>198.856</v>
      </c>
      <c r="AB897">
        <v>1.01612</v>
      </c>
      <c r="AC897">
        <v>212</v>
      </c>
      <c r="AD897">
        <v>0</v>
      </c>
      <c r="AG897">
        <v>26</v>
      </c>
      <c r="AH897">
        <v>14</v>
      </c>
      <c r="AI897">
        <v>91</v>
      </c>
      <c r="AJ897">
        <v>39</v>
      </c>
      <c r="AK897">
        <v>42</v>
      </c>
    </row>
    <row r="898" spans="1:37">
      <c r="A898" t="s">
        <v>493</v>
      </c>
      <c r="B898" t="s">
        <v>1751</v>
      </c>
      <c r="C898">
        <v>34.2</v>
      </c>
      <c r="D898" t="s">
        <v>1474</v>
      </c>
      <c r="E898">
        <v>19</v>
      </c>
      <c r="F898">
        <v>0</v>
      </c>
      <c r="G898">
        <v>0</v>
      </c>
      <c r="I898">
        <v>1.1674</v>
      </c>
      <c r="J898">
        <v>0.94861</v>
      </c>
      <c r="K898">
        <v>0.9904500000000001</v>
      </c>
      <c r="L898">
        <v>0.9700800000000001</v>
      </c>
      <c r="M898">
        <v>0.91468</v>
      </c>
      <c r="N898">
        <v>0.9712499999999999</v>
      </c>
      <c r="O898">
        <v>1.01322</v>
      </c>
      <c r="P898">
        <v>0.98767</v>
      </c>
      <c r="Q898">
        <v>1</v>
      </c>
      <c r="R898">
        <v>1</v>
      </c>
      <c r="S898">
        <v>1</v>
      </c>
      <c r="T898">
        <v>1.07296</v>
      </c>
      <c r="U898">
        <v>1</v>
      </c>
      <c r="V898">
        <v>82.152</v>
      </c>
      <c r="W898">
        <v>39.885</v>
      </c>
      <c r="X898">
        <v>58.032</v>
      </c>
      <c r="Y898">
        <v>12.874</v>
      </c>
      <c r="Z898">
        <v>32.983</v>
      </c>
      <c r="AA898">
        <v>225.927</v>
      </c>
      <c r="AB898">
        <v>0.93038</v>
      </c>
      <c r="AC898">
        <v>208</v>
      </c>
      <c r="AD898">
        <v>0</v>
      </c>
      <c r="AG898">
        <v>80</v>
      </c>
      <c r="AH898">
        <v>39</v>
      </c>
      <c r="AI898">
        <v>50</v>
      </c>
      <c r="AJ898">
        <v>8</v>
      </c>
      <c r="AK898">
        <v>31</v>
      </c>
    </row>
    <row r="899" spans="1:37">
      <c r="A899" t="s">
        <v>1300</v>
      </c>
      <c r="B899" t="s">
        <v>1751</v>
      </c>
      <c r="C899">
        <v>33.9</v>
      </c>
      <c r="D899" t="s">
        <v>1474</v>
      </c>
      <c r="E899">
        <v>20</v>
      </c>
      <c r="F899">
        <v>0</v>
      </c>
      <c r="G899">
        <v>0</v>
      </c>
      <c r="I899">
        <v>1.16758</v>
      </c>
      <c r="J899">
        <v>0.96138</v>
      </c>
      <c r="K899">
        <v>0.9904500000000001</v>
      </c>
      <c r="L899">
        <v>0.97001</v>
      </c>
      <c r="M899">
        <v>0.88873</v>
      </c>
      <c r="N899">
        <v>0.97178</v>
      </c>
      <c r="O899">
        <v>1.01389</v>
      </c>
      <c r="P899">
        <v>0.98513</v>
      </c>
      <c r="Q899">
        <v>1</v>
      </c>
      <c r="R899">
        <v>1</v>
      </c>
      <c r="S899">
        <v>1</v>
      </c>
      <c r="T899">
        <v>1.0718</v>
      </c>
      <c r="U899">
        <v>1</v>
      </c>
      <c r="V899">
        <v>79.113</v>
      </c>
      <c r="W899">
        <v>40.349</v>
      </c>
      <c r="X899">
        <v>57.351</v>
      </c>
      <c r="Y899">
        <v>11.929</v>
      </c>
      <c r="Z899">
        <v>33.176</v>
      </c>
      <c r="AA899">
        <v>221.918</v>
      </c>
      <c r="AB899">
        <v>0.94145</v>
      </c>
      <c r="AC899">
        <v>225</v>
      </c>
      <c r="AD899">
        <v>1</v>
      </c>
      <c r="AG899">
        <v>75</v>
      </c>
      <c r="AH899">
        <v>39</v>
      </c>
      <c r="AI899">
        <v>56</v>
      </c>
      <c r="AJ899">
        <v>17</v>
      </c>
      <c r="AK899">
        <v>38</v>
      </c>
    </row>
    <row r="900" spans="1:37">
      <c r="A900" t="s">
        <v>1301</v>
      </c>
      <c r="B900" t="s">
        <v>1751</v>
      </c>
      <c r="C900">
        <v>33.1</v>
      </c>
      <c r="D900" t="s">
        <v>1474</v>
      </c>
      <c r="E900">
        <v>21</v>
      </c>
      <c r="F900">
        <v>0</v>
      </c>
      <c r="G900">
        <v>0</v>
      </c>
      <c r="I900">
        <v>1.16777</v>
      </c>
      <c r="J900">
        <v>0.95111</v>
      </c>
      <c r="K900">
        <v>0.9904500000000001</v>
      </c>
      <c r="L900">
        <v>0.97</v>
      </c>
      <c r="M900">
        <v>0.91003</v>
      </c>
      <c r="N900">
        <v>0.972</v>
      </c>
      <c r="O900">
        <v>1.01327</v>
      </c>
      <c r="P900">
        <v>0.9824000000000001</v>
      </c>
      <c r="Q900">
        <v>1</v>
      </c>
      <c r="R900">
        <v>1</v>
      </c>
      <c r="S900">
        <v>1</v>
      </c>
      <c r="T900">
        <v>1.07047</v>
      </c>
      <c r="U900">
        <v>1</v>
      </c>
      <c r="V900">
        <v>78.083</v>
      </c>
      <c r="W900">
        <v>39.848</v>
      </c>
      <c r="X900">
        <v>60.803</v>
      </c>
      <c r="Y900">
        <v>12.919</v>
      </c>
      <c r="Z900">
        <v>33.09</v>
      </c>
      <c r="AA900">
        <v>224.742</v>
      </c>
      <c r="AB900">
        <v>0.91459</v>
      </c>
      <c r="AC900">
        <v>181</v>
      </c>
      <c r="AD900">
        <v>0</v>
      </c>
      <c r="AG900">
        <v>65</v>
      </c>
      <c r="AH900">
        <v>24</v>
      </c>
      <c r="AI900">
        <v>50</v>
      </c>
      <c r="AJ900">
        <v>10</v>
      </c>
      <c r="AK900">
        <v>32</v>
      </c>
    </row>
    <row r="901" spans="1:37">
      <c r="A901" t="s">
        <v>1302</v>
      </c>
      <c r="B901" t="s">
        <v>1751</v>
      </c>
      <c r="C901">
        <v>33.3</v>
      </c>
      <c r="D901" t="s">
        <v>1474</v>
      </c>
      <c r="E901">
        <v>22</v>
      </c>
      <c r="F901">
        <v>0</v>
      </c>
      <c r="G901">
        <v>0</v>
      </c>
      <c r="I901">
        <v>1.16795</v>
      </c>
      <c r="J901">
        <v>0.93631</v>
      </c>
      <c r="K901">
        <v>0.9904500000000001</v>
      </c>
      <c r="L901">
        <v>0.96996</v>
      </c>
      <c r="M901">
        <v>0.94072</v>
      </c>
      <c r="N901">
        <v>0.96737</v>
      </c>
      <c r="O901">
        <v>1.01159</v>
      </c>
      <c r="P901">
        <v>0.9792999999999999</v>
      </c>
      <c r="Q901">
        <v>1</v>
      </c>
      <c r="R901">
        <v>1</v>
      </c>
      <c r="S901">
        <v>1</v>
      </c>
      <c r="T901">
        <v>1.06773</v>
      </c>
      <c r="U901">
        <v>1</v>
      </c>
      <c r="V901">
        <v>75.139</v>
      </c>
      <c r="W901">
        <v>37.2</v>
      </c>
      <c r="X901">
        <v>66.28700000000001</v>
      </c>
      <c r="Y901">
        <v>14.707</v>
      </c>
      <c r="Z901">
        <v>34.304</v>
      </c>
      <c r="AA901">
        <v>227.638</v>
      </c>
      <c r="AB901">
        <v>1.05185</v>
      </c>
      <c r="AC901">
        <v>240</v>
      </c>
      <c r="AD901">
        <v>0</v>
      </c>
      <c r="AG901">
        <v>71</v>
      </c>
      <c r="AH901">
        <v>51</v>
      </c>
      <c r="AI901">
        <v>62</v>
      </c>
      <c r="AJ901">
        <v>17</v>
      </c>
      <c r="AK901">
        <v>39</v>
      </c>
    </row>
    <row r="902" spans="1:37">
      <c r="A902" t="s">
        <v>1303</v>
      </c>
      <c r="B902" t="s">
        <v>1752</v>
      </c>
      <c r="C902">
        <v>34.8</v>
      </c>
      <c r="D902" t="s">
        <v>1474</v>
      </c>
      <c r="E902">
        <v>23</v>
      </c>
      <c r="F902">
        <v>0</v>
      </c>
      <c r="G902">
        <v>0</v>
      </c>
      <c r="I902">
        <v>1.16814</v>
      </c>
      <c r="J902">
        <v>0.92145</v>
      </c>
      <c r="K902">
        <v>0.9904500000000001</v>
      </c>
      <c r="L902">
        <v>0.9698600000000001</v>
      </c>
      <c r="M902">
        <v>1.10867</v>
      </c>
      <c r="N902">
        <v>0.94734</v>
      </c>
      <c r="O902">
        <v>1.00585</v>
      </c>
      <c r="P902">
        <v>0.97438</v>
      </c>
      <c r="Q902">
        <v>1</v>
      </c>
      <c r="R902">
        <v>1</v>
      </c>
      <c r="S902">
        <v>1</v>
      </c>
      <c r="T902">
        <v>1.05772</v>
      </c>
      <c r="U902">
        <v>1</v>
      </c>
      <c r="V902">
        <v>69.22799999999999</v>
      </c>
      <c r="W902">
        <v>30.772</v>
      </c>
      <c r="X902">
        <v>96.69799999999999</v>
      </c>
      <c r="Y902">
        <v>24.258</v>
      </c>
      <c r="Z902">
        <v>40.632</v>
      </c>
      <c r="AA902">
        <v>261.588</v>
      </c>
      <c r="AB902">
        <v>0.95896</v>
      </c>
      <c r="AC902">
        <v>250</v>
      </c>
      <c r="AD902">
        <v>0</v>
      </c>
      <c r="AG902">
        <v>78</v>
      </c>
      <c r="AH902">
        <v>23</v>
      </c>
      <c r="AI902">
        <v>90</v>
      </c>
      <c r="AJ902">
        <v>24</v>
      </c>
      <c r="AK902">
        <v>35</v>
      </c>
    </row>
    <row r="903" spans="1:37">
      <c r="A903" t="s">
        <v>1304</v>
      </c>
      <c r="B903" t="s">
        <v>1753</v>
      </c>
      <c r="C903">
        <v>34.3</v>
      </c>
      <c r="D903" t="s">
        <v>1474</v>
      </c>
      <c r="E903">
        <v>24</v>
      </c>
      <c r="F903">
        <v>0</v>
      </c>
      <c r="G903">
        <v>0</v>
      </c>
      <c r="I903">
        <v>1.16833</v>
      </c>
      <c r="J903">
        <v>0.93772</v>
      </c>
      <c r="K903">
        <v>0.9904500000000001</v>
      </c>
      <c r="L903">
        <v>0.96971</v>
      </c>
      <c r="M903">
        <v>0.85886</v>
      </c>
      <c r="N903">
        <v>0.93708</v>
      </c>
      <c r="O903">
        <v>0.99608</v>
      </c>
      <c r="P903">
        <v>0.96583</v>
      </c>
      <c r="Q903">
        <v>1</v>
      </c>
      <c r="R903">
        <v>1</v>
      </c>
      <c r="S903">
        <v>1</v>
      </c>
      <c r="T903">
        <v>1.0294</v>
      </c>
      <c r="U903">
        <v>1</v>
      </c>
      <c r="V903">
        <v>16.797</v>
      </c>
      <c r="W903">
        <v>13.674</v>
      </c>
      <c r="X903">
        <v>91.711</v>
      </c>
      <c r="Y903">
        <v>39.001</v>
      </c>
      <c r="Z903">
        <v>44.491</v>
      </c>
      <c r="AA903">
        <v>205.675</v>
      </c>
      <c r="AB903">
        <v>0.96039</v>
      </c>
      <c r="AC903">
        <v>182</v>
      </c>
      <c r="AD903">
        <v>0</v>
      </c>
      <c r="AG903">
        <v>11</v>
      </c>
      <c r="AH903">
        <v>9</v>
      </c>
      <c r="AI903">
        <v>94</v>
      </c>
      <c r="AJ903">
        <v>31</v>
      </c>
      <c r="AK903">
        <v>37</v>
      </c>
    </row>
    <row r="904" spans="1:37">
      <c r="A904" t="s">
        <v>1305</v>
      </c>
      <c r="B904" t="s">
        <v>1754</v>
      </c>
      <c r="C904">
        <v>33.8</v>
      </c>
      <c r="D904" t="s">
        <v>1474</v>
      </c>
      <c r="E904">
        <v>25</v>
      </c>
      <c r="F904">
        <v>0</v>
      </c>
      <c r="G904">
        <v>0</v>
      </c>
      <c r="I904">
        <v>1.16851</v>
      </c>
      <c r="J904">
        <v>0.95364</v>
      </c>
      <c r="K904">
        <v>0.9904500000000001</v>
      </c>
      <c r="L904">
        <v>0.96952</v>
      </c>
      <c r="M904">
        <v>0.81243</v>
      </c>
      <c r="N904">
        <v>0.94408</v>
      </c>
      <c r="O904">
        <v>1.00116</v>
      </c>
      <c r="P904">
        <v>0.96432</v>
      </c>
      <c r="Q904">
        <v>1</v>
      </c>
      <c r="R904">
        <v>1</v>
      </c>
      <c r="S904">
        <v>1</v>
      </c>
      <c r="T904">
        <v>1.03498</v>
      </c>
      <c r="U904">
        <v>1</v>
      </c>
      <c r="V904">
        <v>23.219</v>
      </c>
      <c r="W904">
        <v>21.811</v>
      </c>
      <c r="X904">
        <v>79.571</v>
      </c>
      <c r="Y904">
        <v>33.332</v>
      </c>
      <c r="Z904">
        <v>39.412</v>
      </c>
      <c r="AA904">
        <v>197.344</v>
      </c>
      <c r="AB904">
        <v>0.98133</v>
      </c>
      <c r="AC904">
        <v>198</v>
      </c>
      <c r="AD904">
        <v>0</v>
      </c>
      <c r="AG904">
        <v>20</v>
      </c>
      <c r="AH904">
        <v>18</v>
      </c>
      <c r="AI904">
        <v>82</v>
      </c>
      <c r="AJ904">
        <v>39</v>
      </c>
      <c r="AK904">
        <v>39</v>
      </c>
    </row>
    <row r="905" spans="1:37">
      <c r="A905" t="s">
        <v>494</v>
      </c>
      <c r="B905" t="s">
        <v>1751</v>
      </c>
      <c r="C905">
        <v>34.5</v>
      </c>
      <c r="D905" t="s">
        <v>1474</v>
      </c>
      <c r="E905">
        <v>26</v>
      </c>
      <c r="F905">
        <v>0</v>
      </c>
      <c r="G905">
        <v>0</v>
      </c>
      <c r="I905">
        <v>1.1687</v>
      </c>
      <c r="J905">
        <v>0.95699</v>
      </c>
      <c r="K905">
        <v>0.9904500000000001</v>
      </c>
      <c r="L905">
        <v>0.96927</v>
      </c>
      <c r="M905">
        <v>0.91679</v>
      </c>
      <c r="N905">
        <v>0.96317</v>
      </c>
      <c r="O905">
        <v>1.01462</v>
      </c>
      <c r="P905">
        <v>0.97022</v>
      </c>
      <c r="Q905">
        <v>1</v>
      </c>
      <c r="R905">
        <v>1</v>
      </c>
      <c r="S905">
        <v>1.06585</v>
      </c>
      <c r="T905">
        <v>1.07146</v>
      </c>
      <c r="U905">
        <v>1</v>
      </c>
      <c r="V905">
        <v>83.83199999999999</v>
      </c>
      <c r="W905">
        <v>44.804</v>
      </c>
      <c r="X905">
        <v>59.305</v>
      </c>
      <c r="Y905">
        <v>12.68</v>
      </c>
      <c r="Z905">
        <v>35.8</v>
      </c>
      <c r="AA905">
        <v>236.422</v>
      </c>
      <c r="AB905">
        <v>0.95528</v>
      </c>
      <c r="AC905">
        <v>218</v>
      </c>
      <c r="AD905">
        <v>0</v>
      </c>
      <c r="AG905">
        <v>78</v>
      </c>
      <c r="AH905">
        <v>48</v>
      </c>
      <c r="AI905">
        <v>48</v>
      </c>
      <c r="AJ905">
        <v>12</v>
      </c>
      <c r="AK905">
        <v>32</v>
      </c>
    </row>
    <row r="906" spans="1:37">
      <c r="A906" t="s">
        <v>1306</v>
      </c>
      <c r="B906" t="s">
        <v>1751</v>
      </c>
      <c r="C906">
        <v>36.9</v>
      </c>
      <c r="D906" t="s">
        <v>1474</v>
      </c>
      <c r="E906">
        <v>27</v>
      </c>
      <c r="F906">
        <v>0</v>
      </c>
      <c r="G906">
        <v>0</v>
      </c>
      <c r="I906">
        <v>1.16888</v>
      </c>
      <c r="J906">
        <v>0.95124</v>
      </c>
      <c r="K906">
        <v>0.9904500000000001</v>
      </c>
      <c r="L906">
        <v>0.96898</v>
      </c>
      <c r="M906">
        <v>0.89289</v>
      </c>
      <c r="N906">
        <v>0.95961</v>
      </c>
      <c r="O906">
        <v>1.01531</v>
      </c>
      <c r="P906">
        <v>0.97019</v>
      </c>
      <c r="Q906">
        <v>1</v>
      </c>
      <c r="R906">
        <v>1</v>
      </c>
      <c r="S906">
        <v>1.06225</v>
      </c>
      <c r="T906">
        <v>1.07052</v>
      </c>
      <c r="U906">
        <v>1</v>
      </c>
      <c r="V906">
        <v>79.23399999999999</v>
      </c>
      <c r="W906">
        <v>44.114</v>
      </c>
      <c r="X906">
        <v>55.54</v>
      </c>
      <c r="Y906">
        <v>11.31</v>
      </c>
      <c r="Z906">
        <v>36.307</v>
      </c>
      <c r="AA906">
        <v>226.505</v>
      </c>
      <c r="AB906">
        <v>1.09012</v>
      </c>
      <c r="AC906">
        <v>222</v>
      </c>
      <c r="AD906">
        <v>0</v>
      </c>
      <c r="AG906">
        <v>58</v>
      </c>
      <c r="AH906">
        <v>48</v>
      </c>
      <c r="AI906">
        <v>55</v>
      </c>
      <c r="AJ906">
        <v>10</v>
      </c>
      <c r="AK906">
        <v>51</v>
      </c>
    </row>
    <row r="907" spans="1:37">
      <c r="A907" t="s">
        <v>1307</v>
      </c>
      <c r="B907" t="s">
        <v>1751</v>
      </c>
      <c r="C907">
        <v>38.2</v>
      </c>
      <c r="D907" t="s">
        <v>1474</v>
      </c>
      <c r="E907">
        <v>28</v>
      </c>
      <c r="F907">
        <v>0</v>
      </c>
      <c r="G907">
        <v>0</v>
      </c>
      <c r="I907">
        <v>1.16907</v>
      </c>
      <c r="J907">
        <v>0.95334</v>
      </c>
      <c r="K907">
        <v>0.9904500000000001</v>
      </c>
      <c r="L907">
        <v>0.96865</v>
      </c>
      <c r="M907">
        <v>0.91404</v>
      </c>
      <c r="N907">
        <v>0.95517</v>
      </c>
      <c r="O907">
        <v>1.0149</v>
      </c>
      <c r="P907">
        <v>0.96979</v>
      </c>
      <c r="Q907">
        <v>1</v>
      </c>
      <c r="R907">
        <v>1</v>
      </c>
      <c r="S907">
        <v>1.06526</v>
      </c>
      <c r="T907">
        <v>1.06889</v>
      </c>
      <c r="U907">
        <v>1</v>
      </c>
      <c r="V907">
        <v>78.886</v>
      </c>
      <c r="W907">
        <v>44.627</v>
      </c>
      <c r="X907">
        <v>59.396</v>
      </c>
      <c r="Y907">
        <v>12.198</v>
      </c>
      <c r="Z907">
        <v>37.432</v>
      </c>
      <c r="AA907">
        <v>232.539</v>
      </c>
      <c r="AB907">
        <v>1.01548</v>
      </c>
      <c r="AC907">
        <v>247</v>
      </c>
      <c r="AD907">
        <v>0</v>
      </c>
      <c r="AG907">
        <v>76</v>
      </c>
      <c r="AH907">
        <v>51</v>
      </c>
      <c r="AI907">
        <v>57</v>
      </c>
      <c r="AJ907">
        <v>14</v>
      </c>
      <c r="AK907">
        <v>49</v>
      </c>
    </row>
    <row r="908" spans="1:37">
      <c r="A908" t="s">
        <v>1308</v>
      </c>
      <c r="B908" t="s">
        <v>1751</v>
      </c>
      <c r="C908">
        <v>39.2</v>
      </c>
      <c r="D908" t="s">
        <v>1474</v>
      </c>
      <c r="E908">
        <v>29</v>
      </c>
      <c r="F908">
        <v>0</v>
      </c>
      <c r="G908">
        <v>0</v>
      </c>
      <c r="I908">
        <v>1.16926</v>
      </c>
      <c r="J908">
        <v>0.94912</v>
      </c>
      <c r="K908">
        <v>0.9904500000000001</v>
      </c>
      <c r="L908">
        <v>0.96828</v>
      </c>
      <c r="M908">
        <v>0.94272</v>
      </c>
      <c r="N908">
        <v>0.95029</v>
      </c>
      <c r="O908">
        <v>1.01304</v>
      </c>
      <c r="P908">
        <v>0.96893</v>
      </c>
      <c r="Q908">
        <v>1</v>
      </c>
      <c r="R908">
        <v>1</v>
      </c>
      <c r="S908">
        <v>1.06499</v>
      </c>
      <c r="T908">
        <v>1.0663</v>
      </c>
      <c r="U908">
        <v>1</v>
      </c>
      <c r="V908">
        <v>77.129</v>
      </c>
      <c r="W908">
        <v>41.9</v>
      </c>
      <c r="X908">
        <v>65</v>
      </c>
      <c r="Y908">
        <v>14.085</v>
      </c>
      <c r="Z908">
        <v>40.216</v>
      </c>
      <c r="AA908">
        <v>238.329</v>
      </c>
      <c r="AB908">
        <v>0.97715</v>
      </c>
      <c r="AC908">
        <v>224</v>
      </c>
      <c r="AD908">
        <v>0</v>
      </c>
      <c r="AG908">
        <v>67</v>
      </c>
      <c r="AH908">
        <v>54</v>
      </c>
      <c r="AI908">
        <v>53</v>
      </c>
      <c r="AJ908">
        <v>10</v>
      </c>
      <c r="AK908">
        <v>40</v>
      </c>
    </row>
    <row r="909" spans="1:37">
      <c r="A909" t="s">
        <v>1309</v>
      </c>
      <c r="B909" t="s">
        <v>1752</v>
      </c>
      <c r="C909">
        <v>39</v>
      </c>
      <c r="D909" t="s">
        <v>1474</v>
      </c>
      <c r="E909">
        <v>0</v>
      </c>
      <c r="F909">
        <v>0</v>
      </c>
      <c r="G909">
        <v>0</v>
      </c>
      <c r="I909">
        <v>1.16944</v>
      </c>
      <c r="J909">
        <v>0.95099</v>
      </c>
      <c r="K909">
        <v>0.9904500000000001</v>
      </c>
      <c r="L909">
        <v>0.96787</v>
      </c>
      <c r="M909">
        <v>1.11149</v>
      </c>
      <c r="N909">
        <v>0.92832</v>
      </c>
      <c r="O909">
        <v>1.00617</v>
      </c>
      <c r="P909">
        <v>1.06829</v>
      </c>
      <c r="Q909">
        <v>1</v>
      </c>
      <c r="R909">
        <v>1</v>
      </c>
      <c r="S909">
        <v>1.0512</v>
      </c>
      <c r="T909">
        <v>1.0546</v>
      </c>
      <c r="U909">
        <v>1</v>
      </c>
      <c r="V909">
        <v>75.27200000000001</v>
      </c>
      <c r="W909">
        <v>36.461</v>
      </c>
      <c r="X909">
        <v>111.517</v>
      </c>
      <c r="Y909">
        <v>27.499</v>
      </c>
      <c r="Z909">
        <v>53.783</v>
      </c>
      <c r="AA909">
        <v>304.532</v>
      </c>
      <c r="AB909">
        <v>1.00568</v>
      </c>
      <c r="AC909">
        <v>329</v>
      </c>
      <c r="AD909">
        <v>0</v>
      </c>
      <c r="AG909">
        <v>76</v>
      </c>
      <c r="AH909">
        <v>35</v>
      </c>
      <c r="AI909">
        <v>123</v>
      </c>
      <c r="AJ909">
        <v>36</v>
      </c>
      <c r="AK909">
        <v>59</v>
      </c>
    </row>
    <row r="910" spans="1:37">
      <c r="A910" t="s">
        <v>1310</v>
      </c>
      <c r="B910" t="s">
        <v>1753</v>
      </c>
      <c r="C910">
        <v>37.5</v>
      </c>
      <c r="D910" t="s">
        <v>1476</v>
      </c>
      <c r="E910">
        <v>1</v>
      </c>
      <c r="F910">
        <v>0</v>
      </c>
      <c r="G910">
        <v>0</v>
      </c>
      <c r="I910">
        <v>1.16963</v>
      </c>
      <c r="J910">
        <v>0.9569800000000001</v>
      </c>
      <c r="K910">
        <v>0.9904500000000001</v>
      </c>
      <c r="L910">
        <v>0.96743</v>
      </c>
      <c r="M910">
        <v>0.97804</v>
      </c>
      <c r="N910">
        <v>0.9074</v>
      </c>
      <c r="O910">
        <v>0.92364</v>
      </c>
      <c r="P910">
        <v>1.0567</v>
      </c>
      <c r="Q910">
        <v>1</v>
      </c>
      <c r="R910">
        <v>1</v>
      </c>
      <c r="S910">
        <v>1</v>
      </c>
      <c r="T910">
        <v>1.02741</v>
      </c>
      <c r="U910">
        <v>1</v>
      </c>
      <c r="V910">
        <v>15.234</v>
      </c>
      <c r="W910">
        <v>2.661</v>
      </c>
      <c r="X910">
        <v>97.52</v>
      </c>
      <c r="Y910">
        <v>39.339</v>
      </c>
      <c r="Z910">
        <v>51.963</v>
      </c>
      <c r="AA910">
        <v>206.717</v>
      </c>
      <c r="AB910">
        <v>1.04482</v>
      </c>
      <c r="AC910">
        <v>219</v>
      </c>
      <c r="AD910">
        <v>0</v>
      </c>
      <c r="AG910">
        <v>22</v>
      </c>
      <c r="AH910">
        <v>1</v>
      </c>
      <c r="AI910">
        <v>92</v>
      </c>
      <c r="AJ910">
        <v>37</v>
      </c>
      <c r="AK910">
        <v>67</v>
      </c>
    </row>
    <row r="911" spans="1:37">
      <c r="A911" t="s">
        <v>1311</v>
      </c>
      <c r="B911" t="s">
        <v>1754</v>
      </c>
      <c r="C911">
        <v>37.7</v>
      </c>
      <c r="D911" t="s">
        <v>1476</v>
      </c>
      <c r="E911">
        <v>2</v>
      </c>
      <c r="F911">
        <v>0</v>
      </c>
      <c r="G911">
        <v>0</v>
      </c>
      <c r="I911">
        <v>1.16981</v>
      </c>
      <c r="J911">
        <v>0.95412</v>
      </c>
      <c r="K911">
        <v>0.9904500000000001</v>
      </c>
      <c r="L911">
        <v>0.96697</v>
      </c>
      <c r="M911">
        <v>0.88139</v>
      </c>
      <c r="N911">
        <v>0.90935</v>
      </c>
      <c r="O911">
        <v>0.88858</v>
      </c>
      <c r="P911">
        <v>1.03672</v>
      </c>
      <c r="Q911">
        <v>1</v>
      </c>
      <c r="R911">
        <v>1</v>
      </c>
      <c r="S911">
        <v>1</v>
      </c>
      <c r="T911">
        <v>1.03305</v>
      </c>
      <c r="U911">
        <v>1</v>
      </c>
      <c r="V911">
        <v>20.514</v>
      </c>
      <c r="W911">
        <v>4.127</v>
      </c>
      <c r="X911">
        <v>80.822</v>
      </c>
      <c r="Y911">
        <v>32.185</v>
      </c>
      <c r="Z911">
        <v>44.829</v>
      </c>
      <c r="AA911">
        <v>182.476</v>
      </c>
      <c r="AB911">
        <v>0.98583</v>
      </c>
      <c r="AC911">
        <v>183</v>
      </c>
      <c r="AD911">
        <v>0</v>
      </c>
      <c r="AG911">
        <v>19</v>
      </c>
      <c r="AH911">
        <v>7</v>
      </c>
      <c r="AI911">
        <v>80</v>
      </c>
      <c r="AJ911">
        <v>19</v>
      </c>
      <c r="AK911">
        <v>58</v>
      </c>
    </row>
    <row r="912" spans="1:37">
      <c r="A912" t="s">
        <v>495</v>
      </c>
      <c r="B912" t="s">
        <v>1751</v>
      </c>
      <c r="C912">
        <v>38.4</v>
      </c>
      <c r="D912" t="s">
        <v>1476</v>
      </c>
      <c r="E912">
        <v>3</v>
      </c>
      <c r="F912">
        <v>0</v>
      </c>
      <c r="G912">
        <v>0</v>
      </c>
      <c r="I912">
        <v>1.17</v>
      </c>
      <c r="J912">
        <v>0.94256</v>
      </c>
      <c r="K912">
        <v>0.9904500000000001</v>
      </c>
      <c r="L912">
        <v>0.96648</v>
      </c>
      <c r="M912">
        <v>0.89708</v>
      </c>
      <c r="N912">
        <v>0.93465</v>
      </c>
      <c r="O912">
        <v>0.81003</v>
      </c>
      <c r="P912">
        <v>1.01926</v>
      </c>
      <c r="Q912">
        <v>1</v>
      </c>
      <c r="R912">
        <v>1</v>
      </c>
      <c r="S912">
        <v>1.05497</v>
      </c>
      <c r="T912">
        <v>1.07351</v>
      </c>
      <c r="U912">
        <v>1</v>
      </c>
      <c r="V912">
        <v>72.242</v>
      </c>
      <c r="W912">
        <v>8.412000000000001</v>
      </c>
      <c r="X912">
        <v>59.325</v>
      </c>
      <c r="Y912">
        <v>11.992</v>
      </c>
      <c r="Z912">
        <v>39.182</v>
      </c>
      <c r="AA912">
        <v>191.153</v>
      </c>
      <c r="AB912">
        <v>1.02342</v>
      </c>
      <c r="AC912">
        <v>180</v>
      </c>
      <c r="AD912">
        <v>0</v>
      </c>
      <c r="AG912">
        <v>75</v>
      </c>
      <c r="AH912">
        <v>6</v>
      </c>
      <c r="AI912">
        <v>66</v>
      </c>
      <c r="AJ912">
        <v>3</v>
      </c>
      <c r="AK912">
        <v>30</v>
      </c>
    </row>
    <row r="913" spans="1:37">
      <c r="A913" t="s">
        <v>1312</v>
      </c>
      <c r="B913" t="s">
        <v>1751</v>
      </c>
      <c r="C913">
        <v>36.5</v>
      </c>
      <c r="D913" t="s">
        <v>1476</v>
      </c>
      <c r="E913">
        <v>4</v>
      </c>
      <c r="F913">
        <v>0</v>
      </c>
      <c r="G913">
        <v>0</v>
      </c>
      <c r="I913">
        <v>1.17019</v>
      </c>
      <c r="J913">
        <v>0.94413</v>
      </c>
      <c r="K913">
        <v>0.9904500000000001</v>
      </c>
      <c r="L913">
        <v>0.9659799999999999</v>
      </c>
      <c r="M913">
        <v>0.87007</v>
      </c>
      <c r="N913">
        <v>0.93352</v>
      </c>
      <c r="O913">
        <v>0.80548</v>
      </c>
      <c r="P913">
        <v>1.01294</v>
      </c>
      <c r="Q913">
        <v>1</v>
      </c>
      <c r="R913">
        <v>1</v>
      </c>
      <c r="S913">
        <v>1.05259</v>
      </c>
      <c r="T913">
        <v>1.07312</v>
      </c>
      <c r="U913">
        <v>1</v>
      </c>
      <c r="V913">
        <v>68.842</v>
      </c>
      <c r="W913">
        <v>8.412000000000001</v>
      </c>
      <c r="X913">
        <v>56.976</v>
      </c>
      <c r="Y913">
        <v>10.852</v>
      </c>
      <c r="Z913">
        <v>38.12</v>
      </c>
      <c r="AA913">
        <v>183.202</v>
      </c>
      <c r="AB913">
        <v>0.95489</v>
      </c>
      <c r="AC913">
        <v>161</v>
      </c>
      <c r="AD913">
        <v>0</v>
      </c>
      <c r="AG913">
        <v>46</v>
      </c>
      <c r="AH913">
        <v>15</v>
      </c>
      <c r="AI913">
        <v>51</v>
      </c>
      <c r="AJ913">
        <v>11</v>
      </c>
      <c r="AK913">
        <v>38</v>
      </c>
    </row>
    <row r="914" spans="1:37">
      <c r="A914" t="s">
        <v>1313</v>
      </c>
      <c r="B914" t="s">
        <v>1751</v>
      </c>
      <c r="C914">
        <v>35.2</v>
      </c>
      <c r="D914" t="s">
        <v>1476</v>
      </c>
      <c r="E914">
        <v>5</v>
      </c>
      <c r="F914">
        <v>0</v>
      </c>
      <c r="G914">
        <v>0</v>
      </c>
      <c r="I914">
        <v>1.17037</v>
      </c>
      <c r="J914">
        <v>0.93976</v>
      </c>
      <c r="K914">
        <v>1.03464</v>
      </c>
      <c r="L914">
        <v>0.9654700000000001</v>
      </c>
      <c r="M914">
        <v>0.89517</v>
      </c>
      <c r="N914">
        <v>0.92948</v>
      </c>
      <c r="O914">
        <v>0.81012</v>
      </c>
      <c r="P914">
        <v>1.00879</v>
      </c>
      <c r="Q914">
        <v>1</v>
      </c>
      <c r="R914">
        <v>1</v>
      </c>
      <c r="S914">
        <v>1.05598</v>
      </c>
      <c r="T914">
        <v>1.0714</v>
      </c>
      <c r="U914">
        <v>1</v>
      </c>
      <c r="V914">
        <v>71.117</v>
      </c>
      <c r="W914">
        <v>8.691000000000001</v>
      </c>
      <c r="X914">
        <v>63.656</v>
      </c>
      <c r="Y914">
        <v>12.31</v>
      </c>
      <c r="Z914">
        <v>39.756</v>
      </c>
      <c r="AA914">
        <v>195.53</v>
      </c>
      <c r="AB914">
        <v>0.97314</v>
      </c>
      <c r="AC914">
        <v>212</v>
      </c>
      <c r="AD914">
        <v>0</v>
      </c>
      <c r="AG914">
        <v>71</v>
      </c>
      <c r="AH914">
        <v>10</v>
      </c>
      <c r="AI914">
        <v>75</v>
      </c>
      <c r="AJ914">
        <v>10</v>
      </c>
      <c r="AK914">
        <v>46</v>
      </c>
    </row>
    <row r="915" spans="1:37">
      <c r="A915" t="s">
        <v>1314</v>
      </c>
      <c r="B915" t="s">
        <v>1751</v>
      </c>
      <c r="C915">
        <v>37.5</v>
      </c>
      <c r="D915" t="s">
        <v>1476</v>
      </c>
      <c r="E915">
        <v>6</v>
      </c>
      <c r="F915">
        <v>0</v>
      </c>
      <c r="G915">
        <v>0</v>
      </c>
      <c r="I915">
        <v>1.17056</v>
      </c>
      <c r="J915">
        <v>0.94509</v>
      </c>
      <c r="K915">
        <v>1.03464</v>
      </c>
      <c r="L915">
        <v>0.96496</v>
      </c>
      <c r="M915">
        <v>0.94082</v>
      </c>
      <c r="N915">
        <v>0.92027</v>
      </c>
      <c r="O915">
        <v>0.82446</v>
      </c>
      <c r="P915">
        <v>1.00605</v>
      </c>
      <c r="Q915">
        <v>1</v>
      </c>
      <c r="R915">
        <v>1</v>
      </c>
      <c r="S915">
        <v>1.05675</v>
      </c>
      <c r="T915">
        <v>1.06763</v>
      </c>
      <c r="U915">
        <v>1</v>
      </c>
      <c r="V915">
        <v>69.69</v>
      </c>
      <c r="W915">
        <v>8.131</v>
      </c>
      <c r="X915">
        <v>69.554</v>
      </c>
      <c r="Y915">
        <v>14.069</v>
      </c>
      <c r="Z915">
        <v>43.284</v>
      </c>
      <c r="AA915">
        <v>204.728</v>
      </c>
      <c r="AB915">
        <v>0.99191</v>
      </c>
      <c r="AC915">
        <v>226</v>
      </c>
      <c r="AD915">
        <v>0</v>
      </c>
      <c r="AG915">
        <v>64</v>
      </c>
      <c r="AH915">
        <v>16</v>
      </c>
      <c r="AI915">
        <v>81</v>
      </c>
      <c r="AJ915">
        <v>13</v>
      </c>
      <c r="AK915">
        <v>52</v>
      </c>
    </row>
    <row r="916" spans="1:37">
      <c r="A916" t="s">
        <v>1315</v>
      </c>
      <c r="B916" t="s">
        <v>1752</v>
      </c>
      <c r="C916">
        <v>37.2</v>
      </c>
      <c r="D916" t="s">
        <v>1476</v>
      </c>
      <c r="E916">
        <v>7</v>
      </c>
      <c r="F916">
        <v>0</v>
      </c>
      <c r="G916">
        <v>0</v>
      </c>
      <c r="I916">
        <v>1.17074</v>
      </c>
      <c r="J916">
        <v>0.93696</v>
      </c>
      <c r="K916">
        <v>1.03464</v>
      </c>
      <c r="L916">
        <v>0.96444</v>
      </c>
      <c r="M916">
        <v>1.16587</v>
      </c>
      <c r="N916">
        <v>0.89902</v>
      </c>
      <c r="O916">
        <v>0.86877</v>
      </c>
      <c r="P916">
        <v>1.0044</v>
      </c>
      <c r="Q916">
        <v>1</v>
      </c>
      <c r="R916">
        <v>1</v>
      </c>
      <c r="S916">
        <v>1.04756</v>
      </c>
      <c r="T916">
        <v>1.05596</v>
      </c>
      <c r="U916">
        <v>1</v>
      </c>
      <c r="V916">
        <v>64.65900000000001</v>
      </c>
      <c r="W916">
        <v>6.499</v>
      </c>
      <c r="X916">
        <v>103.41</v>
      </c>
      <c r="Y916">
        <v>23.707</v>
      </c>
      <c r="Z916">
        <v>49.639</v>
      </c>
      <c r="AA916">
        <v>247.915</v>
      </c>
      <c r="AB916">
        <v>1.08253</v>
      </c>
      <c r="AC916">
        <v>273</v>
      </c>
      <c r="AD916">
        <v>0</v>
      </c>
      <c r="AG916">
        <v>81</v>
      </c>
      <c r="AH916">
        <v>8</v>
      </c>
      <c r="AI916">
        <v>103</v>
      </c>
      <c r="AJ916">
        <v>28</v>
      </c>
      <c r="AK916">
        <v>53</v>
      </c>
    </row>
    <row r="917" spans="1:37">
      <c r="A917" t="s">
        <v>1316</v>
      </c>
      <c r="B917" t="s">
        <v>1753</v>
      </c>
      <c r="C917">
        <v>36.2</v>
      </c>
      <c r="D917" t="s">
        <v>1476</v>
      </c>
      <c r="E917">
        <v>8</v>
      </c>
      <c r="F917">
        <v>0</v>
      </c>
      <c r="G917">
        <v>0</v>
      </c>
      <c r="I917">
        <v>1.17093</v>
      </c>
      <c r="J917">
        <v>0.93797</v>
      </c>
      <c r="K917">
        <v>1.03464</v>
      </c>
      <c r="L917">
        <v>0.96393</v>
      </c>
      <c r="M917">
        <v>0.96748</v>
      </c>
      <c r="N917">
        <v>0.8861</v>
      </c>
      <c r="O917">
        <v>0.92157</v>
      </c>
      <c r="P917">
        <v>1.00345</v>
      </c>
      <c r="Q917">
        <v>1</v>
      </c>
      <c r="R917">
        <v>1</v>
      </c>
      <c r="S917">
        <v>1</v>
      </c>
      <c r="T917">
        <v>1.02773</v>
      </c>
      <c r="U917">
        <v>1</v>
      </c>
      <c r="V917">
        <v>14.886</v>
      </c>
      <c r="W917">
        <v>2.642</v>
      </c>
      <c r="X917">
        <v>92.23</v>
      </c>
      <c r="Y917">
        <v>36.529</v>
      </c>
      <c r="Z917">
        <v>49.446</v>
      </c>
      <c r="AA917">
        <v>195.733</v>
      </c>
      <c r="AB917">
        <v>1.00215</v>
      </c>
      <c r="AC917">
        <v>189</v>
      </c>
      <c r="AD917">
        <v>0</v>
      </c>
      <c r="AG917">
        <v>10</v>
      </c>
      <c r="AH917">
        <v>1</v>
      </c>
      <c r="AI917">
        <v>98</v>
      </c>
      <c r="AJ917">
        <v>34</v>
      </c>
      <c r="AK917">
        <v>46</v>
      </c>
    </row>
    <row r="918" spans="1:37">
      <c r="A918" t="s">
        <v>1317</v>
      </c>
      <c r="B918" t="s">
        <v>1754</v>
      </c>
      <c r="C918">
        <v>36</v>
      </c>
      <c r="D918" t="s">
        <v>1476</v>
      </c>
      <c r="E918">
        <v>9</v>
      </c>
      <c r="F918">
        <v>0</v>
      </c>
      <c r="G918">
        <v>0</v>
      </c>
      <c r="I918">
        <v>1.17112</v>
      </c>
      <c r="J918">
        <v>0.94345</v>
      </c>
      <c r="K918">
        <v>1.03464</v>
      </c>
      <c r="L918">
        <v>0.96344</v>
      </c>
      <c r="M918">
        <v>0.87615</v>
      </c>
      <c r="N918">
        <v>0.88779</v>
      </c>
      <c r="O918">
        <v>0.8858</v>
      </c>
      <c r="P918">
        <v>1.00223</v>
      </c>
      <c r="Q918">
        <v>1</v>
      </c>
      <c r="R918">
        <v>1</v>
      </c>
      <c r="S918">
        <v>1</v>
      </c>
      <c r="T918">
        <v>1.03336</v>
      </c>
      <c r="U918">
        <v>1</v>
      </c>
      <c r="V918">
        <v>20.311</v>
      </c>
      <c r="W918">
        <v>4.173</v>
      </c>
      <c r="X918">
        <v>78.639</v>
      </c>
      <c r="Y918">
        <v>30.692</v>
      </c>
      <c r="Z918">
        <v>43.592</v>
      </c>
      <c r="AA918">
        <v>177.408</v>
      </c>
      <c r="AB918">
        <v>1.07286</v>
      </c>
      <c r="AC918">
        <v>200</v>
      </c>
      <c r="AD918">
        <v>0</v>
      </c>
      <c r="AG918">
        <v>23</v>
      </c>
      <c r="AH918">
        <v>8</v>
      </c>
      <c r="AI918">
        <v>74</v>
      </c>
      <c r="AJ918">
        <v>40</v>
      </c>
      <c r="AK918">
        <v>55</v>
      </c>
    </row>
    <row r="919" spans="1:37">
      <c r="A919" t="s">
        <v>496</v>
      </c>
      <c r="B919" t="s">
        <v>1751</v>
      </c>
      <c r="C919">
        <v>36.3</v>
      </c>
      <c r="D919" t="s">
        <v>1476</v>
      </c>
      <c r="E919">
        <v>10</v>
      </c>
      <c r="F919">
        <v>0</v>
      </c>
      <c r="G919">
        <v>0</v>
      </c>
      <c r="I919">
        <v>1.1713</v>
      </c>
      <c r="J919">
        <v>0.94665</v>
      </c>
      <c r="K919">
        <v>1.03464</v>
      </c>
      <c r="L919">
        <v>0.96296</v>
      </c>
      <c r="M919">
        <v>0.89868</v>
      </c>
      <c r="N919">
        <v>0.91198</v>
      </c>
      <c r="O919">
        <v>0.80548</v>
      </c>
      <c r="P919">
        <v>1.00117</v>
      </c>
      <c r="Q919">
        <v>1</v>
      </c>
      <c r="R919">
        <v>1</v>
      </c>
      <c r="S919">
        <v>1.04893</v>
      </c>
      <c r="T919">
        <v>1.07427</v>
      </c>
      <c r="U919">
        <v>1</v>
      </c>
      <c r="V919">
        <v>72.881</v>
      </c>
      <c r="W919">
        <v>8.691000000000001</v>
      </c>
      <c r="X919">
        <v>58.46</v>
      </c>
      <c r="Y919">
        <v>11.715</v>
      </c>
      <c r="Z919">
        <v>38.747</v>
      </c>
      <c r="AA919">
        <v>190.494</v>
      </c>
      <c r="AB919">
        <v>0.98142</v>
      </c>
      <c r="AC919">
        <v>184</v>
      </c>
      <c r="AD919">
        <v>0</v>
      </c>
      <c r="AG919">
        <v>68</v>
      </c>
      <c r="AH919">
        <v>6</v>
      </c>
      <c r="AI919">
        <v>57</v>
      </c>
      <c r="AJ919">
        <v>10</v>
      </c>
      <c r="AK919">
        <v>43</v>
      </c>
    </row>
    <row r="920" spans="1:37">
      <c r="A920" t="s">
        <v>1318</v>
      </c>
      <c r="B920" t="s">
        <v>1751</v>
      </c>
      <c r="C920">
        <v>36.1</v>
      </c>
      <c r="D920" t="s">
        <v>1476</v>
      </c>
      <c r="E920">
        <v>11</v>
      </c>
      <c r="F920">
        <v>0</v>
      </c>
      <c r="G920">
        <v>0</v>
      </c>
      <c r="I920">
        <v>1.17149</v>
      </c>
      <c r="J920">
        <v>0.94789</v>
      </c>
      <c r="K920">
        <v>1.03464</v>
      </c>
      <c r="L920">
        <v>0.9625</v>
      </c>
      <c r="M920">
        <v>0.8708399999999999</v>
      </c>
      <c r="N920">
        <v>0.90964</v>
      </c>
      <c r="O920">
        <v>0.8039500000000001</v>
      </c>
      <c r="P920">
        <v>1.00079</v>
      </c>
      <c r="Q920">
        <v>1</v>
      </c>
      <c r="R920">
        <v>1</v>
      </c>
      <c r="S920">
        <v>1.05517</v>
      </c>
      <c r="T920">
        <v>1.07271</v>
      </c>
      <c r="U920">
        <v>1</v>
      </c>
      <c r="V920">
        <v>69.119</v>
      </c>
      <c r="W920">
        <v>8.629</v>
      </c>
      <c r="X920">
        <v>57.624</v>
      </c>
      <c r="Y920">
        <v>10.636</v>
      </c>
      <c r="Z920">
        <v>39.03</v>
      </c>
      <c r="AA920">
        <v>185.037</v>
      </c>
      <c r="AB920">
        <v>1.00655</v>
      </c>
      <c r="AC920">
        <v>180</v>
      </c>
      <c r="AD920">
        <v>0</v>
      </c>
      <c r="AG920">
        <v>61</v>
      </c>
      <c r="AH920">
        <v>10</v>
      </c>
      <c r="AI920">
        <v>57</v>
      </c>
      <c r="AJ920">
        <v>11</v>
      </c>
      <c r="AK920">
        <v>41</v>
      </c>
    </row>
    <row r="921" spans="1:37">
      <c r="A921" t="s">
        <v>1319</v>
      </c>
      <c r="B921" t="s">
        <v>1751</v>
      </c>
      <c r="C921">
        <v>36.6</v>
      </c>
      <c r="D921" t="s">
        <v>1476</v>
      </c>
      <c r="E921">
        <v>12</v>
      </c>
      <c r="F921">
        <v>0</v>
      </c>
      <c r="G921">
        <v>0</v>
      </c>
      <c r="I921">
        <v>1.17167</v>
      </c>
      <c r="J921">
        <v>0.9468800000000001</v>
      </c>
      <c r="K921">
        <v>1.03464</v>
      </c>
      <c r="L921">
        <v>0.96206</v>
      </c>
      <c r="M921">
        <v>0.89698</v>
      </c>
      <c r="N921">
        <v>0.9036</v>
      </c>
      <c r="O921">
        <v>0.80631</v>
      </c>
      <c r="P921">
        <v>1.00053</v>
      </c>
      <c r="Q921">
        <v>1</v>
      </c>
      <c r="R921">
        <v>1</v>
      </c>
      <c r="S921">
        <v>1.05032</v>
      </c>
      <c r="T921">
        <v>1.07165</v>
      </c>
      <c r="U921">
        <v>1</v>
      </c>
      <c r="V921">
        <v>69.063</v>
      </c>
      <c r="W921">
        <v>8.641999999999999</v>
      </c>
      <c r="X921">
        <v>59.63</v>
      </c>
      <c r="Y921">
        <v>11.515</v>
      </c>
      <c r="Z921">
        <v>39.593</v>
      </c>
      <c r="AA921">
        <v>188.442</v>
      </c>
      <c r="AB921">
        <v>0.92406</v>
      </c>
      <c r="AC921">
        <v>155</v>
      </c>
      <c r="AD921">
        <v>0</v>
      </c>
      <c r="AG921">
        <v>57</v>
      </c>
      <c r="AH921">
        <v>7</v>
      </c>
      <c r="AI921">
        <v>61</v>
      </c>
      <c r="AJ921">
        <v>7</v>
      </c>
      <c r="AK921">
        <v>23</v>
      </c>
    </row>
    <row r="922" spans="1:37">
      <c r="A922" t="s">
        <v>1320</v>
      </c>
      <c r="B922" t="s">
        <v>1751</v>
      </c>
      <c r="C922">
        <v>37.7</v>
      </c>
      <c r="D922" t="s">
        <v>1476</v>
      </c>
      <c r="E922">
        <v>13</v>
      </c>
      <c r="F922">
        <v>0</v>
      </c>
      <c r="G922">
        <v>0</v>
      </c>
      <c r="I922">
        <v>1.17186</v>
      </c>
      <c r="J922">
        <v>0.95389</v>
      </c>
      <c r="K922">
        <v>1.03464</v>
      </c>
      <c r="L922">
        <v>0.96166</v>
      </c>
      <c r="M922">
        <v>0.94149</v>
      </c>
      <c r="N922">
        <v>0.89549</v>
      </c>
      <c r="O922">
        <v>0.81903</v>
      </c>
      <c r="P922">
        <v>1.00037</v>
      </c>
      <c r="Q922">
        <v>1</v>
      </c>
      <c r="R922">
        <v>1</v>
      </c>
      <c r="S922">
        <v>1.05446</v>
      </c>
      <c r="T922">
        <v>1.06757</v>
      </c>
      <c r="U922">
        <v>1</v>
      </c>
      <c r="V922">
        <v>67.791</v>
      </c>
      <c r="W922">
        <v>8.313000000000001</v>
      </c>
      <c r="X922">
        <v>66.747</v>
      </c>
      <c r="Y922">
        <v>13.322</v>
      </c>
      <c r="Z922">
        <v>42.866</v>
      </c>
      <c r="AA922">
        <v>199.038</v>
      </c>
      <c r="AB922">
        <v>0.94938</v>
      </c>
      <c r="AC922">
        <v>179</v>
      </c>
      <c r="AD922">
        <v>0</v>
      </c>
      <c r="AG922">
        <v>57</v>
      </c>
      <c r="AH922">
        <v>10</v>
      </c>
      <c r="AI922">
        <v>64</v>
      </c>
      <c r="AJ922">
        <v>14</v>
      </c>
      <c r="AK922">
        <v>34</v>
      </c>
    </row>
    <row r="923" spans="1:37">
      <c r="A923" t="s">
        <v>1321</v>
      </c>
      <c r="B923" t="s">
        <v>1752</v>
      </c>
      <c r="C923">
        <v>37.2</v>
      </c>
      <c r="D923" t="s">
        <v>1476</v>
      </c>
      <c r="E923">
        <v>14</v>
      </c>
      <c r="F923">
        <v>0</v>
      </c>
      <c r="G923">
        <v>0</v>
      </c>
      <c r="I923">
        <v>1.17204</v>
      </c>
      <c r="J923">
        <v>0.95009</v>
      </c>
      <c r="K923">
        <v>1.03464</v>
      </c>
      <c r="L923">
        <v>0.9613</v>
      </c>
      <c r="M923">
        <v>1.16328</v>
      </c>
      <c r="N923">
        <v>0.87444</v>
      </c>
      <c r="O923">
        <v>0.86591</v>
      </c>
      <c r="P923">
        <v>1.00027</v>
      </c>
      <c r="Q923">
        <v>1</v>
      </c>
      <c r="R923">
        <v>1</v>
      </c>
      <c r="S923">
        <v>1.04594</v>
      </c>
      <c r="T923">
        <v>1.05577</v>
      </c>
      <c r="U923">
        <v>1</v>
      </c>
      <c r="V923">
        <v>63.223</v>
      </c>
      <c r="W923">
        <v>6.597</v>
      </c>
      <c r="X923">
        <v>99.184</v>
      </c>
      <c r="Y923">
        <v>22.461</v>
      </c>
      <c r="Z923">
        <v>50.731</v>
      </c>
      <c r="AA923">
        <v>242.196</v>
      </c>
      <c r="AB923">
        <v>0.98461</v>
      </c>
      <c r="AC923">
        <v>226</v>
      </c>
      <c r="AD923">
        <v>0</v>
      </c>
      <c r="AG923">
        <v>59</v>
      </c>
      <c r="AH923">
        <v>6</v>
      </c>
      <c r="AI923">
        <v>86</v>
      </c>
      <c r="AJ923">
        <v>22</v>
      </c>
      <c r="AK923">
        <v>53</v>
      </c>
    </row>
    <row r="924" spans="1:37">
      <c r="A924" t="s">
        <v>1322</v>
      </c>
      <c r="B924" t="s">
        <v>1753</v>
      </c>
      <c r="C924">
        <v>35.7</v>
      </c>
      <c r="D924" t="s">
        <v>1476</v>
      </c>
      <c r="E924">
        <v>15</v>
      </c>
      <c r="F924">
        <v>0</v>
      </c>
      <c r="G924">
        <v>0</v>
      </c>
      <c r="I924">
        <v>1.17223</v>
      </c>
      <c r="J924">
        <v>0.95014</v>
      </c>
      <c r="K924">
        <v>1.03464</v>
      </c>
      <c r="L924">
        <v>0.96097</v>
      </c>
      <c r="M924">
        <v>0.9649</v>
      </c>
      <c r="N924">
        <v>0.86066</v>
      </c>
      <c r="O924">
        <v>0.92047</v>
      </c>
      <c r="P924">
        <v>0.99669</v>
      </c>
      <c r="Q924">
        <v>1</v>
      </c>
      <c r="R924">
        <v>1</v>
      </c>
      <c r="S924">
        <v>1</v>
      </c>
      <c r="T924">
        <v>1.02763</v>
      </c>
      <c r="U924">
        <v>1</v>
      </c>
      <c r="V924">
        <v>14.545</v>
      </c>
      <c r="W924">
        <v>2.662</v>
      </c>
      <c r="X924">
        <v>89.593</v>
      </c>
      <c r="Y924">
        <v>34.776</v>
      </c>
      <c r="Z924">
        <v>49.327</v>
      </c>
      <c r="AA924">
        <v>190.903</v>
      </c>
      <c r="AB924">
        <v>1.01342</v>
      </c>
      <c r="AC924">
        <v>217</v>
      </c>
      <c r="AD924">
        <v>0</v>
      </c>
      <c r="AG924">
        <v>18</v>
      </c>
      <c r="AH924">
        <v>4</v>
      </c>
      <c r="AI924">
        <v>100</v>
      </c>
      <c r="AJ924">
        <v>48</v>
      </c>
      <c r="AK924">
        <v>47</v>
      </c>
    </row>
    <row r="925" spans="1:37">
      <c r="A925" t="s">
        <v>1323</v>
      </c>
      <c r="B925" t="s">
        <v>1754</v>
      </c>
      <c r="C925">
        <v>37.7</v>
      </c>
      <c r="D925" t="s">
        <v>1476</v>
      </c>
      <c r="E925">
        <v>16</v>
      </c>
      <c r="F925">
        <v>0</v>
      </c>
      <c r="G925">
        <v>0</v>
      </c>
      <c r="I925">
        <v>1.17242</v>
      </c>
      <c r="J925">
        <v>0.94748</v>
      </c>
      <c r="K925">
        <v>1.03464</v>
      </c>
      <c r="L925">
        <v>0.96069</v>
      </c>
      <c r="M925">
        <v>0.87271</v>
      </c>
      <c r="N925">
        <v>0.85987</v>
      </c>
      <c r="O925">
        <v>0.88354</v>
      </c>
      <c r="P925">
        <v>0.99333</v>
      </c>
      <c r="Q925">
        <v>1</v>
      </c>
      <c r="R925">
        <v>1</v>
      </c>
      <c r="S925">
        <v>1</v>
      </c>
      <c r="T925">
        <v>1.03315</v>
      </c>
      <c r="U925">
        <v>1</v>
      </c>
      <c r="V925">
        <v>19.666</v>
      </c>
      <c r="W925">
        <v>4.163</v>
      </c>
      <c r="X925">
        <v>74.17400000000001</v>
      </c>
      <c r="Y925">
        <v>28.541</v>
      </c>
      <c r="Z925">
        <v>44.177</v>
      </c>
      <c r="AA925">
        <v>170.721</v>
      </c>
      <c r="AB925">
        <v>1.03113</v>
      </c>
      <c r="AC925">
        <v>183</v>
      </c>
      <c r="AD925">
        <v>0</v>
      </c>
      <c r="AG925">
        <v>17</v>
      </c>
      <c r="AH925">
        <v>4</v>
      </c>
      <c r="AI925">
        <v>78</v>
      </c>
      <c r="AJ925">
        <v>44</v>
      </c>
      <c r="AK925">
        <v>40</v>
      </c>
    </row>
    <row r="926" spans="1:37">
      <c r="A926" t="s">
        <v>497</v>
      </c>
      <c r="B926" t="s">
        <v>1751</v>
      </c>
      <c r="C926">
        <v>38.3</v>
      </c>
      <c r="D926" t="s">
        <v>1476</v>
      </c>
      <c r="E926">
        <v>17</v>
      </c>
      <c r="F926">
        <v>0</v>
      </c>
      <c r="G926">
        <v>0</v>
      </c>
      <c r="I926">
        <v>1.1726</v>
      </c>
      <c r="J926">
        <v>0.93654</v>
      </c>
      <c r="K926">
        <v>1.03464</v>
      </c>
      <c r="L926">
        <v>0.96045</v>
      </c>
      <c r="M926">
        <v>0.90054</v>
      </c>
      <c r="N926">
        <v>0.88907</v>
      </c>
      <c r="O926">
        <v>0.80367</v>
      </c>
      <c r="P926">
        <v>0.9920600000000001</v>
      </c>
      <c r="Q926">
        <v>1</v>
      </c>
      <c r="R926">
        <v>1</v>
      </c>
      <c r="S926">
        <v>1.05831</v>
      </c>
      <c r="T926">
        <v>1.07358</v>
      </c>
      <c r="U926">
        <v>1</v>
      </c>
      <c r="V926">
        <v>69.64700000000001</v>
      </c>
      <c r="W926">
        <v>8.513</v>
      </c>
      <c r="X926">
        <v>54.552</v>
      </c>
      <c r="Y926">
        <v>10.738</v>
      </c>
      <c r="Z926">
        <v>39.697</v>
      </c>
      <c r="AA926">
        <v>183.148</v>
      </c>
      <c r="AB926">
        <v>0.93466</v>
      </c>
      <c r="AC926">
        <v>169</v>
      </c>
      <c r="AD926">
        <v>0</v>
      </c>
      <c r="AG926">
        <v>65</v>
      </c>
      <c r="AH926">
        <v>6</v>
      </c>
      <c r="AI926">
        <v>49</v>
      </c>
      <c r="AJ926">
        <v>9</v>
      </c>
      <c r="AK926">
        <v>40</v>
      </c>
    </row>
    <row r="927" spans="1:37">
      <c r="A927" t="s">
        <v>1324</v>
      </c>
      <c r="B927" t="s">
        <v>1751</v>
      </c>
      <c r="C927">
        <v>37.1</v>
      </c>
      <c r="D927" t="s">
        <v>1476</v>
      </c>
      <c r="E927">
        <v>18</v>
      </c>
      <c r="F927">
        <v>0</v>
      </c>
      <c r="G927">
        <v>0</v>
      </c>
      <c r="I927">
        <v>1.17279</v>
      </c>
      <c r="J927">
        <v>0.93654</v>
      </c>
      <c r="K927">
        <v>1.03464</v>
      </c>
      <c r="L927">
        <v>0.96026</v>
      </c>
      <c r="M927">
        <v>0.87368</v>
      </c>
      <c r="N927">
        <v>0.88737</v>
      </c>
      <c r="O927">
        <v>0.7987</v>
      </c>
      <c r="P927">
        <v>0.98934</v>
      </c>
      <c r="Q927">
        <v>1</v>
      </c>
      <c r="R927">
        <v>1</v>
      </c>
      <c r="S927">
        <v>1.0543</v>
      </c>
      <c r="T927">
        <v>1.07295</v>
      </c>
      <c r="U927">
        <v>1</v>
      </c>
      <c r="V927">
        <v>66.152</v>
      </c>
      <c r="W927">
        <v>8.541</v>
      </c>
      <c r="X927">
        <v>52.57</v>
      </c>
      <c r="Y927">
        <v>9.725</v>
      </c>
      <c r="Z927">
        <v>38.641</v>
      </c>
      <c r="AA927">
        <v>175.629</v>
      </c>
      <c r="AB927">
        <v>0.92747</v>
      </c>
      <c r="AC927">
        <v>173</v>
      </c>
      <c r="AD927">
        <v>0</v>
      </c>
      <c r="AG927">
        <v>75</v>
      </c>
      <c r="AH927">
        <v>3</v>
      </c>
      <c r="AI927">
        <v>49</v>
      </c>
      <c r="AJ927">
        <v>13</v>
      </c>
      <c r="AK927">
        <v>33</v>
      </c>
    </row>
    <row r="928" spans="1:37">
      <c r="A928" t="s">
        <v>1325</v>
      </c>
      <c r="B928" t="s">
        <v>1751</v>
      </c>
      <c r="C928">
        <v>37.9</v>
      </c>
      <c r="D928" t="s">
        <v>1476</v>
      </c>
      <c r="E928">
        <v>19</v>
      </c>
      <c r="F928">
        <v>0</v>
      </c>
      <c r="G928">
        <v>0</v>
      </c>
      <c r="I928">
        <v>1.17297</v>
      </c>
      <c r="J928">
        <v>0.94157</v>
      </c>
      <c r="K928">
        <v>1.03464</v>
      </c>
      <c r="L928">
        <v>0.96012</v>
      </c>
      <c r="M928">
        <v>0.89885</v>
      </c>
      <c r="N928">
        <v>0.88115</v>
      </c>
      <c r="O928">
        <v>0.80406</v>
      </c>
      <c r="P928">
        <v>0.98649</v>
      </c>
      <c r="Q928">
        <v>1</v>
      </c>
      <c r="R928">
        <v>1</v>
      </c>
      <c r="S928">
        <v>1.05323</v>
      </c>
      <c r="T928">
        <v>1.07148</v>
      </c>
      <c r="U928">
        <v>1</v>
      </c>
      <c r="V928">
        <v>66.172</v>
      </c>
      <c r="W928">
        <v>8.444000000000001</v>
      </c>
      <c r="X928">
        <v>55.908</v>
      </c>
      <c r="Y928">
        <v>10.521</v>
      </c>
      <c r="Z928">
        <v>39.385</v>
      </c>
      <c r="AA928">
        <v>180.43</v>
      </c>
      <c r="AB928">
        <v>1.01477</v>
      </c>
      <c r="AC928">
        <v>190</v>
      </c>
      <c r="AD928">
        <v>0</v>
      </c>
      <c r="AG928">
        <v>70</v>
      </c>
      <c r="AH928">
        <v>6</v>
      </c>
      <c r="AI928">
        <v>63</v>
      </c>
      <c r="AJ928">
        <v>11</v>
      </c>
      <c r="AK928">
        <v>40</v>
      </c>
    </row>
    <row r="929" spans="1:37">
      <c r="A929" t="s">
        <v>1326</v>
      </c>
      <c r="B929" t="s">
        <v>1751</v>
      </c>
      <c r="C929">
        <v>38.8</v>
      </c>
      <c r="D929" t="s">
        <v>1476</v>
      </c>
      <c r="E929">
        <v>20</v>
      </c>
      <c r="F929">
        <v>0</v>
      </c>
      <c r="G929">
        <v>0</v>
      </c>
      <c r="I929">
        <v>1.17316</v>
      </c>
      <c r="J929">
        <v>0.94047</v>
      </c>
      <c r="K929">
        <v>1.03464</v>
      </c>
      <c r="L929">
        <v>0.96003</v>
      </c>
      <c r="M929">
        <v>0.94243</v>
      </c>
      <c r="N929">
        <v>0.87464</v>
      </c>
      <c r="O929">
        <v>0.81702</v>
      </c>
      <c r="P929">
        <v>0.9833</v>
      </c>
      <c r="Q929">
        <v>1</v>
      </c>
      <c r="R929">
        <v>1</v>
      </c>
      <c r="S929">
        <v>1.05515</v>
      </c>
      <c r="T929">
        <v>1.06729</v>
      </c>
      <c r="U929">
        <v>1</v>
      </c>
      <c r="V929">
        <v>64.06</v>
      </c>
      <c r="W929">
        <v>8.021000000000001</v>
      </c>
      <c r="X929">
        <v>61.926</v>
      </c>
      <c r="Y929">
        <v>12.16</v>
      </c>
      <c r="Z929">
        <v>42.136</v>
      </c>
      <c r="AA929">
        <v>188.304</v>
      </c>
      <c r="AB929">
        <v>1.01407</v>
      </c>
      <c r="AC929">
        <v>201</v>
      </c>
      <c r="AD929">
        <v>0</v>
      </c>
      <c r="AG929">
        <v>58</v>
      </c>
      <c r="AH929">
        <v>10</v>
      </c>
      <c r="AI929">
        <v>79</v>
      </c>
      <c r="AJ929">
        <v>14</v>
      </c>
      <c r="AK929">
        <v>40</v>
      </c>
    </row>
    <row r="930" spans="1:37">
      <c r="A930" t="s">
        <v>1327</v>
      </c>
      <c r="B930" t="s">
        <v>1752</v>
      </c>
      <c r="C930">
        <v>39.1</v>
      </c>
      <c r="D930" t="s">
        <v>1476</v>
      </c>
      <c r="E930">
        <v>21</v>
      </c>
      <c r="F930">
        <v>0</v>
      </c>
      <c r="G930">
        <v>0</v>
      </c>
      <c r="I930">
        <v>1.17335</v>
      </c>
      <c r="J930">
        <v>0.94699</v>
      </c>
      <c r="K930">
        <v>1.03464</v>
      </c>
      <c r="L930">
        <v>0.96</v>
      </c>
      <c r="M930">
        <v>1.16008</v>
      </c>
      <c r="N930">
        <v>0.85239</v>
      </c>
      <c r="O930">
        <v>0.863</v>
      </c>
      <c r="P930">
        <v>0.97892</v>
      </c>
      <c r="Q930">
        <v>1</v>
      </c>
      <c r="R930">
        <v>1</v>
      </c>
      <c r="S930">
        <v>1.0484</v>
      </c>
      <c r="T930">
        <v>1.05601</v>
      </c>
      <c r="U930">
        <v>1</v>
      </c>
      <c r="V930">
        <v>60.878</v>
      </c>
      <c r="W930">
        <v>6.511</v>
      </c>
      <c r="X930">
        <v>92.86199999999999</v>
      </c>
      <c r="Y930">
        <v>20.676</v>
      </c>
      <c r="Z930">
        <v>49.897</v>
      </c>
      <c r="AA930">
        <v>230.824</v>
      </c>
      <c r="AB930">
        <v>1.02142</v>
      </c>
      <c r="AC930">
        <v>221</v>
      </c>
      <c r="AD930">
        <v>0</v>
      </c>
      <c r="AG930">
        <v>63</v>
      </c>
      <c r="AH930">
        <v>8</v>
      </c>
      <c r="AI930">
        <v>70</v>
      </c>
      <c r="AJ930">
        <v>20</v>
      </c>
      <c r="AK930">
        <v>60</v>
      </c>
    </row>
    <row r="931" spans="1:37">
      <c r="A931" t="s">
        <v>1328</v>
      </c>
      <c r="B931" t="s">
        <v>1753</v>
      </c>
      <c r="C931">
        <v>39.4</v>
      </c>
      <c r="D931" t="s">
        <v>1476</v>
      </c>
      <c r="E931">
        <v>22</v>
      </c>
      <c r="F931">
        <v>0</v>
      </c>
      <c r="G931">
        <v>0</v>
      </c>
      <c r="I931">
        <v>1.17353</v>
      </c>
      <c r="J931">
        <v>0.94941</v>
      </c>
      <c r="K931">
        <v>1.03464</v>
      </c>
      <c r="L931">
        <v>0.96002</v>
      </c>
      <c r="M931">
        <v>0.9565399999999999</v>
      </c>
      <c r="N931">
        <v>0.8379799999999999</v>
      </c>
      <c r="O931">
        <v>0.91908</v>
      </c>
      <c r="P931">
        <v>0.97183</v>
      </c>
      <c r="Q931">
        <v>1</v>
      </c>
      <c r="R931">
        <v>1</v>
      </c>
      <c r="S931">
        <v>1</v>
      </c>
      <c r="T931">
        <v>1.02739</v>
      </c>
      <c r="U931">
        <v>1</v>
      </c>
      <c r="V931">
        <v>14.051</v>
      </c>
      <c r="W931">
        <v>2.625</v>
      </c>
      <c r="X931">
        <v>82.48</v>
      </c>
      <c r="Y931">
        <v>31.765</v>
      </c>
      <c r="Z931">
        <v>50.175</v>
      </c>
      <c r="AA931">
        <v>181.096</v>
      </c>
      <c r="AB931">
        <v>1.0485</v>
      </c>
      <c r="AC931">
        <v>188</v>
      </c>
      <c r="AD931">
        <v>0</v>
      </c>
      <c r="AG931">
        <v>14</v>
      </c>
      <c r="AH931">
        <v>3</v>
      </c>
      <c r="AI931">
        <v>78</v>
      </c>
      <c r="AJ931">
        <v>37</v>
      </c>
      <c r="AK931">
        <v>56</v>
      </c>
    </row>
    <row r="932" spans="1:37">
      <c r="A932" t="s">
        <v>1329</v>
      </c>
      <c r="B932" t="s">
        <v>1754</v>
      </c>
      <c r="C932">
        <v>40</v>
      </c>
      <c r="D932" t="s">
        <v>1476</v>
      </c>
      <c r="E932">
        <v>23</v>
      </c>
      <c r="F932">
        <v>0</v>
      </c>
      <c r="G932">
        <v>0</v>
      </c>
      <c r="I932">
        <v>1.17372</v>
      </c>
      <c r="J932">
        <v>0.95326</v>
      </c>
      <c r="K932">
        <v>1.03464</v>
      </c>
      <c r="L932">
        <v>0.96009</v>
      </c>
      <c r="M932">
        <v>0.86809</v>
      </c>
      <c r="N932">
        <v>0.84285</v>
      </c>
      <c r="O932">
        <v>0.88143</v>
      </c>
      <c r="P932">
        <v>0.96938</v>
      </c>
      <c r="Q932">
        <v>1</v>
      </c>
      <c r="R932">
        <v>1</v>
      </c>
      <c r="S932">
        <v>1</v>
      </c>
      <c r="T932">
        <v>1.03309</v>
      </c>
      <c r="U932">
        <v>1</v>
      </c>
      <c r="V932">
        <v>19.174</v>
      </c>
      <c r="W932">
        <v>4.135</v>
      </c>
      <c r="X932">
        <v>69.95699999999999</v>
      </c>
      <c r="Y932">
        <v>26.609</v>
      </c>
      <c r="Z932">
        <v>44.484</v>
      </c>
      <c r="AA932">
        <v>164.359</v>
      </c>
      <c r="AB932">
        <v>1.03007</v>
      </c>
      <c r="AC932">
        <v>185</v>
      </c>
      <c r="AD932">
        <v>0</v>
      </c>
      <c r="AG932">
        <v>24</v>
      </c>
      <c r="AH932">
        <v>8</v>
      </c>
      <c r="AI932">
        <v>83</v>
      </c>
      <c r="AJ932">
        <v>25</v>
      </c>
      <c r="AK932">
        <v>45</v>
      </c>
    </row>
    <row r="933" spans="1:37">
      <c r="A933" t="s">
        <v>498</v>
      </c>
      <c r="B933" t="s">
        <v>1751</v>
      </c>
      <c r="C933">
        <v>40.1</v>
      </c>
      <c r="D933" t="s">
        <v>1476</v>
      </c>
      <c r="E933">
        <v>24</v>
      </c>
      <c r="F933">
        <v>0</v>
      </c>
      <c r="G933">
        <v>0</v>
      </c>
      <c r="I933">
        <v>1.1739</v>
      </c>
      <c r="J933">
        <v>0.948</v>
      </c>
      <c r="K933">
        <v>1.03464</v>
      </c>
      <c r="L933">
        <v>0.96022</v>
      </c>
      <c r="M933">
        <v>0.90206</v>
      </c>
      <c r="N933">
        <v>0.87384</v>
      </c>
      <c r="O933">
        <v>0.80176</v>
      </c>
      <c r="P933">
        <v>0.9732499999999999</v>
      </c>
      <c r="Q933">
        <v>1</v>
      </c>
      <c r="R933">
        <v>1</v>
      </c>
      <c r="S933">
        <v>1.05684</v>
      </c>
      <c r="T933">
        <v>1.07377</v>
      </c>
      <c r="U933">
        <v>1</v>
      </c>
      <c r="V933">
        <v>68.33199999999999</v>
      </c>
      <c r="W933">
        <v>8.446999999999999</v>
      </c>
      <c r="X933">
        <v>52.665</v>
      </c>
      <c r="Y933">
        <v>10.12</v>
      </c>
      <c r="Z933">
        <v>39.321</v>
      </c>
      <c r="AA933">
        <v>178.884</v>
      </c>
      <c r="AB933">
        <v>1.07659</v>
      </c>
      <c r="AC933">
        <v>181</v>
      </c>
      <c r="AD933">
        <v>0</v>
      </c>
      <c r="AG933">
        <v>68</v>
      </c>
      <c r="AH933">
        <v>9</v>
      </c>
      <c r="AI933">
        <v>53</v>
      </c>
      <c r="AJ933">
        <v>14</v>
      </c>
      <c r="AK933">
        <v>37</v>
      </c>
    </row>
    <row r="934" spans="1:37">
      <c r="A934" t="s">
        <v>1330</v>
      </c>
      <c r="B934" t="s">
        <v>1751</v>
      </c>
      <c r="C934">
        <v>38.7</v>
      </c>
      <c r="D934" t="s">
        <v>1476</v>
      </c>
      <c r="E934">
        <v>25</v>
      </c>
      <c r="F934">
        <v>0</v>
      </c>
      <c r="G934">
        <v>0</v>
      </c>
      <c r="I934">
        <v>1.17409</v>
      </c>
      <c r="J934">
        <v>0.95141</v>
      </c>
      <c r="K934">
        <v>1.03464</v>
      </c>
      <c r="L934">
        <v>0.96039</v>
      </c>
      <c r="M934">
        <v>0.87536</v>
      </c>
      <c r="N934">
        <v>0.87351</v>
      </c>
      <c r="O934">
        <v>0.79652</v>
      </c>
      <c r="P934">
        <v>0.97048</v>
      </c>
      <c r="Q934">
        <v>1</v>
      </c>
      <c r="R934">
        <v>1</v>
      </c>
      <c r="S934">
        <v>1.05784</v>
      </c>
      <c r="T934">
        <v>1.073</v>
      </c>
      <c r="U934">
        <v>1</v>
      </c>
      <c r="V934">
        <v>65.399</v>
      </c>
      <c r="W934">
        <v>8.574</v>
      </c>
      <c r="X934">
        <v>51.13</v>
      </c>
      <c r="Y934">
        <v>9.241</v>
      </c>
      <c r="Z934">
        <v>38.836</v>
      </c>
      <c r="AA934">
        <v>173.179</v>
      </c>
      <c r="AB934">
        <v>1.12432</v>
      </c>
      <c r="AC934">
        <v>186</v>
      </c>
      <c r="AD934">
        <v>0</v>
      </c>
      <c r="AG934">
        <v>66</v>
      </c>
      <c r="AH934">
        <v>8</v>
      </c>
      <c r="AI934">
        <v>48</v>
      </c>
      <c r="AJ934">
        <v>8</v>
      </c>
      <c r="AK934">
        <v>56</v>
      </c>
    </row>
    <row r="935" spans="1:37">
      <c r="A935" t="s">
        <v>1331</v>
      </c>
      <c r="B935" t="s">
        <v>1751</v>
      </c>
      <c r="C935">
        <v>37.7</v>
      </c>
      <c r="D935" t="s">
        <v>1476</v>
      </c>
      <c r="E935">
        <v>26</v>
      </c>
      <c r="F935">
        <v>0</v>
      </c>
      <c r="G935">
        <v>0</v>
      </c>
      <c r="I935">
        <v>1.17427</v>
      </c>
      <c r="J935">
        <v>0.94118</v>
      </c>
      <c r="K935">
        <v>1.03464</v>
      </c>
      <c r="L935">
        <v>0.96062</v>
      </c>
      <c r="M935">
        <v>0.89969</v>
      </c>
      <c r="N935">
        <v>0.8691</v>
      </c>
      <c r="O935">
        <v>0.80061</v>
      </c>
      <c r="P935">
        <v>0.9674199999999999</v>
      </c>
      <c r="Q935">
        <v>1</v>
      </c>
      <c r="R935">
        <v>1</v>
      </c>
      <c r="S935">
        <v>1.05686</v>
      </c>
      <c r="T935">
        <v>1.07151</v>
      </c>
      <c r="U935">
        <v>1</v>
      </c>
      <c r="V935">
        <v>64.381</v>
      </c>
      <c r="W935">
        <v>8.438000000000001</v>
      </c>
      <c r="X935">
        <v>53.71</v>
      </c>
      <c r="Y935">
        <v>10.047</v>
      </c>
      <c r="Z935">
        <v>38.686</v>
      </c>
      <c r="AA935">
        <v>175.262</v>
      </c>
      <c r="AB935">
        <v>0.87707</v>
      </c>
      <c r="AC935">
        <v>151</v>
      </c>
      <c r="AD935">
        <v>0</v>
      </c>
      <c r="AG935">
        <v>59</v>
      </c>
      <c r="AH935">
        <v>8</v>
      </c>
      <c r="AI935">
        <v>41</v>
      </c>
      <c r="AJ935">
        <v>13</v>
      </c>
      <c r="AK935">
        <v>30</v>
      </c>
    </row>
    <row r="936" spans="1:37">
      <c r="A936" t="s">
        <v>1332</v>
      </c>
      <c r="B936" t="s">
        <v>1751</v>
      </c>
      <c r="C936">
        <v>39.7</v>
      </c>
      <c r="D936" t="s">
        <v>1476</v>
      </c>
      <c r="E936">
        <v>27</v>
      </c>
      <c r="F936">
        <v>0</v>
      </c>
      <c r="G936">
        <v>0</v>
      </c>
      <c r="I936">
        <v>1.17446</v>
      </c>
      <c r="J936">
        <v>0.95282</v>
      </c>
      <c r="K936">
        <v>1.03464</v>
      </c>
      <c r="L936">
        <v>0.96089</v>
      </c>
      <c r="M936">
        <v>0.94308</v>
      </c>
      <c r="N936">
        <v>0.8655</v>
      </c>
      <c r="O936">
        <v>0.81336</v>
      </c>
      <c r="P936">
        <v>0.96665</v>
      </c>
      <c r="Q936">
        <v>1</v>
      </c>
      <c r="R936">
        <v>1</v>
      </c>
      <c r="S936">
        <v>1.05183</v>
      </c>
      <c r="T936">
        <v>1.0681</v>
      </c>
      <c r="U936">
        <v>1</v>
      </c>
      <c r="V936">
        <v>64.077</v>
      </c>
      <c r="W936">
        <v>8.121</v>
      </c>
      <c r="X936">
        <v>59.645</v>
      </c>
      <c r="Y936">
        <v>11.709</v>
      </c>
      <c r="Z936">
        <v>41.754</v>
      </c>
      <c r="AA936">
        <v>185.306</v>
      </c>
      <c r="AB936">
        <v>0.9898</v>
      </c>
      <c r="AC936">
        <v>213</v>
      </c>
      <c r="AD936">
        <v>0</v>
      </c>
      <c r="AG936">
        <v>72</v>
      </c>
      <c r="AH936">
        <v>6</v>
      </c>
      <c r="AI936">
        <v>64</v>
      </c>
      <c r="AJ936">
        <v>17</v>
      </c>
      <c r="AK936">
        <v>54</v>
      </c>
    </row>
    <row r="937" spans="1:37">
      <c r="A937" t="s">
        <v>1333</v>
      </c>
      <c r="B937" t="s">
        <v>1752</v>
      </c>
      <c r="C937">
        <v>37.7</v>
      </c>
      <c r="D937" t="s">
        <v>1476</v>
      </c>
      <c r="E937">
        <v>28</v>
      </c>
      <c r="F937">
        <v>0</v>
      </c>
      <c r="G937">
        <v>0</v>
      </c>
      <c r="I937">
        <v>1.17465</v>
      </c>
      <c r="J937">
        <v>0.95769</v>
      </c>
      <c r="K937">
        <v>1.03464</v>
      </c>
      <c r="L937">
        <v>0.9612000000000001</v>
      </c>
      <c r="M937">
        <v>1.15898</v>
      </c>
      <c r="N937">
        <v>0.844</v>
      </c>
      <c r="O937">
        <v>0.86174</v>
      </c>
      <c r="P937">
        <v>0.96382</v>
      </c>
      <c r="Q937">
        <v>1</v>
      </c>
      <c r="R937">
        <v>1</v>
      </c>
      <c r="S937">
        <v>1.04974</v>
      </c>
      <c r="T937">
        <v>1.05638</v>
      </c>
      <c r="U937">
        <v>1</v>
      </c>
      <c r="V937">
        <v>60.733</v>
      </c>
      <c r="W937">
        <v>6.523</v>
      </c>
      <c r="X937">
        <v>91.645</v>
      </c>
      <c r="Y937">
        <v>20.278</v>
      </c>
      <c r="Z937">
        <v>49.103</v>
      </c>
      <c r="AA937">
        <v>228.281</v>
      </c>
      <c r="AB937">
        <v>1.05608</v>
      </c>
      <c r="AC937">
        <v>270</v>
      </c>
      <c r="AD937">
        <v>0</v>
      </c>
      <c r="AG937">
        <v>78</v>
      </c>
      <c r="AH937">
        <v>6</v>
      </c>
      <c r="AI937">
        <v>105</v>
      </c>
      <c r="AJ937">
        <v>32</v>
      </c>
      <c r="AK937">
        <v>49</v>
      </c>
    </row>
    <row r="938" spans="1:37">
      <c r="A938" t="s">
        <v>1334</v>
      </c>
      <c r="B938" t="s">
        <v>1753</v>
      </c>
      <c r="C938">
        <v>37.5</v>
      </c>
      <c r="D938" t="s">
        <v>1476</v>
      </c>
      <c r="E938">
        <v>29</v>
      </c>
      <c r="F938">
        <v>0</v>
      </c>
      <c r="G938">
        <v>0</v>
      </c>
      <c r="I938">
        <v>1.17483</v>
      </c>
      <c r="J938">
        <v>0.9720800000000001</v>
      </c>
      <c r="K938">
        <v>1.03464</v>
      </c>
      <c r="L938">
        <v>0.96156</v>
      </c>
      <c r="M938">
        <v>0.95342</v>
      </c>
      <c r="N938">
        <v>0.83091</v>
      </c>
      <c r="O938">
        <v>0.91823</v>
      </c>
      <c r="P938">
        <v>0.95772</v>
      </c>
      <c r="Q938">
        <v>1</v>
      </c>
      <c r="R938">
        <v>1</v>
      </c>
      <c r="S938">
        <v>1</v>
      </c>
      <c r="T938">
        <v>1.02761</v>
      </c>
      <c r="U938">
        <v>1</v>
      </c>
      <c r="V938">
        <v>14.246</v>
      </c>
      <c r="W938">
        <v>2.674</v>
      </c>
      <c r="X938">
        <v>83.334</v>
      </c>
      <c r="Y938">
        <v>31.836</v>
      </c>
      <c r="Z938">
        <v>49.579</v>
      </c>
      <c r="AA938">
        <v>181.669</v>
      </c>
      <c r="AB938">
        <v>0.99083</v>
      </c>
      <c r="AC938">
        <v>185</v>
      </c>
      <c r="AD938">
        <v>0</v>
      </c>
      <c r="AG938">
        <v>13</v>
      </c>
      <c r="AH938">
        <v>2</v>
      </c>
      <c r="AI938">
        <v>81</v>
      </c>
      <c r="AJ938">
        <v>44</v>
      </c>
      <c r="AK938">
        <v>45</v>
      </c>
    </row>
    <row r="939" spans="1:37">
      <c r="A939" t="s">
        <v>1335</v>
      </c>
      <c r="B939" t="s">
        <v>1754</v>
      </c>
      <c r="C939">
        <v>36.8</v>
      </c>
      <c r="D939" t="s">
        <v>1476</v>
      </c>
      <c r="E939">
        <v>30</v>
      </c>
      <c r="F939">
        <v>0</v>
      </c>
      <c r="G939">
        <v>0</v>
      </c>
      <c r="I939">
        <v>1.17502</v>
      </c>
      <c r="J939">
        <v>0.98151</v>
      </c>
      <c r="K939">
        <v>1.03464</v>
      </c>
      <c r="L939">
        <v>0.96195</v>
      </c>
      <c r="M939">
        <v>0.86653</v>
      </c>
      <c r="N939">
        <v>0.83783</v>
      </c>
      <c r="O939">
        <v>0.88037</v>
      </c>
      <c r="P939">
        <v>0.95917</v>
      </c>
      <c r="Q939">
        <v>1</v>
      </c>
      <c r="R939">
        <v>1</v>
      </c>
      <c r="S939">
        <v>1</v>
      </c>
      <c r="T939">
        <v>1.03345</v>
      </c>
      <c r="U939">
        <v>1</v>
      </c>
      <c r="V939">
        <v>19.64</v>
      </c>
      <c r="W939">
        <v>4.246</v>
      </c>
      <c r="X939">
        <v>72.14</v>
      </c>
      <c r="Y939">
        <v>27.211</v>
      </c>
      <c r="Z939">
        <v>43.705</v>
      </c>
      <c r="AA939">
        <v>166.943</v>
      </c>
      <c r="AB939">
        <v>1.07572</v>
      </c>
      <c r="AC939">
        <v>168</v>
      </c>
      <c r="AD939">
        <v>0</v>
      </c>
      <c r="AG939">
        <v>24</v>
      </c>
      <c r="AH939">
        <v>3</v>
      </c>
      <c r="AI939">
        <v>69</v>
      </c>
      <c r="AJ939">
        <v>31</v>
      </c>
      <c r="AK939">
        <v>41</v>
      </c>
    </row>
    <row r="940" spans="1:37">
      <c r="A940" t="s">
        <v>499</v>
      </c>
      <c r="B940" t="s">
        <v>1751</v>
      </c>
      <c r="C940">
        <v>37</v>
      </c>
      <c r="D940" t="s">
        <v>1476</v>
      </c>
      <c r="E940">
        <v>0</v>
      </c>
      <c r="F940">
        <v>0</v>
      </c>
      <c r="G940">
        <v>0</v>
      </c>
      <c r="I940">
        <v>1.1752</v>
      </c>
      <c r="J940">
        <v>0.98308</v>
      </c>
      <c r="K940">
        <v>1.03464</v>
      </c>
      <c r="L940">
        <v>0.9623699999999999</v>
      </c>
      <c r="M940">
        <v>0.89775</v>
      </c>
      <c r="N940">
        <v>0.86985</v>
      </c>
      <c r="O940">
        <v>0.80458</v>
      </c>
      <c r="P940">
        <v>1.06387</v>
      </c>
      <c r="Q940">
        <v>1</v>
      </c>
      <c r="R940">
        <v>1</v>
      </c>
      <c r="S940">
        <v>1.05473</v>
      </c>
      <c r="T940">
        <v>1.07158</v>
      </c>
      <c r="U940">
        <v>1</v>
      </c>
      <c r="V940">
        <v>74.304</v>
      </c>
      <c r="W940">
        <v>9.403</v>
      </c>
      <c r="X940">
        <v>61.854</v>
      </c>
      <c r="Y940">
        <v>12.054</v>
      </c>
      <c r="Z940">
        <v>44.465</v>
      </c>
      <c r="AA940">
        <v>202.079</v>
      </c>
      <c r="AB940">
        <v>1.04072</v>
      </c>
      <c r="AC940">
        <v>198</v>
      </c>
      <c r="AD940">
        <v>0</v>
      </c>
      <c r="AG940">
        <v>71</v>
      </c>
      <c r="AH940">
        <v>11</v>
      </c>
      <c r="AI940">
        <v>60</v>
      </c>
      <c r="AJ940">
        <v>15</v>
      </c>
      <c r="AK940">
        <v>41</v>
      </c>
    </row>
    <row r="941" spans="1:37">
      <c r="A941" t="s">
        <v>1336</v>
      </c>
      <c r="B941" t="s">
        <v>1751</v>
      </c>
      <c r="C941">
        <v>36.6</v>
      </c>
      <c r="D941" t="s">
        <v>1476</v>
      </c>
      <c r="E941">
        <v>1</v>
      </c>
      <c r="F941">
        <v>0</v>
      </c>
      <c r="G941">
        <v>0</v>
      </c>
      <c r="I941">
        <v>1.17539</v>
      </c>
      <c r="J941">
        <v>0.97766</v>
      </c>
      <c r="K941">
        <v>1.03464</v>
      </c>
      <c r="L941">
        <v>0.96283</v>
      </c>
      <c r="M941">
        <v>0.87107</v>
      </c>
      <c r="N941">
        <v>0.87244</v>
      </c>
      <c r="O941">
        <v>0.8022</v>
      </c>
      <c r="P941">
        <v>1.04314</v>
      </c>
      <c r="Q941">
        <v>1</v>
      </c>
      <c r="R941">
        <v>1</v>
      </c>
      <c r="S941">
        <v>1.05273</v>
      </c>
      <c r="T941">
        <v>1.07088</v>
      </c>
      <c r="U941">
        <v>1</v>
      </c>
      <c r="V941">
        <v>69.452</v>
      </c>
      <c r="W941">
        <v>9.109999999999999</v>
      </c>
      <c r="X941">
        <v>59.088</v>
      </c>
      <c r="Y941">
        <v>10.708</v>
      </c>
      <c r="Z941">
        <v>42.661</v>
      </c>
      <c r="AA941">
        <v>191.019</v>
      </c>
      <c r="AB941">
        <v>0.9896</v>
      </c>
      <c r="AC941">
        <v>175</v>
      </c>
      <c r="AD941">
        <v>0</v>
      </c>
      <c r="AG941">
        <v>62</v>
      </c>
      <c r="AH941">
        <v>7</v>
      </c>
      <c r="AI941">
        <v>52</v>
      </c>
      <c r="AJ941">
        <v>5</v>
      </c>
      <c r="AK941">
        <v>49</v>
      </c>
    </row>
    <row r="942" spans="1:37">
      <c r="A942" t="s">
        <v>1337</v>
      </c>
      <c r="B942" t="s">
        <v>1751</v>
      </c>
      <c r="C942">
        <v>37</v>
      </c>
      <c r="D942" t="s">
        <v>1476</v>
      </c>
      <c r="E942">
        <v>2</v>
      </c>
      <c r="F942">
        <v>0</v>
      </c>
      <c r="G942">
        <v>0</v>
      </c>
      <c r="I942">
        <v>1.17557</v>
      </c>
      <c r="J942">
        <v>0.99953</v>
      </c>
      <c r="K942">
        <v>1.03464</v>
      </c>
      <c r="L942">
        <v>0.9633</v>
      </c>
      <c r="M942">
        <v>0.89741</v>
      </c>
      <c r="N942">
        <v>0.8722299999999999</v>
      </c>
      <c r="O942">
        <v>0.80521</v>
      </c>
      <c r="P942">
        <v>1.02926</v>
      </c>
      <c r="Q942">
        <v>1</v>
      </c>
      <c r="R942">
        <v>1</v>
      </c>
      <c r="S942">
        <v>1.05838</v>
      </c>
      <c r="T942">
        <v>1.06958</v>
      </c>
      <c r="U942">
        <v>1</v>
      </c>
      <c r="V942">
        <v>70.959</v>
      </c>
      <c r="W942">
        <v>9.337</v>
      </c>
      <c r="X942">
        <v>62.993</v>
      </c>
      <c r="Y942">
        <v>11.747</v>
      </c>
      <c r="Z942">
        <v>44.748</v>
      </c>
      <c r="AA942">
        <v>199.784</v>
      </c>
      <c r="AB942">
        <v>1.04855</v>
      </c>
      <c r="AC942">
        <v>222</v>
      </c>
      <c r="AD942">
        <v>0</v>
      </c>
      <c r="AG942">
        <v>77</v>
      </c>
      <c r="AH942">
        <v>14</v>
      </c>
      <c r="AI942">
        <v>67</v>
      </c>
      <c r="AJ942">
        <v>13</v>
      </c>
      <c r="AK942">
        <v>51</v>
      </c>
    </row>
    <row r="943" spans="1:37">
      <c r="A943" t="s">
        <v>1338</v>
      </c>
      <c r="B943" t="s">
        <v>1751</v>
      </c>
      <c r="C943">
        <v>38.4</v>
      </c>
      <c r="D943" t="s">
        <v>1476</v>
      </c>
      <c r="E943">
        <v>3</v>
      </c>
      <c r="F943">
        <v>0</v>
      </c>
      <c r="G943">
        <v>0</v>
      </c>
      <c r="I943">
        <v>1.17576</v>
      </c>
      <c r="J943">
        <v>0.99296</v>
      </c>
      <c r="K943">
        <v>1.03464</v>
      </c>
      <c r="L943">
        <v>0.96379</v>
      </c>
      <c r="M943">
        <v>0.94226</v>
      </c>
      <c r="N943">
        <v>0.86905</v>
      </c>
      <c r="O943">
        <v>0.81768</v>
      </c>
      <c r="P943">
        <v>1.02009</v>
      </c>
      <c r="Q943">
        <v>1</v>
      </c>
      <c r="R943">
        <v>1</v>
      </c>
      <c r="S943">
        <v>1.05517</v>
      </c>
      <c r="T943">
        <v>1.06658</v>
      </c>
      <c r="U943">
        <v>1</v>
      </c>
      <c r="V943">
        <v>69.22</v>
      </c>
      <c r="W943">
        <v>8.771000000000001</v>
      </c>
      <c r="X943">
        <v>68.754</v>
      </c>
      <c r="Y943">
        <v>13.345</v>
      </c>
      <c r="Z943">
        <v>46.241</v>
      </c>
      <c r="AA943">
        <v>206.331</v>
      </c>
      <c r="AB943">
        <v>0.97422</v>
      </c>
      <c r="AC943">
        <v>223</v>
      </c>
      <c r="AD943">
        <v>0</v>
      </c>
      <c r="AG943">
        <v>74</v>
      </c>
      <c r="AH943">
        <v>5</v>
      </c>
      <c r="AI943">
        <v>75</v>
      </c>
      <c r="AJ943">
        <v>15</v>
      </c>
      <c r="AK943">
        <v>54</v>
      </c>
    </row>
    <row r="944" spans="1:37">
      <c r="A944" t="s">
        <v>1339</v>
      </c>
      <c r="B944" t="s">
        <v>1752</v>
      </c>
      <c r="C944">
        <v>38.2</v>
      </c>
      <c r="D944" t="s">
        <v>1476</v>
      </c>
      <c r="E944">
        <v>4</v>
      </c>
      <c r="F944">
        <v>0</v>
      </c>
      <c r="G944">
        <v>0</v>
      </c>
      <c r="I944">
        <v>1.17595</v>
      </c>
      <c r="J944">
        <v>0.9966699999999999</v>
      </c>
      <c r="K944">
        <v>1.03464</v>
      </c>
      <c r="L944">
        <v>0.9643</v>
      </c>
      <c r="M944">
        <v>1.16337</v>
      </c>
      <c r="N944">
        <v>0.85167</v>
      </c>
      <c r="O944">
        <v>0.8645699999999999</v>
      </c>
      <c r="P944">
        <v>1.01461</v>
      </c>
      <c r="Q944">
        <v>1</v>
      </c>
      <c r="R944">
        <v>1</v>
      </c>
      <c r="S944">
        <v>1.04805</v>
      </c>
      <c r="T944">
        <v>1.05512</v>
      </c>
      <c r="U944">
        <v>1</v>
      </c>
      <c r="V944">
        <v>65.264</v>
      </c>
      <c r="W944">
        <v>7.054</v>
      </c>
      <c r="X944">
        <v>103.217</v>
      </c>
      <c r="Y944">
        <v>23.005</v>
      </c>
      <c r="Z944">
        <v>54.739</v>
      </c>
      <c r="AA944">
        <v>253.28</v>
      </c>
      <c r="AB944">
        <v>0.90972</v>
      </c>
      <c r="AC944">
        <v>245</v>
      </c>
      <c r="AD944">
        <v>0</v>
      </c>
      <c r="AG944">
        <v>63</v>
      </c>
      <c r="AH944">
        <v>5</v>
      </c>
      <c r="AI944">
        <v>101</v>
      </c>
      <c r="AJ944">
        <v>22</v>
      </c>
      <c r="AK944">
        <v>54</v>
      </c>
    </row>
    <row r="945" spans="1:37">
      <c r="A945" t="s">
        <v>1340</v>
      </c>
      <c r="B945" t="s">
        <v>1753</v>
      </c>
      <c r="C945">
        <v>38</v>
      </c>
      <c r="D945" t="s">
        <v>1476</v>
      </c>
      <c r="E945">
        <v>5</v>
      </c>
      <c r="F945">
        <v>0</v>
      </c>
      <c r="G945">
        <v>0</v>
      </c>
      <c r="I945">
        <v>1.17613</v>
      </c>
      <c r="J945">
        <v>0.9986699999999999</v>
      </c>
      <c r="K945">
        <v>0.94874</v>
      </c>
      <c r="L945">
        <v>0.9648099999999999</v>
      </c>
      <c r="M945">
        <v>0.96489</v>
      </c>
      <c r="N945">
        <v>0.84172</v>
      </c>
      <c r="O945">
        <v>0.92022</v>
      </c>
      <c r="P945">
        <v>1.01144</v>
      </c>
      <c r="Q945">
        <v>1</v>
      </c>
      <c r="R945">
        <v>1</v>
      </c>
      <c r="S945">
        <v>1</v>
      </c>
      <c r="T945">
        <v>1.02724</v>
      </c>
      <c r="U945">
        <v>1</v>
      </c>
      <c r="V945">
        <v>13.909</v>
      </c>
      <c r="W945">
        <v>2.605</v>
      </c>
      <c r="X945">
        <v>84.73399999999999</v>
      </c>
      <c r="Y945">
        <v>32.69</v>
      </c>
      <c r="Z945">
        <v>50.025</v>
      </c>
      <c r="AA945">
        <v>183.963</v>
      </c>
      <c r="AB945">
        <v>0.89062</v>
      </c>
      <c r="AC945">
        <v>169</v>
      </c>
      <c r="AD945">
        <v>0</v>
      </c>
      <c r="AG945">
        <v>14</v>
      </c>
      <c r="AH945">
        <v>2</v>
      </c>
      <c r="AI945">
        <v>78</v>
      </c>
      <c r="AJ945">
        <v>26</v>
      </c>
      <c r="AK945">
        <v>49</v>
      </c>
    </row>
    <row r="946" spans="1:37">
      <c r="A946" t="s">
        <v>1341</v>
      </c>
      <c r="B946" t="s">
        <v>1754</v>
      </c>
      <c r="C946">
        <v>34.3</v>
      </c>
      <c r="D946" t="s">
        <v>1476</v>
      </c>
      <c r="E946">
        <v>6</v>
      </c>
      <c r="F946">
        <v>0</v>
      </c>
      <c r="G946">
        <v>0</v>
      </c>
      <c r="I946">
        <v>1.17632</v>
      </c>
      <c r="J946">
        <v>0.98541</v>
      </c>
      <c r="K946">
        <v>0.94874</v>
      </c>
      <c r="L946">
        <v>0.96533</v>
      </c>
      <c r="M946">
        <v>0.87725</v>
      </c>
      <c r="N946">
        <v>0.85738</v>
      </c>
      <c r="O946">
        <v>0.8839399999999999</v>
      </c>
      <c r="P946">
        <v>1.00742</v>
      </c>
      <c r="Q946">
        <v>1</v>
      </c>
      <c r="R946">
        <v>1</v>
      </c>
      <c r="S946">
        <v>1</v>
      </c>
      <c r="T946">
        <v>1.0331</v>
      </c>
      <c r="U946">
        <v>1</v>
      </c>
      <c r="V946">
        <v>18.771</v>
      </c>
      <c r="W946">
        <v>4.034</v>
      </c>
      <c r="X946">
        <v>73.91</v>
      </c>
      <c r="Y946">
        <v>27.917</v>
      </c>
      <c r="Z946">
        <v>41.375</v>
      </c>
      <c r="AA946">
        <v>166.007</v>
      </c>
      <c r="AB946">
        <v>1.03313</v>
      </c>
      <c r="AC946">
        <v>167</v>
      </c>
      <c r="AD946">
        <v>0</v>
      </c>
      <c r="AG946">
        <v>23</v>
      </c>
      <c r="AH946">
        <v>2</v>
      </c>
      <c r="AI946">
        <v>79</v>
      </c>
      <c r="AJ946">
        <v>21</v>
      </c>
      <c r="AK946">
        <v>42</v>
      </c>
    </row>
    <row r="947" spans="1:37">
      <c r="A947" t="s">
        <v>500</v>
      </c>
      <c r="B947" t="s">
        <v>1751</v>
      </c>
      <c r="C947">
        <v>34.2</v>
      </c>
      <c r="D947" t="s">
        <v>1476</v>
      </c>
      <c r="E947">
        <v>7</v>
      </c>
      <c r="F947">
        <v>0</v>
      </c>
      <c r="G947">
        <v>0</v>
      </c>
      <c r="I947">
        <v>1.1765</v>
      </c>
      <c r="J947">
        <v>0.99136</v>
      </c>
      <c r="K947">
        <v>0.94874</v>
      </c>
      <c r="L947">
        <v>0.96584</v>
      </c>
      <c r="M947">
        <v>0.89174</v>
      </c>
      <c r="N947">
        <v>0.89055</v>
      </c>
      <c r="O947">
        <v>0.80094</v>
      </c>
      <c r="P947">
        <v>1.00404</v>
      </c>
      <c r="Q947">
        <v>1</v>
      </c>
      <c r="R947">
        <v>1</v>
      </c>
      <c r="S947">
        <v>1.05394</v>
      </c>
      <c r="T947">
        <v>0.96104</v>
      </c>
      <c r="U947">
        <v>1</v>
      </c>
      <c r="V947">
        <v>54.672</v>
      </c>
      <c r="W947">
        <v>7.891</v>
      </c>
      <c r="X947">
        <v>51.913</v>
      </c>
      <c r="Y947">
        <v>10.062</v>
      </c>
      <c r="Z947">
        <v>36.958</v>
      </c>
      <c r="AA947">
        <v>161.496</v>
      </c>
      <c r="AB947">
        <v>1.01277</v>
      </c>
      <c r="AC947">
        <v>179</v>
      </c>
      <c r="AD947">
        <v>0</v>
      </c>
      <c r="AF947" t="s">
        <v>1765</v>
      </c>
      <c r="AG947">
        <v>61</v>
      </c>
      <c r="AH947">
        <v>11</v>
      </c>
      <c r="AI947">
        <v>56</v>
      </c>
      <c r="AJ947">
        <v>11</v>
      </c>
      <c r="AK947">
        <v>40</v>
      </c>
    </row>
    <row r="948" spans="1:37">
      <c r="A948" t="s">
        <v>1342</v>
      </c>
      <c r="B948" t="s">
        <v>1751</v>
      </c>
      <c r="C948">
        <v>36.1</v>
      </c>
      <c r="D948" t="s">
        <v>1476</v>
      </c>
      <c r="E948">
        <v>8</v>
      </c>
      <c r="F948">
        <v>0</v>
      </c>
      <c r="G948">
        <v>0</v>
      </c>
      <c r="I948">
        <v>1.17669</v>
      </c>
      <c r="J948">
        <v>0.9825199999999999</v>
      </c>
      <c r="K948">
        <v>0.94874</v>
      </c>
      <c r="L948">
        <v>0.96635</v>
      </c>
      <c r="M948">
        <v>0.86652</v>
      </c>
      <c r="N948">
        <v>0.89194</v>
      </c>
      <c r="O948">
        <v>0.79965</v>
      </c>
      <c r="P948">
        <v>1.00272</v>
      </c>
      <c r="Q948">
        <v>1</v>
      </c>
      <c r="R948">
        <v>1</v>
      </c>
      <c r="S948">
        <v>1.05434</v>
      </c>
      <c r="T948">
        <v>0.96158</v>
      </c>
      <c r="U948">
        <v>1</v>
      </c>
      <c r="V948">
        <v>51.865</v>
      </c>
      <c r="W948">
        <v>7.707</v>
      </c>
      <c r="X948">
        <v>49.437</v>
      </c>
      <c r="Y948">
        <v>9.081</v>
      </c>
      <c r="Z948">
        <v>37.209</v>
      </c>
      <c r="AA948">
        <v>155.299</v>
      </c>
      <c r="AB948">
        <v>0.89614</v>
      </c>
      <c r="AC948">
        <v>136</v>
      </c>
      <c r="AD948">
        <v>0</v>
      </c>
      <c r="AG948">
        <v>44</v>
      </c>
      <c r="AH948">
        <v>7</v>
      </c>
      <c r="AI948">
        <v>43</v>
      </c>
      <c r="AJ948">
        <v>6</v>
      </c>
      <c r="AK948">
        <v>36</v>
      </c>
    </row>
    <row r="949" spans="1:37">
      <c r="A949" t="s">
        <v>1343</v>
      </c>
      <c r="B949" t="s">
        <v>1751</v>
      </c>
      <c r="C949">
        <v>38.4</v>
      </c>
      <c r="D949" t="s">
        <v>1476</v>
      </c>
      <c r="E949">
        <v>9</v>
      </c>
      <c r="F949">
        <v>0</v>
      </c>
      <c r="G949">
        <v>0</v>
      </c>
      <c r="I949">
        <v>1.17687</v>
      </c>
      <c r="J949">
        <v>0.98998</v>
      </c>
      <c r="K949">
        <v>0.94874</v>
      </c>
      <c r="L949">
        <v>0.96683</v>
      </c>
      <c r="M949">
        <v>0.8933</v>
      </c>
      <c r="N949">
        <v>0.8931</v>
      </c>
      <c r="O949">
        <v>0.8044</v>
      </c>
      <c r="P949">
        <v>1.00184</v>
      </c>
      <c r="Q949">
        <v>1</v>
      </c>
      <c r="R949">
        <v>1</v>
      </c>
      <c r="S949">
        <v>1.05854</v>
      </c>
      <c r="T949">
        <v>0.9618</v>
      </c>
      <c r="U949">
        <v>1</v>
      </c>
      <c r="V949">
        <v>52.591</v>
      </c>
      <c r="W949">
        <v>7.807</v>
      </c>
      <c r="X949">
        <v>52.488</v>
      </c>
      <c r="Y949">
        <v>10.061</v>
      </c>
      <c r="Z949">
        <v>39.572</v>
      </c>
      <c r="AA949">
        <v>162.519</v>
      </c>
      <c r="AB949">
        <v>0.92779</v>
      </c>
      <c r="AC949">
        <v>147</v>
      </c>
      <c r="AD949">
        <v>0</v>
      </c>
      <c r="AG949">
        <v>47</v>
      </c>
      <c r="AH949">
        <v>7</v>
      </c>
      <c r="AI949">
        <v>41</v>
      </c>
      <c r="AJ949">
        <v>8</v>
      </c>
      <c r="AK949">
        <v>44</v>
      </c>
    </row>
    <row r="950" spans="1:37">
      <c r="A950" t="s">
        <v>1344</v>
      </c>
      <c r="B950" t="s">
        <v>1751</v>
      </c>
      <c r="C950">
        <v>35.6</v>
      </c>
      <c r="D950" t="s">
        <v>1476</v>
      </c>
      <c r="E950">
        <v>10</v>
      </c>
      <c r="F950">
        <v>0</v>
      </c>
      <c r="G950">
        <v>0</v>
      </c>
      <c r="I950">
        <v>1.17706</v>
      </c>
      <c r="J950">
        <v>0.98354</v>
      </c>
      <c r="K950">
        <v>0.94874</v>
      </c>
      <c r="L950">
        <v>0.9673</v>
      </c>
      <c r="M950">
        <v>0.94006</v>
      </c>
      <c r="N950">
        <v>0.89218</v>
      </c>
      <c r="O950">
        <v>0.8183</v>
      </c>
      <c r="P950">
        <v>1.00126</v>
      </c>
      <c r="Q950">
        <v>1</v>
      </c>
      <c r="R950">
        <v>1</v>
      </c>
      <c r="S950">
        <v>1.0584</v>
      </c>
      <c r="T950">
        <v>0.96151</v>
      </c>
      <c r="U950">
        <v>1</v>
      </c>
      <c r="V950">
        <v>51.574</v>
      </c>
      <c r="W950">
        <v>7.388</v>
      </c>
      <c r="X950">
        <v>59.714</v>
      </c>
      <c r="Y950">
        <v>11.793</v>
      </c>
      <c r="Z950">
        <v>40.194</v>
      </c>
      <c r="AA950">
        <v>170.663</v>
      </c>
      <c r="AB950">
        <v>1.00731</v>
      </c>
      <c r="AC950">
        <v>169</v>
      </c>
      <c r="AD950">
        <v>0</v>
      </c>
      <c r="AG950">
        <v>47</v>
      </c>
      <c r="AH950">
        <v>10</v>
      </c>
      <c r="AI950">
        <v>74</v>
      </c>
      <c r="AJ950">
        <v>8</v>
      </c>
      <c r="AK950">
        <v>30</v>
      </c>
    </row>
    <row r="951" spans="1:37">
      <c r="A951" t="s">
        <v>1345</v>
      </c>
      <c r="B951" t="s">
        <v>1752</v>
      </c>
      <c r="C951">
        <v>34.4</v>
      </c>
      <c r="D951" t="s">
        <v>1476</v>
      </c>
      <c r="E951">
        <v>11</v>
      </c>
      <c r="F951">
        <v>0</v>
      </c>
      <c r="G951">
        <v>0</v>
      </c>
      <c r="I951">
        <v>1.17725</v>
      </c>
      <c r="J951">
        <v>0.99016</v>
      </c>
      <c r="K951">
        <v>0.94874</v>
      </c>
      <c r="L951">
        <v>0.96775</v>
      </c>
      <c r="M951">
        <v>1.17819</v>
      </c>
      <c r="N951">
        <v>0.88175</v>
      </c>
      <c r="O951">
        <v>0.86741</v>
      </c>
      <c r="P951">
        <v>1.00091</v>
      </c>
      <c r="Q951">
        <v>1</v>
      </c>
      <c r="R951">
        <v>1</v>
      </c>
      <c r="S951">
        <v>1.04628</v>
      </c>
      <c r="T951">
        <v>0.96101</v>
      </c>
      <c r="U951">
        <v>1</v>
      </c>
      <c r="V951">
        <v>48.863</v>
      </c>
      <c r="W951">
        <v>5.966</v>
      </c>
      <c r="X951">
        <v>92.345</v>
      </c>
      <c r="Y951">
        <v>20.561</v>
      </c>
      <c r="Z951">
        <v>46.922</v>
      </c>
      <c r="AA951">
        <v>214.657</v>
      </c>
      <c r="AB951">
        <v>1.08528</v>
      </c>
      <c r="AC951">
        <v>274</v>
      </c>
      <c r="AD951">
        <v>0</v>
      </c>
      <c r="AG951">
        <v>68</v>
      </c>
      <c r="AH951">
        <v>9</v>
      </c>
      <c r="AI951">
        <v>98</v>
      </c>
      <c r="AJ951">
        <v>23</v>
      </c>
      <c r="AK951">
        <v>76</v>
      </c>
    </row>
    <row r="952" spans="1:37">
      <c r="A952" t="s">
        <v>1346</v>
      </c>
      <c r="B952" t="s">
        <v>1753</v>
      </c>
      <c r="C952">
        <v>34.9</v>
      </c>
      <c r="D952" t="s">
        <v>1476</v>
      </c>
      <c r="E952">
        <v>12</v>
      </c>
      <c r="F952">
        <v>0</v>
      </c>
      <c r="G952">
        <v>0</v>
      </c>
      <c r="I952">
        <v>1.17743</v>
      </c>
      <c r="J952">
        <v>0.99814</v>
      </c>
      <c r="K952">
        <v>0.94874</v>
      </c>
      <c r="L952">
        <v>0.96816</v>
      </c>
      <c r="M952">
        <v>1.00773</v>
      </c>
      <c r="N952">
        <v>0.87413</v>
      </c>
      <c r="O952">
        <v>0.9228</v>
      </c>
      <c r="P952">
        <v>1.0007</v>
      </c>
      <c r="Q952">
        <v>1</v>
      </c>
      <c r="R952">
        <v>1</v>
      </c>
      <c r="S952">
        <v>1</v>
      </c>
      <c r="T952">
        <v>0.96384</v>
      </c>
      <c r="U952">
        <v>1</v>
      </c>
      <c r="V952">
        <v>11.461</v>
      </c>
      <c r="W952">
        <v>2.418</v>
      </c>
      <c r="X952">
        <v>83.242</v>
      </c>
      <c r="Y952">
        <v>32.384</v>
      </c>
      <c r="Z952">
        <v>47.815</v>
      </c>
      <c r="AA952">
        <v>177.32</v>
      </c>
      <c r="AB952">
        <v>0.9985000000000001</v>
      </c>
      <c r="AC952">
        <v>173</v>
      </c>
      <c r="AD952">
        <v>0</v>
      </c>
      <c r="AG952">
        <v>15</v>
      </c>
      <c r="AH952">
        <v>1</v>
      </c>
      <c r="AI952">
        <v>91</v>
      </c>
      <c r="AJ952">
        <v>37</v>
      </c>
      <c r="AK952">
        <v>29</v>
      </c>
    </row>
    <row r="953" spans="1:37">
      <c r="A953" t="s">
        <v>1347</v>
      </c>
      <c r="B953" t="s">
        <v>1754</v>
      </c>
      <c r="C953">
        <v>36.6</v>
      </c>
      <c r="D953" t="s">
        <v>1476</v>
      </c>
      <c r="E953">
        <v>13</v>
      </c>
      <c r="F953">
        <v>0</v>
      </c>
      <c r="G953">
        <v>0</v>
      </c>
      <c r="I953">
        <v>1.17762</v>
      </c>
      <c r="J953">
        <v>0.9969</v>
      </c>
      <c r="K953">
        <v>0.94874</v>
      </c>
      <c r="L953">
        <v>0.96855</v>
      </c>
      <c r="M953">
        <v>0.9061900000000001</v>
      </c>
      <c r="N953">
        <v>0.8784999999999999</v>
      </c>
      <c r="O953">
        <v>0.88688</v>
      </c>
      <c r="P953">
        <v>1.00046</v>
      </c>
      <c r="Q953">
        <v>1</v>
      </c>
      <c r="R953">
        <v>1</v>
      </c>
      <c r="S953">
        <v>1</v>
      </c>
      <c r="T953">
        <v>0.9637</v>
      </c>
      <c r="U953">
        <v>1</v>
      </c>
      <c r="V953">
        <v>15.689</v>
      </c>
      <c r="W953">
        <v>3.797</v>
      </c>
      <c r="X953">
        <v>69.952</v>
      </c>
      <c r="Y953">
        <v>27.135</v>
      </c>
      <c r="Z953">
        <v>42.928</v>
      </c>
      <c r="AA953">
        <v>159.501</v>
      </c>
      <c r="AB953">
        <v>1.01876</v>
      </c>
      <c r="AC953">
        <v>171</v>
      </c>
      <c r="AD953">
        <v>0</v>
      </c>
      <c r="AG953">
        <v>12</v>
      </c>
      <c r="AH953">
        <v>4</v>
      </c>
      <c r="AI953">
        <v>74</v>
      </c>
      <c r="AJ953">
        <v>29</v>
      </c>
      <c r="AK953">
        <v>52</v>
      </c>
    </row>
    <row r="954" spans="1:37">
      <c r="A954" t="s">
        <v>501</v>
      </c>
      <c r="B954" t="s">
        <v>1751</v>
      </c>
      <c r="C954">
        <v>38.6</v>
      </c>
      <c r="D954" t="s">
        <v>1476</v>
      </c>
      <c r="E954">
        <v>14</v>
      </c>
      <c r="F954">
        <v>0</v>
      </c>
      <c r="G954">
        <v>0</v>
      </c>
      <c r="I954">
        <v>1.1778</v>
      </c>
      <c r="J954">
        <v>0.99912</v>
      </c>
      <c r="K954">
        <v>0.94874</v>
      </c>
      <c r="L954">
        <v>0.96889</v>
      </c>
      <c r="M954">
        <v>0.89241</v>
      </c>
      <c r="N954">
        <v>0.9115799999999999</v>
      </c>
      <c r="O954">
        <v>0.8053</v>
      </c>
      <c r="P954">
        <v>1.00025</v>
      </c>
      <c r="Q954">
        <v>1</v>
      </c>
      <c r="R954">
        <v>1</v>
      </c>
      <c r="S954">
        <v>1.05847</v>
      </c>
      <c r="T954">
        <v>0.9613699999999999</v>
      </c>
      <c r="U954">
        <v>1</v>
      </c>
      <c r="V954">
        <v>57.063</v>
      </c>
      <c r="W954">
        <v>7.882</v>
      </c>
      <c r="X954">
        <v>52.427</v>
      </c>
      <c r="Y954">
        <v>10.498</v>
      </c>
      <c r="Z954">
        <v>39.532</v>
      </c>
      <c r="AA954">
        <v>167.402</v>
      </c>
      <c r="AB954">
        <v>0.97784</v>
      </c>
      <c r="AC954">
        <v>159</v>
      </c>
      <c r="AD954">
        <v>0</v>
      </c>
      <c r="AG954">
        <v>53</v>
      </c>
      <c r="AH954">
        <v>8</v>
      </c>
      <c r="AI954">
        <v>47</v>
      </c>
      <c r="AJ954">
        <v>4</v>
      </c>
      <c r="AK954">
        <v>47</v>
      </c>
    </row>
    <row r="955" spans="1:37">
      <c r="A955" t="s">
        <v>1348</v>
      </c>
      <c r="B955" t="s">
        <v>1751</v>
      </c>
      <c r="C955">
        <v>36.3</v>
      </c>
      <c r="D955" t="s">
        <v>1476</v>
      </c>
      <c r="E955">
        <v>15</v>
      </c>
      <c r="F955">
        <v>0</v>
      </c>
      <c r="G955">
        <v>0</v>
      </c>
      <c r="I955">
        <v>1.17799</v>
      </c>
      <c r="J955">
        <v>1.00878</v>
      </c>
      <c r="K955">
        <v>0.94874</v>
      </c>
      <c r="L955">
        <v>0.96919</v>
      </c>
      <c r="M955">
        <v>0.86556</v>
      </c>
      <c r="N955">
        <v>0.91509</v>
      </c>
      <c r="O955">
        <v>0.8015600000000001</v>
      </c>
      <c r="P955">
        <v>0.99739</v>
      </c>
      <c r="Q955">
        <v>1</v>
      </c>
      <c r="R955">
        <v>1</v>
      </c>
      <c r="S955">
        <v>1.05479</v>
      </c>
      <c r="T955">
        <v>0.96128</v>
      </c>
      <c r="U955">
        <v>1</v>
      </c>
      <c r="V955">
        <v>54.987</v>
      </c>
      <c r="W955">
        <v>7.974</v>
      </c>
      <c r="X955">
        <v>52.597</v>
      </c>
      <c r="Y955">
        <v>9.788</v>
      </c>
      <c r="Z955">
        <v>38.172</v>
      </c>
      <c r="AA955">
        <v>163.519</v>
      </c>
      <c r="AB955">
        <v>0.9363899999999999</v>
      </c>
      <c r="AC955">
        <v>156</v>
      </c>
      <c r="AD955">
        <v>0</v>
      </c>
      <c r="AG955">
        <v>49</v>
      </c>
      <c r="AH955">
        <v>5</v>
      </c>
      <c r="AI955">
        <v>49</v>
      </c>
      <c r="AJ955">
        <v>11</v>
      </c>
      <c r="AK955">
        <v>42</v>
      </c>
    </row>
    <row r="956" spans="1:37">
      <c r="A956" t="s">
        <v>1349</v>
      </c>
      <c r="B956" t="s">
        <v>1751</v>
      </c>
      <c r="C956">
        <v>37.6</v>
      </c>
      <c r="D956" t="s">
        <v>1476</v>
      </c>
      <c r="E956">
        <v>16</v>
      </c>
      <c r="F956">
        <v>0</v>
      </c>
      <c r="G956">
        <v>0</v>
      </c>
      <c r="I956">
        <v>1.17817</v>
      </c>
      <c r="J956">
        <v>0.98877</v>
      </c>
      <c r="K956">
        <v>0.94874</v>
      </c>
      <c r="L956">
        <v>0.96945</v>
      </c>
      <c r="M956">
        <v>0.89263</v>
      </c>
      <c r="N956">
        <v>0.91688</v>
      </c>
      <c r="O956">
        <v>0.80707</v>
      </c>
      <c r="P956">
        <v>0.9945000000000001</v>
      </c>
      <c r="Q956">
        <v>1</v>
      </c>
      <c r="R956">
        <v>1</v>
      </c>
      <c r="S956">
        <v>1.05409</v>
      </c>
      <c r="T956">
        <v>0.96147</v>
      </c>
      <c r="U956">
        <v>1</v>
      </c>
      <c r="V956">
        <v>54.025</v>
      </c>
      <c r="W956">
        <v>7.747</v>
      </c>
      <c r="X956">
        <v>53.962</v>
      </c>
      <c r="Y956">
        <v>10.437</v>
      </c>
      <c r="Z956">
        <v>39.128</v>
      </c>
      <c r="AA956">
        <v>165.299</v>
      </c>
      <c r="AB956">
        <v>0.99829</v>
      </c>
      <c r="AC956">
        <v>154</v>
      </c>
      <c r="AD956">
        <v>0</v>
      </c>
      <c r="AG956">
        <v>46</v>
      </c>
      <c r="AH956">
        <v>8</v>
      </c>
      <c r="AI956">
        <v>48</v>
      </c>
      <c r="AJ956">
        <v>9</v>
      </c>
      <c r="AK956">
        <v>43</v>
      </c>
    </row>
    <row r="957" spans="1:37">
      <c r="A957" t="s">
        <v>1350</v>
      </c>
      <c r="B957" t="s">
        <v>1751</v>
      </c>
      <c r="C957">
        <v>38.6</v>
      </c>
      <c r="D957" t="s">
        <v>1476</v>
      </c>
      <c r="E957">
        <v>17</v>
      </c>
      <c r="F957">
        <v>0</v>
      </c>
      <c r="G957">
        <v>0</v>
      </c>
      <c r="I957">
        <v>1.17836</v>
      </c>
      <c r="J957">
        <v>0.983</v>
      </c>
      <c r="K957">
        <v>0.94874</v>
      </c>
      <c r="L957">
        <v>0.96966</v>
      </c>
      <c r="M957">
        <v>0.93991</v>
      </c>
      <c r="N957">
        <v>0.9154</v>
      </c>
      <c r="O957">
        <v>0.82025</v>
      </c>
      <c r="P957">
        <v>0.99144</v>
      </c>
      <c r="Q957">
        <v>1</v>
      </c>
      <c r="R957">
        <v>1</v>
      </c>
      <c r="S957">
        <v>1.05808</v>
      </c>
      <c r="T957">
        <v>0.96152</v>
      </c>
      <c r="U957">
        <v>1</v>
      </c>
      <c r="V957">
        <v>52.75</v>
      </c>
      <c r="W957">
        <v>7.399</v>
      </c>
      <c r="X957">
        <v>60.706</v>
      </c>
      <c r="Y957">
        <v>12.123</v>
      </c>
      <c r="Z957">
        <v>41.042</v>
      </c>
      <c r="AA957">
        <v>174.02</v>
      </c>
      <c r="AB957">
        <v>0.9089</v>
      </c>
      <c r="AC957">
        <v>172</v>
      </c>
      <c r="AD957">
        <v>0</v>
      </c>
      <c r="AG957">
        <v>48</v>
      </c>
      <c r="AH957">
        <v>12</v>
      </c>
      <c r="AI957">
        <v>55</v>
      </c>
      <c r="AJ957">
        <v>14</v>
      </c>
      <c r="AK957">
        <v>43</v>
      </c>
    </row>
    <row r="958" spans="1:37">
      <c r="A958" t="s">
        <v>1351</v>
      </c>
      <c r="B958" t="s">
        <v>1752</v>
      </c>
      <c r="C958">
        <v>38.3</v>
      </c>
      <c r="D958" t="s">
        <v>1476</v>
      </c>
      <c r="E958">
        <v>18</v>
      </c>
      <c r="F958">
        <v>0</v>
      </c>
      <c r="G958">
        <v>0</v>
      </c>
      <c r="I958">
        <v>1.17855</v>
      </c>
      <c r="J958">
        <v>0.97924</v>
      </c>
      <c r="K958">
        <v>0.94874</v>
      </c>
      <c r="L958">
        <v>0.96982</v>
      </c>
      <c r="M958">
        <v>1.17414</v>
      </c>
      <c r="N958">
        <v>0.90127</v>
      </c>
      <c r="O958">
        <v>0.86826</v>
      </c>
      <c r="P958">
        <v>0.98768</v>
      </c>
      <c r="Q958">
        <v>1</v>
      </c>
      <c r="R958">
        <v>1</v>
      </c>
      <c r="S958">
        <v>1.04459</v>
      </c>
      <c r="T958">
        <v>0.96124</v>
      </c>
      <c r="U958">
        <v>1</v>
      </c>
      <c r="V958">
        <v>49.911</v>
      </c>
      <c r="W958">
        <v>5.854</v>
      </c>
      <c r="X958">
        <v>89.81100000000001</v>
      </c>
      <c r="Y958">
        <v>20.719</v>
      </c>
      <c r="Z958">
        <v>48.049</v>
      </c>
      <c r="AA958">
        <v>214.344</v>
      </c>
      <c r="AB958">
        <v>0.93144</v>
      </c>
      <c r="AC958">
        <v>193</v>
      </c>
      <c r="AD958">
        <v>0</v>
      </c>
      <c r="AG958">
        <v>43</v>
      </c>
      <c r="AH958">
        <v>3</v>
      </c>
      <c r="AI958">
        <v>87</v>
      </c>
      <c r="AJ958">
        <v>20</v>
      </c>
      <c r="AK958">
        <v>40</v>
      </c>
    </row>
    <row r="959" spans="1:37">
      <c r="A959" t="s">
        <v>1352</v>
      </c>
      <c r="B959" t="s">
        <v>1753</v>
      </c>
      <c r="C959">
        <v>38.2</v>
      </c>
      <c r="D959" t="s">
        <v>1476</v>
      </c>
      <c r="E959">
        <v>19</v>
      </c>
      <c r="F959">
        <v>0</v>
      </c>
      <c r="G959">
        <v>0</v>
      </c>
      <c r="I959">
        <v>1.17873</v>
      </c>
      <c r="J959">
        <v>0.97393</v>
      </c>
      <c r="K959">
        <v>0.94874</v>
      </c>
      <c r="L959">
        <v>0.96993</v>
      </c>
      <c r="M959">
        <v>1.00311</v>
      </c>
      <c r="N959">
        <v>0.89492</v>
      </c>
      <c r="O959">
        <v>0.9231200000000001</v>
      </c>
      <c r="P959">
        <v>0.98227</v>
      </c>
      <c r="Q959">
        <v>1</v>
      </c>
      <c r="R959">
        <v>1</v>
      </c>
      <c r="S959">
        <v>1</v>
      </c>
      <c r="T959">
        <v>0.9640300000000001</v>
      </c>
      <c r="U959">
        <v>1</v>
      </c>
      <c r="V959">
        <v>11.507</v>
      </c>
      <c r="W959">
        <v>2.344</v>
      </c>
      <c r="X959">
        <v>80.547</v>
      </c>
      <c r="Y959">
        <v>32.205</v>
      </c>
      <c r="Z959">
        <v>47.768</v>
      </c>
      <c r="AA959">
        <v>174.371</v>
      </c>
      <c r="AB959">
        <v>1.0381</v>
      </c>
      <c r="AC959">
        <v>171</v>
      </c>
      <c r="AD959">
        <v>0</v>
      </c>
      <c r="AG959">
        <v>19</v>
      </c>
      <c r="AH959">
        <v>1</v>
      </c>
      <c r="AI959">
        <v>67</v>
      </c>
      <c r="AJ959">
        <v>33</v>
      </c>
      <c r="AK959">
        <v>51</v>
      </c>
    </row>
    <row r="960" spans="1:37">
      <c r="A960" t="s">
        <v>1353</v>
      </c>
      <c r="B960" t="s">
        <v>1754</v>
      </c>
      <c r="C960">
        <v>36.5</v>
      </c>
      <c r="D960" t="s">
        <v>1476</v>
      </c>
      <c r="E960">
        <v>20</v>
      </c>
      <c r="F960">
        <v>0</v>
      </c>
      <c r="G960">
        <v>0</v>
      </c>
      <c r="I960">
        <v>1.17892</v>
      </c>
      <c r="J960">
        <v>0.96998</v>
      </c>
      <c r="K960">
        <v>0.94874</v>
      </c>
      <c r="L960">
        <v>0.96999</v>
      </c>
      <c r="M960">
        <v>0.90428</v>
      </c>
      <c r="N960">
        <v>0.9041</v>
      </c>
      <c r="O960">
        <v>0.88774</v>
      </c>
      <c r="P960">
        <v>0.97934</v>
      </c>
      <c r="Q960">
        <v>1</v>
      </c>
      <c r="R960">
        <v>1</v>
      </c>
      <c r="S960">
        <v>1</v>
      </c>
      <c r="T960">
        <v>0.96329</v>
      </c>
      <c r="U960">
        <v>1</v>
      </c>
      <c r="V960">
        <v>15.677</v>
      </c>
      <c r="W960">
        <v>3.662</v>
      </c>
      <c r="X960">
        <v>69.215</v>
      </c>
      <c r="Y960">
        <v>27.315</v>
      </c>
      <c r="Z960">
        <v>40.866</v>
      </c>
      <c r="AA960">
        <v>156.735</v>
      </c>
      <c r="AB960">
        <v>0.98069</v>
      </c>
      <c r="AC960">
        <v>139</v>
      </c>
      <c r="AD960">
        <v>0</v>
      </c>
      <c r="AG960">
        <v>14</v>
      </c>
      <c r="AH960">
        <v>1</v>
      </c>
      <c r="AI960">
        <v>66</v>
      </c>
      <c r="AJ960">
        <v>22</v>
      </c>
      <c r="AK960">
        <v>36</v>
      </c>
    </row>
    <row r="961" spans="1:37">
      <c r="A961" t="s">
        <v>502</v>
      </c>
      <c r="B961" t="s">
        <v>1751</v>
      </c>
      <c r="C961">
        <v>36.6</v>
      </c>
      <c r="D961" t="s">
        <v>1476</v>
      </c>
      <c r="E961">
        <v>21</v>
      </c>
      <c r="F961">
        <v>0</v>
      </c>
      <c r="G961">
        <v>0</v>
      </c>
      <c r="I961">
        <v>1.1791</v>
      </c>
      <c r="J961">
        <v>0.97342</v>
      </c>
      <c r="K961">
        <v>0.94874</v>
      </c>
      <c r="L961">
        <v>0.97001</v>
      </c>
      <c r="M961">
        <v>0.89201</v>
      </c>
      <c r="N961">
        <v>0.93392</v>
      </c>
      <c r="O961">
        <v>0.8053399999999999</v>
      </c>
      <c r="P961">
        <v>0.98068</v>
      </c>
      <c r="Q961">
        <v>1</v>
      </c>
      <c r="R961">
        <v>1</v>
      </c>
      <c r="S961">
        <v>1.05497</v>
      </c>
      <c r="T961">
        <v>0.96073</v>
      </c>
      <c r="U961">
        <v>1</v>
      </c>
      <c r="V961">
        <v>56.856</v>
      </c>
      <c r="W961">
        <v>7.664</v>
      </c>
      <c r="X961">
        <v>52.181</v>
      </c>
      <c r="Y961">
        <v>10.528</v>
      </c>
      <c r="Z961">
        <v>36.513</v>
      </c>
      <c r="AA961">
        <v>163.741</v>
      </c>
      <c r="AB961">
        <v>0.9493200000000001</v>
      </c>
      <c r="AC961">
        <v>172</v>
      </c>
      <c r="AD961">
        <v>0</v>
      </c>
      <c r="AG961">
        <v>64</v>
      </c>
      <c r="AH961">
        <v>5</v>
      </c>
      <c r="AI961">
        <v>53</v>
      </c>
      <c r="AJ961">
        <v>8</v>
      </c>
      <c r="AK961">
        <v>42</v>
      </c>
    </row>
    <row r="962" spans="1:37">
      <c r="A962" t="s">
        <v>1354</v>
      </c>
      <c r="B962" t="s">
        <v>1751</v>
      </c>
      <c r="C962">
        <v>36.6</v>
      </c>
      <c r="D962" t="s">
        <v>1476</v>
      </c>
      <c r="E962">
        <v>22</v>
      </c>
      <c r="F962">
        <v>0</v>
      </c>
      <c r="G962">
        <v>0</v>
      </c>
      <c r="I962">
        <v>1.17929</v>
      </c>
      <c r="J962">
        <v>1.00084</v>
      </c>
      <c r="K962">
        <v>0.94874</v>
      </c>
      <c r="L962">
        <v>0.97016</v>
      </c>
      <c r="M962">
        <v>0.865</v>
      </c>
      <c r="N962">
        <v>0.93796</v>
      </c>
      <c r="O962">
        <v>0.80375</v>
      </c>
      <c r="P962">
        <v>0.97775</v>
      </c>
      <c r="Q962">
        <v>1</v>
      </c>
      <c r="R962">
        <v>1</v>
      </c>
      <c r="S962">
        <v>1.05565</v>
      </c>
      <c r="T962">
        <v>0.96109</v>
      </c>
      <c r="U962">
        <v>1</v>
      </c>
      <c r="V962">
        <v>55.467</v>
      </c>
      <c r="W962">
        <v>7.81</v>
      </c>
      <c r="X962">
        <v>52.624</v>
      </c>
      <c r="Y962">
        <v>10.001</v>
      </c>
      <c r="Z962">
        <v>37.566</v>
      </c>
      <c r="AA962">
        <v>163.468</v>
      </c>
      <c r="AB962">
        <v>0.92436</v>
      </c>
      <c r="AC962">
        <v>139</v>
      </c>
      <c r="AD962">
        <v>0</v>
      </c>
      <c r="AG962">
        <v>46</v>
      </c>
      <c r="AH962">
        <v>9</v>
      </c>
      <c r="AI962">
        <v>42</v>
      </c>
      <c r="AJ962">
        <v>3</v>
      </c>
      <c r="AK962">
        <v>39</v>
      </c>
    </row>
    <row r="963" spans="1:37">
      <c r="A963" t="s">
        <v>1355</v>
      </c>
      <c r="B963" t="s">
        <v>1751</v>
      </c>
      <c r="C963">
        <v>35.2</v>
      </c>
      <c r="D963" t="s">
        <v>1476</v>
      </c>
      <c r="E963">
        <v>23</v>
      </c>
      <c r="F963">
        <v>0</v>
      </c>
      <c r="G963">
        <v>0</v>
      </c>
      <c r="I963">
        <v>1.17947</v>
      </c>
      <c r="J963">
        <v>0.99331</v>
      </c>
      <c r="K963">
        <v>0.94874</v>
      </c>
      <c r="L963">
        <v>0.9704700000000001</v>
      </c>
      <c r="M963">
        <v>0.8913</v>
      </c>
      <c r="N963">
        <v>0.93952</v>
      </c>
      <c r="O963">
        <v>0.80809</v>
      </c>
      <c r="P963">
        <v>0.9747400000000001</v>
      </c>
      <c r="Q963">
        <v>1</v>
      </c>
      <c r="R963">
        <v>1</v>
      </c>
      <c r="S963">
        <v>1.05488</v>
      </c>
      <c r="T963">
        <v>0.96068</v>
      </c>
      <c r="U963">
        <v>1</v>
      </c>
      <c r="V963">
        <v>55.537</v>
      </c>
      <c r="W963">
        <v>7.748</v>
      </c>
      <c r="X963">
        <v>56.431</v>
      </c>
      <c r="Y963">
        <v>10.891</v>
      </c>
      <c r="Z963">
        <v>36.879</v>
      </c>
      <c r="AA963">
        <v>167.486</v>
      </c>
      <c r="AB963">
        <v>0.98227</v>
      </c>
      <c r="AC963">
        <v>177</v>
      </c>
      <c r="AD963">
        <v>0</v>
      </c>
      <c r="AG963">
        <v>71</v>
      </c>
      <c r="AH963">
        <v>5</v>
      </c>
      <c r="AI963">
        <v>53</v>
      </c>
      <c r="AJ963">
        <v>15</v>
      </c>
      <c r="AK963">
        <v>33</v>
      </c>
    </row>
    <row r="964" spans="1:37">
      <c r="A964" t="s">
        <v>1356</v>
      </c>
      <c r="B964" t="s">
        <v>1751</v>
      </c>
      <c r="C964">
        <v>35.2</v>
      </c>
      <c r="D964" t="s">
        <v>1476</v>
      </c>
      <c r="E964">
        <v>24</v>
      </c>
      <c r="F964">
        <v>0</v>
      </c>
      <c r="G964">
        <v>0</v>
      </c>
      <c r="I964">
        <v>1.17966</v>
      </c>
      <c r="J964">
        <v>0.9972</v>
      </c>
      <c r="K964">
        <v>0.94874</v>
      </c>
      <c r="L964">
        <v>0.97092</v>
      </c>
      <c r="M964">
        <v>0.9389</v>
      </c>
      <c r="N964">
        <v>0.9385</v>
      </c>
      <c r="O964">
        <v>0.82275</v>
      </c>
      <c r="P964">
        <v>0.9712</v>
      </c>
      <c r="Q964">
        <v>1</v>
      </c>
      <c r="R964">
        <v>1</v>
      </c>
      <c r="S964">
        <v>1.05832</v>
      </c>
      <c r="T964">
        <v>0.96078</v>
      </c>
      <c r="U964">
        <v>1</v>
      </c>
      <c r="V964">
        <v>54.671</v>
      </c>
      <c r="W964">
        <v>7.356</v>
      </c>
      <c r="X964">
        <v>63.739</v>
      </c>
      <c r="Y964">
        <v>12.836</v>
      </c>
      <c r="Z964">
        <v>39.203</v>
      </c>
      <c r="AA964">
        <v>177.804</v>
      </c>
      <c r="AB964">
        <v>0.98548</v>
      </c>
      <c r="AC964">
        <v>191</v>
      </c>
      <c r="AD964">
        <v>0</v>
      </c>
      <c r="AG964">
        <v>66</v>
      </c>
      <c r="AH964">
        <v>6</v>
      </c>
      <c r="AI964">
        <v>66</v>
      </c>
      <c r="AJ964">
        <v>14</v>
      </c>
      <c r="AK964">
        <v>39</v>
      </c>
    </row>
    <row r="965" spans="1:37">
      <c r="A965" t="s">
        <v>1357</v>
      </c>
      <c r="B965" t="s">
        <v>1752</v>
      </c>
      <c r="C965">
        <v>34.9</v>
      </c>
      <c r="D965" t="s">
        <v>1476</v>
      </c>
      <c r="E965">
        <v>25</v>
      </c>
      <c r="F965">
        <v>0</v>
      </c>
      <c r="G965">
        <v>0</v>
      </c>
      <c r="I965">
        <v>1.17984</v>
      </c>
      <c r="J965">
        <v>0.99271</v>
      </c>
      <c r="K965">
        <v>0.94874</v>
      </c>
      <c r="L965">
        <v>0.97153</v>
      </c>
      <c r="M965">
        <v>1.17709</v>
      </c>
      <c r="N965">
        <v>0.92791</v>
      </c>
      <c r="O965">
        <v>0.87071</v>
      </c>
      <c r="P965">
        <v>0.96593</v>
      </c>
      <c r="Q965">
        <v>1</v>
      </c>
      <c r="R965">
        <v>1</v>
      </c>
      <c r="S965">
        <v>1.04782</v>
      </c>
      <c r="T965">
        <v>0.96046</v>
      </c>
      <c r="U965">
        <v>1</v>
      </c>
      <c r="V965">
        <v>51.762</v>
      </c>
      <c r="W965">
        <v>5.798</v>
      </c>
      <c r="X965">
        <v>94.863</v>
      </c>
      <c r="Y965">
        <v>22.093</v>
      </c>
      <c r="Z965">
        <v>45.752</v>
      </c>
      <c r="AA965">
        <v>220.268</v>
      </c>
      <c r="AB965">
        <v>0.99822</v>
      </c>
      <c r="AC965">
        <v>236</v>
      </c>
      <c r="AD965">
        <v>0</v>
      </c>
      <c r="AG965">
        <v>50</v>
      </c>
      <c r="AH965">
        <v>7</v>
      </c>
      <c r="AI965">
        <v>102</v>
      </c>
      <c r="AJ965">
        <v>21</v>
      </c>
      <c r="AK965">
        <v>56</v>
      </c>
    </row>
    <row r="966" spans="1:37">
      <c r="A966" t="s">
        <v>1358</v>
      </c>
      <c r="B966" t="s">
        <v>1753</v>
      </c>
      <c r="C966">
        <v>34.7</v>
      </c>
      <c r="D966" t="s">
        <v>1476</v>
      </c>
      <c r="E966">
        <v>26</v>
      </c>
      <c r="F966">
        <v>0</v>
      </c>
      <c r="G966">
        <v>0</v>
      </c>
      <c r="I966">
        <v>1.18003</v>
      </c>
      <c r="J966">
        <v>1.00208</v>
      </c>
      <c r="K966">
        <v>0.94874</v>
      </c>
      <c r="L966">
        <v>0.97229</v>
      </c>
      <c r="M966">
        <v>1.0031</v>
      </c>
      <c r="N966">
        <v>0.92305</v>
      </c>
      <c r="O966">
        <v>0.92331</v>
      </c>
      <c r="P966">
        <v>0.95733</v>
      </c>
      <c r="Q966">
        <v>1</v>
      </c>
      <c r="R966">
        <v>1</v>
      </c>
      <c r="S966">
        <v>1</v>
      </c>
      <c r="T966">
        <v>0.96309</v>
      </c>
      <c r="U966">
        <v>1</v>
      </c>
      <c r="V966">
        <v>12.085</v>
      </c>
      <c r="W966">
        <v>2.388</v>
      </c>
      <c r="X966">
        <v>86.014</v>
      </c>
      <c r="Y966">
        <v>34.499</v>
      </c>
      <c r="Z966">
        <v>45.992</v>
      </c>
      <c r="AA966">
        <v>180.977</v>
      </c>
      <c r="AB966">
        <v>0.88658</v>
      </c>
      <c r="AC966">
        <v>136</v>
      </c>
      <c r="AD966">
        <v>0</v>
      </c>
      <c r="AG966">
        <v>14</v>
      </c>
      <c r="AH966">
        <v>1</v>
      </c>
      <c r="AI966">
        <v>65</v>
      </c>
      <c r="AJ966">
        <v>23</v>
      </c>
      <c r="AK966">
        <v>33</v>
      </c>
    </row>
    <row r="967" spans="1:37">
      <c r="A967" t="s">
        <v>1359</v>
      </c>
      <c r="B967" t="s">
        <v>1754</v>
      </c>
      <c r="C967">
        <v>35</v>
      </c>
      <c r="D967" t="s">
        <v>1476</v>
      </c>
      <c r="E967">
        <v>27</v>
      </c>
      <c r="F967">
        <v>0</v>
      </c>
      <c r="G967">
        <v>0</v>
      </c>
      <c r="I967">
        <v>1.18022</v>
      </c>
      <c r="J967">
        <v>1.00519</v>
      </c>
      <c r="K967">
        <v>0.94874</v>
      </c>
      <c r="L967">
        <v>0.97317</v>
      </c>
      <c r="M967">
        <v>0.90333</v>
      </c>
      <c r="N967">
        <v>0.92814</v>
      </c>
      <c r="O967">
        <v>0.88844</v>
      </c>
      <c r="P967">
        <v>0.95861</v>
      </c>
      <c r="Q967">
        <v>1</v>
      </c>
      <c r="R967">
        <v>1</v>
      </c>
      <c r="S967">
        <v>1</v>
      </c>
      <c r="T967">
        <v>0.96272</v>
      </c>
      <c r="U967">
        <v>1</v>
      </c>
      <c r="V967">
        <v>16.594</v>
      </c>
      <c r="W967">
        <v>3.768</v>
      </c>
      <c r="X967">
        <v>73.526</v>
      </c>
      <c r="Y967">
        <v>29.233</v>
      </c>
      <c r="Z967">
        <v>40.794</v>
      </c>
      <c r="AA967">
        <v>163.915</v>
      </c>
      <c r="AB967">
        <v>1.03742</v>
      </c>
      <c r="AC967">
        <v>186</v>
      </c>
      <c r="AD967">
        <v>0</v>
      </c>
      <c r="AG967">
        <v>24</v>
      </c>
      <c r="AH967">
        <v>0</v>
      </c>
      <c r="AI967">
        <v>87</v>
      </c>
      <c r="AJ967">
        <v>21</v>
      </c>
      <c r="AK967">
        <v>54</v>
      </c>
    </row>
    <row r="968" spans="1:37">
      <c r="A968" t="s">
        <v>503</v>
      </c>
      <c r="B968" t="s">
        <v>1751</v>
      </c>
      <c r="C968">
        <v>35.8</v>
      </c>
      <c r="D968" t="s">
        <v>82</v>
      </c>
      <c r="E968">
        <v>28</v>
      </c>
      <c r="F968">
        <v>0</v>
      </c>
      <c r="G968">
        <v>0</v>
      </c>
      <c r="I968">
        <v>1.1804</v>
      </c>
      <c r="J968">
        <v>0.99734</v>
      </c>
      <c r="K968">
        <v>0.94874</v>
      </c>
      <c r="L968">
        <v>0.97419</v>
      </c>
      <c r="M968">
        <v>0.9113599999999999</v>
      </c>
      <c r="N968">
        <v>0.96067</v>
      </c>
      <c r="O968">
        <v>1</v>
      </c>
      <c r="P968">
        <v>0.96934</v>
      </c>
      <c r="Q968">
        <v>1</v>
      </c>
      <c r="R968">
        <v>1</v>
      </c>
      <c r="S968">
        <v>1.09916</v>
      </c>
      <c r="T968">
        <v>0.95847</v>
      </c>
      <c r="U968">
        <v>1</v>
      </c>
      <c r="V968">
        <v>67.479</v>
      </c>
      <c r="W968">
        <v>45.574</v>
      </c>
      <c r="X968">
        <v>54.62</v>
      </c>
      <c r="Y968">
        <v>12.335</v>
      </c>
      <c r="Z968">
        <v>36.612</v>
      </c>
      <c r="AA968">
        <v>216.62</v>
      </c>
      <c r="AB968">
        <v>0.99639</v>
      </c>
      <c r="AC968">
        <v>218</v>
      </c>
      <c r="AD968">
        <v>0</v>
      </c>
      <c r="AG968">
        <v>78</v>
      </c>
      <c r="AH968">
        <v>38</v>
      </c>
      <c r="AI968">
        <v>58</v>
      </c>
      <c r="AJ968">
        <v>11</v>
      </c>
      <c r="AK968">
        <v>33</v>
      </c>
    </row>
    <row r="969" spans="1:37">
      <c r="A969" t="s">
        <v>1360</v>
      </c>
      <c r="B969" t="s">
        <v>1751</v>
      </c>
      <c r="C969">
        <v>35.7</v>
      </c>
      <c r="D969" t="s">
        <v>82</v>
      </c>
      <c r="E969">
        <v>29</v>
      </c>
      <c r="F969">
        <v>0</v>
      </c>
      <c r="G969">
        <v>0</v>
      </c>
      <c r="I969">
        <v>1.18059</v>
      </c>
      <c r="J969">
        <v>0.99548</v>
      </c>
      <c r="K969">
        <v>0.94874</v>
      </c>
      <c r="L969">
        <v>0.97532</v>
      </c>
      <c r="M969">
        <v>0.88758</v>
      </c>
      <c r="N969">
        <v>0.96336</v>
      </c>
      <c r="O969">
        <v>1</v>
      </c>
      <c r="P969">
        <v>0.96923</v>
      </c>
      <c r="Q969">
        <v>1</v>
      </c>
      <c r="R969">
        <v>1</v>
      </c>
      <c r="S969">
        <v>1.10543</v>
      </c>
      <c r="T969">
        <v>0.95872</v>
      </c>
      <c r="U969">
        <v>1</v>
      </c>
      <c r="V969">
        <v>64.7</v>
      </c>
      <c r="W969">
        <v>45.532</v>
      </c>
      <c r="X969">
        <v>53.705</v>
      </c>
      <c r="Y969">
        <v>11.438</v>
      </c>
      <c r="Z969">
        <v>36.793</v>
      </c>
      <c r="AA969">
        <v>212.167</v>
      </c>
      <c r="AB969">
        <v>1.0395</v>
      </c>
      <c r="AC969">
        <v>219</v>
      </c>
      <c r="AD969">
        <v>0</v>
      </c>
      <c r="AG969">
        <v>66</v>
      </c>
      <c r="AH969">
        <v>52</v>
      </c>
      <c r="AI969">
        <v>55</v>
      </c>
      <c r="AJ969">
        <v>7</v>
      </c>
      <c r="AK969">
        <v>39</v>
      </c>
    </row>
    <row r="970" spans="1:37">
      <c r="A970" t="s">
        <v>1361</v>
      </c>
      <c r="B970" t="s">
        <v>1751</v>
      </c>
      <c r="C970">
        <v>35.1</v>
      </c>
      <c r="D970" t="s">
        <v>82</v>
      </c>
      <c r="E970">
        <v>30</v>
      </c>
      <c r="F970">
        <v>0</v>
      </c>
      <c r="G970">
        <v>0</v>
      </c>
      <c r="I970">
        <v>1.18077</v>
      </c>
      <c r="J970">
        <v>0.9968900000000001</v>
      </c>
      <c r="K970">
        <v>0.94874</v>
      </c>
      <c r="L970">
        <v>0.97655</v>
      </c>
      <c r="M970">
        <v>0.90934</v>
      </c>
      <c r="N970">
        <v>0.96408</v>
      </c>
      <c r="O970">
        <v>1</v>
      </c>
      <c r="P970">
        <v>0.96892</v>
      </c>
      <c r="Q970">
        <v>1</v>
      </c>
      <c r="R970">
        <v>1</v>
      </c>
      <c r="S970">
        <v>1.10215</v>
      </c>
      <c r="T970">
        <v>0.95864</v>
      </c>
      <c r="U970">
        <v>1</v>
      </c>
      <c r="V970">
        <v>65.246</v>
      </c>
      <c r="W970">
        <v>45.675</v>
      </c>
      <c r="X970">
        <v>57.215</v>
      </c>
      <c r="Y970">
        <v>12.6</v>
      </c>
      <c r="Z970">
        <v>37.395</v>
      </c>
      <c r="AA970">
        <v>218.131</v>
      </c>
      <c r="AB970">
        <v>0.8698</v>
      </c>
      <c r="AC970">
        <v>184</v>
      </c>
      <c r="AD970">
        <v>0</v>
      </c>
      <c r="AG970">
        <v>48</v>
      </c>
      <c r="AH970">
        <v>44</v>
      </c>
      <c r="AI970">
        <v>50</v>
      </c>
      <c r="AJ970">
        <v>12</v>
      </c>
      <c r="AK970">
        <v>30</v>
      </c>
    </row>
    <row r="971" spans="1:37">
      <c r="A971" t="s">
        <v>1362</v>
      </c>
      <c r="B971" t="s">
        <v>1751</v>
      </c>
      <c r="C971">
        <v>33.5</v>
      </c>
      <c r="D971" t="s">
        <v>82</v>
      </c>
      <c r="E971">
        <v>0</v>
      </c>
      <c r="F971">
        <v>0</v>
      </c>
      <c r="G971">
        <v>0</v>
      </c>
      <c r="I971">
        <v>1.18096</v>
      </c>
      <c r="J971">
        <v>1.00158</v>
      </c>
      <c r="K971">
        <v>0.94874</v>
      </c>
      <c r="L971">
        <v>0.97787</v>
      </c>
      <c r="M971">
        <v>0.9381</v>
      </c>
      <c r="N971">
        <v>0.96482</v>
      </c>
      <c r="O971">
        <v>1</v>
      </c>
      <c r="P971">
        <v>1.06397</v>
      </c>
      <c r="Q971">
        <v>1</v>
      </c>
      <c r="R971">
        <v>1</v>
      </c>
      <c r="S971">
        <v>1.10052</v>
      </c>
      <c r="T971">
        <v>0.95886</v>
      </c>
      <c r="U971">
        <v>1</v>
      </c>
      <c r="V971">
        <v>66.90600000000001</v>
      </c>
      <c r="W971">
        <v>47.639</v>
      </c>
      <c r="X971">
        <v>76.221</v>
      </c>
      <c r="Y971">
        <v>17.193</v>
      </c>
      <c r="Z971">
        <v>43.649</v>
      </c>
      <c r="AA971">
        <v>251.608</v>
      </c>
      <c r="AB971">
        <v>1.08667</v>
      </c>
      <c r="AC971">
        <v>272</v>
      </c>
      <c r="AD971">
        <v>0</v>
      </c>
      <c r="AG971">
        <v>80</v>
      </c>
      <c r="AH971">
        <v>44</v>
      </c>
      <c r="AI971">
        <v>84</v>
      </c>
      <c r="AJ971">
        <v>15</v>
      </c>
      <c r="AK971">
        <v>49</v>
      </c>
    </row>
    <row r="972" spans="1:37">
      <c r="A972" t="s">
        <v>1363</v>
      </c>
      <c r="B972" t="s">
        <v>1752</v>
      </c>
      <c r="C972">
        <v>31.5</v>
      </c>
      <c r="D972" t="s">
        <v>82</v>
      </c>
      <c r="E972">
        <v>1</v>
      </c>
      <c r="F972">
        <v>0</v>
      </c>
      <c r="G972">
        <v>0</v>
      </c>
      <c r="I972">
        <v>1.18114</v>
      </c>
      <c r="J972">
        <v>1.01316</v>
      </c>
      <c r="K972">
        <v>0.94874</v>
      </c>
      <c r="L972">
        <v>0.97927</v>
      </c>
      <c r="M972">
        <v>1.12534</v>
      </c>
      <c r="N972">
        <v>0.96767</v>
      </c>
      <c r="O972">
        <v>1</v>
      </c>
      <c r="P972">
        <v>1.04723</v>
      </c>
      <c r="Q972">
        <v>1</v>
      </c>
      <c r="R972">
        <v>1</v>
      </c>
      <c r="S972">
        <v>1.06711</v>
      </c>
      <c r="T972">
        <v>0.95867</v>
      </c>
      <c r="U972">
        <v>1</v>
      </c>
      <c r="V972">
        <v>63.501</v>
      </c>
      <c r="W972">
        <v>37.007</v>
      </c>
      <c r="X972">
        <v>117.514</v>
      </c>
      <c r="Y972">
        <v>29.755</v>
      </c>
      <c r="Z972">
        <v>49.412</v>
      </c>
      <c r="AA972">
        <v>297.189</v>
      </c>
      <c r="AB972">
        <v>1.04179</v>
      </c>
      <c r="AC972">
        <v>311</v>
      </c>
      <c r="AD972">
        <v>0</v>
      </c>
      <c r="AG972">
        <v>68</v>
      </c>
      <c r="AH972">
        <v>40</v>
      </c>
      <c r="AI972">
        <v>128</v>
      </c>
      <c r="AJ972">
        <v>33</v>
      </c>
      <c r="AK972">
        <v>42</v>
      </c>
    </row>
    <row r="973" spans="1:37">
      <c r="A973" t="s">
        <v>1364</v>
      </c>
      <c r="B973" t="s">
        <v>1753</v>
      </c>
      <c r="C973">
        <v>32.5</v>
      </c>
      <c r="D973" t="s">
        <v>82</v>
      </c>
      <c r="E973">
        <v>2</v>
      </c>
      <c r="F973">
        <v>0</v>
      </c>
      <c r="G973">
        <v>0</v>
      </c>
      <c r="I973">
        <v>1.18133</v>
      </c>
      <c r="J973">
        <v>1.01552</v>
      </c>
      <c r="K973">
        <v>0.94874</v>
      </c>
      <c r="L973">
        <v>0.98073</v>
      </c>
      <c r="M973">
        <v>0.91023</v>
      </c>
      <c r="N973">
        <v>0.95427</v>
      </c>
      <c r="O973">
        <v>1</v>
      </c>
      <c r="P973">
        <v>1.03719</v>
      </c>
      <c r="Q973">
        <v>1</v>
      </c>
      <c r="R973">
        <v>1</v>
      </c>
      <c r="S973">
        <v>1.01026</v>
      </c>
      <c r="T973">
        <v>0.96152</v>
      </c>
      <c r="U973">
        <v>1</v>
      </c>
      <c r="V973">
        <v>14.644</v>
      </c>
      <c r="W973">
        <v>15.047</v>
      </c>
      <c r="X973">
        <v>101.387</v>
      </c>
      <c r="Y973">
        <v>45.007</v>
      </c>
      <c r="Z973">
        <v>49.868</v>
      </c>
      <c r="AA973">
        <v>225.952</v>
      </c>
      <c r="AB973">
        <v>1.0226</v>
      </c>
      <c r="AC973">
        <v>220</v>
      </c>
      <c r="AD973">
        <v>0</v>
      </c>
      <c r="AG973">
        <v>14</v>
      </c>
      <c r="AH973">
        <v>19</v>
      </c>
      <c r="AI973">
        <v>107</v>
      </c>
      <c r="AJ973">
        <v>35</v>
      </c>
      <c r="AK973">
        <v>45</v>
      </c>
    </row>
    <row r="974" spans="1:37">
      <c r="A974" t="s">
        <v>1365</v>
      </c>
      <c r="B974" t="s">
        <v>1754</v>
      </c>
      <c r="C974">
        <v>35.2</v>
      </c>
      <c r="D974" t="s">
        <v>82</v>
      </c>
      <c r="E974">
        <v>3</v>
      </c>
      <c r="F974">
        <v>0</v>
      </c>
      <c r="G974">
        <v>0</v>
      </c>
      <c r="I974">
        <v>1.18151</v>
      </c>
      <c r="J974">
        <v>1.01613</v>
      </c>
      <c r="K974">
        <v>0.94874</v>
      </c>
      <c r="L974">
        <v>0.98223</v>
      </c>
      <c r="M974">
        <v>0.84689</v>
      </c>
      <c r="N974">
        <v>0.9448299999999999</v>
      </c>
      <c r="O974">
        <v>1</v>
      </c>
      <c r="P974">
        <v>1.02369</v>
      </c>
      <c r="Q974">
        <v>1</v>
      </c>
      <c r="R974">
        <v>1</v>
      </c>
      <c r="S974">
        <v>1.01767</v>
      </c>
      <c r="T974">
        <v>0.96129</v>
      </c>
      <c r="U974">
        <v>1</v>
      </c>
      <c r="V974">
        <v>19.966</v>
      </c>
      <c r="W974">
        <v>23.545</v>
      </c>
      <c r="X974">
        <v>81.92700000000001</v>
      </c>
      <c r="Y974">
        <v>36.49</v>
      </c>
      <c r="Z974">
        <v>44.925</v>
      </c>
      <c r="AA974">
        <v>206.853</v>
      </c>
      <c r="AB974">
        <v>0.89386</v>
      </c>
      <c r="AC974">
        <v>201</v>
      </c>
      <c r="AD974">
        <v>0</v>
      </c>
      <c r="AG974">
        <v>18</v>
      </c>
      <c r="AH974">
        <v>34</v>
      </c>
      <c r="AI974">
        <v>73</v>
      </c>
      <c r="AJ974">
        <v>38</v>
      </c>
      <c r="AK974">
        <v>38</v>
      </c>
    </row>
    <row r="975" spans="1:37">
      <c r="A975" t="s">
        <v>504</v>
      </c>
      <c r="B975" t="s">
        <v>1751</v>
      </c>
      <c r="C975">
        <v>34</v>
      </c>
      <c r="D975" t="s">
        <v>82</v>
      </c>
      <c r="E975">
        <v>4</v>
      </c>
      <c r="F975">
        <v>0</v>
      </c>
      <c r="G975">
        <v>0</v>
      </c>
      <c r="I975">
        <v>1.1817</v>
      </c>
      <c r="J975">
        <v>1.02234</v>
      </c>
      <c r="K975">
        <v>0.94874</v>
      </c>
      <c r="L975">
        <v>0.98376</v>
      </c>
      <c r="M975">
        <v>0.90755</v>
      </c>
      <c r="N975">
        <v>0.97201</v>
      </c>
      <c r="O975">
        <v>1</v>
      </c>
      <c r="P975">
        <v>1.0124</v>
      </c>
      <c r="Q975">
        <v>1</v>
      </c>
      <c r="R975">
        <v>1</v>
      </c>
      <c r="S975">
        <v>1.10316</v>
      </c>
      <c r="T975">
        <v>0.9583199999999999</v>
      </c>
      <c r="U975">
        <v>1</v>
      </c>
      <c r="V975">
        <v>72.22799999999999</v>
      </c>
      <c r="W975">
        <v>49.488</v>
      </c>
      <c r="X975">
        <v>63.261</v>
      </c>
      <c r="Y975">
        <v>14.223</v>
      </c>
      <c r="Z975">
        <v>39.325</v>
      </c>
      <c r="AA975">
        <v>238.526</v>
      </c>
      <c r="AB975">
        <v>0.99077</v>
      </c>
      <c r="AC975">
        <v>218</v>
      </c>
      <c r="AD975">
        <v>0</v>
      </c>
      <c r="AG975">
        <v>72</v>
      </c>
      <c r="AH975">
        <v>35</v>
      </c>
      <c r="AI975">
        <v>62</v>
      </c>
      <c r="AJ975">
        <v>17</v>
      </c>
      <c r="AK975">
        <v>32</v>
      </c>
    </row>
    <row r="976" spans="1:37">
      <c r="A976" t="s">
        <v>1366</v>
      </c>
      <c r="B976" t="s">
        <v>1751</v>
      </c>
      <c r="C976">
        <v>35.4</v>
      </c>
      <c r="D976" t="s">
        <v>82</v>
      </c>
      <c r="E976">
        <v>5</v>
      </c>
      <c r="F976">
        <v>0</v>
      </c>
      <c r="G976">
        <v>0</v>
      </c>
      <c r="I976">
        <v>1.18189</v>
      </c>
      <c r="J976">
        <v>1.01949</v>
      </c>
      <c r="K976">
        <v>0.9725</v>
      </c>
      <c r="L976">
        <v>0.98531</v>
      </c>
      <c r="M976">
        <v>0.88339</v>
      </c>
      <c r="N976">
        <v>0.97002</v>
      </c>
      <c r="O976">
        <v>1</v>
      </c>
      <c r="P976">
        <v>1.00831</v>
      </c>
      <c r="Q976">
        <v>1</v>
      </c>
      <c r="R976">
        <v>1</v>
      </c>
      <c r="S976">
        <v>1.03126</v>
      </c>
      <c r="T976">
        <v>0.95851</v>
      </c>
      <c r="U976">
        <v>1</v>
      </c>
      <c r="V976">
        <v>68.55500000000001</v>
      </c>
      <c r="W976">
        <v>43.853</v>
      </c>
      <c r="X976">
        <v>58</v>
      </c>
      <c r="Y976">
        <v>12.792</v>
      </c>
      <c r="Z976">
        <v>37.474</v>
      </c>
      <c r="AA976">
        <v>220.673</v>
      </c>
      <c r="AB976">
        <v>1.04893</v>
      </c>
      <c r="AC976">
        <v>213</v>
      </c>
      <c r="AD976">
        <v>0</v>
      </c>
      <c r="AG976">
        <v>67</v>
      </c>
      <c r="AH976">
        <v>34</v>
      </c>
      <c r="AI976">
        <v>66</v>
      </c>
      <c r="AJ976">
        <v>12</v>
      </c>
      <c r="AK976">
        <v>34</v>
      </c>
    </row>
    <row r="977" spans="1:37">
      <c r="A977" t="s">
        <v>1367</v>
      </c>
      <c r="B977" t="s">
        <v>1751</v>
      </c>
      <c r="C977">
        <v>35.3</v>
      </c>
      <c r="D977" t="s">
        <v>82</v>
      </c>
      <c r="E977">
        <v>6</v>
      </c>
      <c r="F977">
        <v>0</v>
      </c>
      <c r="G977">
        <v>0</v>
      </c>
      <c r="I977">
        <v>1.18207</v>
      </c>
      <c r="J977">
        <v>1.01995</v>
      </c>
      <c r="K977">
        <v>0.9725</v>
      </c>
      <c r="L977">
        <v>0.98685</v>
      </c>
      <c r="M977">
        <v>0.9059</v>
      </c>
      <c r="N977">
        <v>0.96921</v>
      </c>
      <c r="O977">
        <v>1</v>
      </c>
      <c r="P977">
        <v>1.00563</v>
      </c>
      <c r="Q977">
        <v>1</v>
      </c>
      <c r="R977">
        <v>1</v>
      </c>
      <c r="S977">
        <v>1.03045</v>
      </c>
      <c r="T977">
        <v>0.95848</v>
      </c>
      <c r="U977">
        <v>1</v>
      </c>
      <c r="V977">
        <v>68.69799999999999</v>
      </c>
      <c r="W977">
        <v>43.861</v>
      </c>
      <c r="X977">
        <v>61.666</v>
      </c>
      <c r="Y977">
        <v>13.967</v>
      </c>
      <c r="Z977">
        <v>38.19</v>
      </c>
      <c r="AA977">
        <v>226.381</v>
      </c>
      <c r="AB977">
        <v>0.97012</v>
      </c>
      <c r="AC977">
        <v>202</v>
      </c>
      <c r="AD977">
        <v>0</v>
      </c>
      <c r="AG977">
        <v>58</v>
      </c>
      <c r="AH977">
        <v>43</v>
      </c>
      <c r="AI977">
        <v>50</v>
      </c>
      <c r="AJ977">
        <v>13</v>
      </c>
      <c r="AK977">
        <v>38</v>
      </c>
    </row>
    <row r="978" spans="1:37">
      <c r="A978" t="s">
        <v>1368</v>
      </c>
      <c r="B978" t="s">
        <v>1751</v>
      </c>
      <c r="C978">
        <v>33.8</v>
      </c>
      <c r="D978" t="s">
        <v>82</v>
      </c>
      <c r="E978">
        <v>7</v>
      </c>
      <c r="F978">
        <v>0</v>
      </c>
      <c r="G978">
        <v>0</v>
      </c>
      <c r="I978">
        <v>1.18226</v>
      </c>
      <c r="J978">
        <v>1.02782</v>
      </c>
      <c r="K978">
        <v>0.9725</v>
      </c>
      <c r="L978">
        <v>0.98838</v>
      </c>
      <c r="M978">
        <v>0.93794</v>
      </c>
      <c r="N978">
        <v>0.9704700000000001</v>
      </c>
      <c r="O978">
        <v>1</v>
      </c>
      <c r="P978">
        <v>1.00389</v>
      </c>
      <c r="Q978">
        <v>1</v>
      </c>
      <c r="R978">
        <v>1</v>
      </c>
      <c r="S978">
        <v>1.02774</v>
      </c>
      <c r="T978">
        <v>0.95848</v>
      </c>
      <c r="U978">
        <v>1</v>
      </c>
      <c r="V978">
        <v>67.97</v>
      </c>
      <c r="W978">
        <v>42.004</v>
      </c>
      <c r="X978">
        <v>70.95099999999999</v>
      </c>
      <c r="Y978">
        <v>16.668</v>
      </c>
      <c r="Z978">
        <v>39.784</v>
      </c>
      <c r="AA978">
        <v>237.378</v>
      </c>
      <c r="AB978">
        <v>1.07214</v>
      </c>
      <c r="AC978">
        <v>249</v>
      </c>
      <c r="AD978">
        <v>0</v>
      </c>
      <c r="AG978">
        <v>73</v>
      </c>
      <c r="AH978">
        <v>47</v>
      </c>
      <c r="AI978">
        <v>71</v>
      </c>
      <c r="AJ978">
        <v>20</v>
      </c>
      <c r="AK978">
        <v>38</v>
      </c>
    </row>
    <row r="979" spans="1:37">
      <c r="A979" t="s">
        <v>1369</v>
      </c>
      <c r="B979" t="s">
        <v>1752</v>
      </c>
      <c r="C979">
        <v>32.9</v>
      </c>
      <c r="D979" t="s">
        <v>82</v>
      </c>
      <c r="E979">
        <v>8</v>
      </c>
      <c r="F979">
        <v>0</v>
      </c>
      <c r="G979">
        <v>0</v>
      </c>
      <c r="I979">
        <v>1.18244</v>
      </c>
      <c r="J979">
        <v>1.02816</v>
      </c>
      <c r="K979">
        <v>0.9725</v>
      </c>
      <c r="L979">
        <v>0.98986</v>
      </c>
      <c r="M979">
        <v>1.1206</v>
      </c>
      <c r="N979">
        <v>0.96411</v>
      </c>
      <c r="O979">
        <v>1</v>
      </c>
      <c r="P979">
        <v>1.00286</v>
      </c>
      <c r="Q979">
        <v>1</v>
      </c>
      <c r="R979">
        <v>1</v>
      </c>
      <c r="S979">
        <v>1.01931</v>
      </c>
      <c r="T979">
        <v>0.95849</v>
      </c>
      <c r="U979">
        <v>1</v>
      </c>
      <c r="V979">
        <v>63.958</v>
      </c>
      <c r="W979">
        <v>35.411</v>
      </c>
      <c r="X979">
        <v>110.181</v>
      </c>
      <c r="Y979">
        <v>28.937</v>
      </c>
      <c r="Z979">
        <v>46.64</v>
      </c>
      <c r="AA979">
        <v>285.125</v>
      </c>
      <c r="AB979">
        <v>1.02981</v>
      </c>
      <c r="AC979">
        <v>308</v>
      </c>
      <c r="AD979">
        <v>0</v>
      </c>
      <c r="AF979" t="s">
        <v>1766</v>
      </c>
      <c r="AG979">
        <v>75</v>
      </c>
      <c r="AH979">
        <v>34</v>
      </c>
      <c r="AI979">
        <v>116</v>
      </c>
      <c r="AJ979">
        <v>30</v>
      </c>
      <c r="AK979">
        <v>53</v>
      </c>
    </row>
    <row r="980" spans="1:37">
      <c r="A980" t="s">
        <v>1370</v>
      </c>
      <c r="B980" t="s">
        <v>1753</v>
      </c>
      <c r="C980">
        <v>35.3</v>
      </c>
      <c r="D980" t="s">
        <v>82</v>
      </c>
      <c r="E980">
        <v>9</v>
      </c>
      <c r="F980">
        <v>0</v>
      </c>
      <c r="G980">
        <v>0</v>
      </c>
      <c r="I980">
        <v>1.18263</v>
      </c>
      <c r="J980">
        <v>1.01836</v>
      </c>
      <c r="K980">
        <v>0.9725</v>
      </c>
      <c r="L980">
        <v>0.9913</v>
      </c>
      <c r="M980">
        <v>0.86443</v>
      </c>
      <c r="N980">
        <v>0.94208</v>
      </c>
      <c r="O980">
        <v>1</v>
      </c>
      <c r="P980">
        <v>1.00224</v>
      </c>
      <c r="Q980">
        <v>1</v>
      </c>
      <c r="R980">
        <v>1</v>
      </c>
      <c r="S980">
        <v>1.01059</v>
      </c>
      <c r="T980">
        <v>1.02904</v>
      </c>
      <c r="U980">
        <v>1</v>
      </c>
      <c r="V980">
        <v>18.974</v>
      </c>
      <c r="W980">
        <v>16.516</v>
      </c>
      <c r="X980">
        <v>105.396</v>
      </c>
      <c r="Y980">
        <v>47.658</v>
      </c>
      <c r="Z980">
        <v>51.771</v>
      </c>
      <c r="AA980">
        <v>240.316</v>
      </c>
      <c r="AB980">
        <v>1.03761</v>
      </c>
      <c r="AC980">
        <v>242</v>
      </c>
      <c r="AD980">
        <v>0</v>
      </c>
      <c r="AG980">
        <v>25</v>
      </c>
      <c r="AH980">
        <v>24</v>
      </c>
      <c r="AI980">
        <v>97</v>
      </c>
      <c r="AJ980">
        <v>47</v>
      </c>
      <c r="AK980">
        <v>49</v>
      </c>
    </row>
    <row r="981" spans="1:37">
      <c r="A981" t="s">
        <v>1371</v>
      </c>
      <c r="B981" t="s">
        <v>1754</v>
      </c>
      <c r="C981">
        <v>34</v>
      </c>
      <c r="D981" t="s">
        <v>82</v>
      </c>
      <c r="E981">
        <v>10</v>
      </c>
      <c r="F981">
        <v>0</v>
      </c>
      <c r="G981">
        <v>0</v>
      </c>
      <c r="I981">
        <v>1.18281</v>
      </c>
      <c r="J981">
        <v>1.02167</v>
      </c>
      <c r="K981">
        <v>0.9725</v>
      </c>
      <c r="L981">
        <v>0.9926700000000001</v>
      </c>
      <c r="M981">
        <v>0.81942</v>
      </c>
      <c r="N981">
        <v>0.95453</v>
      </c>
      <c r="O981">
        <v>1</v>
      </c>
      <c r="P981">
        <v>1.00142</v>
      </c>
      <c r="Q981">
        <v>1</v>
      </c>
      <c r="R981">
        <v>1</v>
      </c>
      <c r="S981">
        <v>1.01761</v>
      </c>
      <c r="T981">
        <v>1.03444</v>
      </c>
      <c r="U981">
        <v>1</v>
      </c>
      <c r="V981">
        <v>26.009</v>
      </c>
      <c r="W981">
        <v>26.068</v>
      </c>
      <c r="X981">
        <v>91.846</v>
      </c>
      <c r="Y981">
        <v>40.832</v>
      </c>
      <c r="Z981">
        <v>45.004</v>
      </c>
      <c r="AA981">
        <v>229.758</v>
      </c>
      <c r="AB981">
        <v>1.04006</v>
      </c>
      <c r="AC981">
        <v>209</v>
      </c>
      <c r="AD981">
        <v>0</v>
      </c>
      <c r="AG981">
        <v>21</v>
      </c>
      <c r="AH981">
        <v>21</v>
      </c>
      <c r="AI981">
        <v>104</v>
      </c>
      <c r="AJ981">
        <v>28</v>
      </c>
      <c r="AK981">
        <v>35</v>
      </c>
    </row>
    <row r="982" spans="1:37">
      <c r="A982" t="s">
        <v>505</v>
      </c>
      <c r="B982" t="s">
        <v>1751</v>
      </c>
      <c r="C982">
        <v>32.4</v>
      </c>
      <c r="D982" t="s">
        <v>82</v>
      </c>
      <c r="E982">
        <v>11</v>
      </c>
      <c r="F982">
        <v>0</v>
      </c>
      <c r="G982">
        <v>0</v>
      </c>
      <c r="I982">
        <v>1.183</v>
      </c>
      <c r="J982">
        <v>1.01711</v>
      </c>
      <c r="K982">
        <v>0.9725</v>
      </c>
      <c r="L982">
        <v>0.99396</v>
      </c>
      <c r="M982">
        <v>0.90956</v>
      </c>
      <c r="N982">
        <v>0.98073</v>
      </c>
      <c r="O982">
        <v>1</v>
      </c>
      <c r="P982">
        <v>1.00073</v>
      </c>
      <c r="Q982">
        <v>1</v>
      </c>
      <c r="R982">
        <v>1</v>
      </c>
      <c r="S982">
        <v>1</v>
      </c>
      <c r="T982">
        <v>1.07305</v>
      </c>
      <c r="U982">
        <v>1</v>
      </c>
      <c r="V982">
        <v>90.79600000000001</v>
      </c>
      <c r="W982">
        <v>40.034</v>
      </c>
      <c r="X982">
        <v>67.241</v>
      </c>
      <c r="Y982">
        <v>15.581</v>
      </c>
      <c r="Z982">
        <v>35.951</v>
      </c>
      <c r="AA982">
        <v>249.603</v>
      </c>
      <c r="AB982">
        <v>1.01981</v>
      </c>
      <c r="AC982">
        <v>267</v>
      </c>
      <c r="AD982">
        <v>0</v>
      </c>
      <c r="AG982">
        <v>103</v>
      </c>
      <c r="AH982">
        <v>48</v>
      </c>
      <c r="AI982">
        <v>64</v>
      </c>
      <c r="AJ982">
        <v>14</v>
      </c>
      <c r="AK982">
        <v>38</v>
      </c>
    </row>
    <row r="983" spans="1:37">
      <c r="A983" t="s">
        <v>1372</v>
      </c>
      <c r="B983" t="s">
        <v>1751</v>
      </c>
      <c r="C983">
        <v>33.5</v>
      </c>
      <c r="D983" t="s">
        <v>82</v>
      </c>
      <c r="E983">
        <v>12</v>
      </c>
      <c r="F983">
        <v>0</v>
      </c>
      <c r="G983">
        <v>0</v>
      </c>
      <c r="I983">
        <v>1.18318</v>
      </c>
      <c r="J983">
        <v>1.00817</v>
      </c>
      <c r="K983">
        <v>0.9725</v>
      </c>
      <c r="L983">
        <v>0.99515</v>
      </c>
      <c r="M983">
        <v>0.88409</v>
      </c>
      <c r="N983">
        <v>0.97728</v>
      </c>
      <c r="O983">
        <v>1</v>
      </c>
      <c r="P983">
        <v>1.00049</v>
      </c>
      <c r="Q983">
        <v>1</v>
      </c>
      <c r="R983">
        <v>1</v>
      </c>
      <c r="S983">
        <v>1</v>
      </c>
      <c r="T983">
        <v>1.07208</v>
      </c>
      <c r="U983">
        <v>1</v>
      </c>
      <c r="V983">
        <v>85.864</v>
      </c>
      <c r="W983">
        <v>39.729</v>
      </c>
      <c r="X983">
        <v>63.778</v>
      </c>
      <c r="Y983">
        <v>13.982</v>
      </c>
      <c r="Z983">
        <v>36.175</v>
      </c>
      <c r="AA983">
        <v>239.528</v>
      </c>
      <c r="AB983">
        <v>0.93043</v>
      </c>
      <c r="AC983">
        <v>244</v>
      </c>
      <c r="AD983">
        <v>0</v>
      </c>
      <c r="AG983">
        <v>103</v>
      </c>
      <c r="AH983">
        <v>32</v>
      </c>
      <c r="AI983">
        <v>48</v>
      </c>
      <c r="AJ983">
        <v>17</v>
      </c>
      <c r="AK983">
        <v>44</v>
      </c>
    </row>
    <row r="984" spans="1:37">
      <c r="A984" t="s">
        <v>1373</v>
      </c>
      <c r="B984" t="s">
        <v>1751</v>
      </c>
      <c r="C984">
        <v>31.6</v>
      </c>
      <c r="D984" t="s">
        <v>82</v>
      </c>
      <c r="E984">
        <v>13</v>
      </c>
      <c r="F984">
        <v>0</v>
      </c>
      <c r="G984">
        <v>0</v>
      </c>
      <c r="I984">
        <v>1.18337</v>
      </c>
      <c r="J984">
        <v>0.99948</v>
      </c>
      <c r="K984">
        <v>0.9725</v>
      </c>
      <c r="L984">
        <v>0.9962299999999999</v>
      </c>
      <c r="M984">
        <v>0.905</v>
      </c>
      <c r="N984">
        <v>0.98487</v>
      </c>
      <c r="O984">
        <v>1</v>
      </c>
      <c r="P984">
        <v>1.00034</v>
      </c>
      <c r="Q984">
        <v>1</v>
      </c>
      <c r="R984">
        <v>1</v>
      </c>
      <c r="S984">
        <v>1</v>
      </c>
      <c r="T984">
        <v>1.07041</v>
      </c>
      <c r="U984">
        <v>1</v>
      </c>
      <c r="V984">
        <v>85.26300000000001</v>
      </c>
      <c r="W984">
        <v>39.43</v>
      </c>
      <c r="X984">
        <v>69.91800000000001</v>
      </c>
      <c r="Y984">
        <v>15.552</v>
      </c>
      <c r="Z984">
        <v>35.813</v>
      </c>
      <c r="AA984">
        <v>245.977</v>
      </c>
      <c r="AB984">
        <v>0.96527</v>
      </c>
      <c r="AC984">
        <v>244</v>
      </c>
      <c r="AD984">
        <v>1</v>
      </c>
      <c r="AG984">
        <v>84</v>
      </c>
      <c r="AH984">
        <v>42</v>
      </c>
      <c r="AI984">
        <v>65</v>
      </c>
      <c r="AJ984">
        <v>16</v>
      </c>
      <c r="AK984">
        <v>37</v>
      </c>
    </row>
    <row r="985" spans="1:37">
      <c r="A985" t="s">
        <v>1374</v>
      </c>
      <c r="B985" t="s">
        <v>1751</v>
      </c>
      <c r="C985">
        <v>32.7</v>
      </c>
      <c r="D985" t="s">
        <v>82</v>
      </c>
      <c r="E985">
        <v>14</v>
      </c>
      <c r="F985">
        <v>0</v>
      </c>
      <c r="G985">
        <v>0</v>
      </c>
      <c r="I985">
        <v>1.18356</v>
      </c>
      <c r="J985">
        <v>0.99393</v>
      </c>
      <c r="K985">
        <v>0.9725</v>
      </c>
      <c r="L985">
        <v>0.9972</v>
      </c>
      <c r="M985">
        <v>0.9387799999999999</v>
      </c>
      <c r="N985">
        <v>0.9773500000000001</v>
      </c>
      <c r="O985">
        <v>1</v>
      </c>
      <c r="P985">
        <v>1.00023</v>
      </c>
      <c r="Q985">
        <v>1</v>
      </c>
      <c r="R985">
        <v>1</v>
      </c>
      <c r="S985">
        <v>1</v>
      </c>
      <c r="T985">
        <v>1.06767</v>
      </c>
      <c r="U985">
        <v>1</v>
      </c>
      <c r="V985">
        <v>83.21599999999999</v>
      </c>
      <c r="W985">
        <v>37.29</v>
      </c>
      <c r="X985">
        <v>76.011</v>
      </c>
      <c r="Y985">
        <v>17.782</v>
      </c>
      <c r="Z985">
        <v>38.123</v>
      </c>
      <c r="AA985">
        <v>252.422</v>
      </c>
      <c r="AB985">
        <v>1.03306</v>
      </c>
      <c r="AC985">
        <v>259</v>
      </c>
      <c r="AD985">
        <v>0</v>
      </c>
      <c r="AG985">
        <v>94</v>
      </c>
      <c r="AH985">
        <v>36</v>
      </c>
      <c r="AI985">
        <v>76</v>
      </c>
      <c r="AJ985">
        <v>12</v>
      </c>
      <c r="AK985">
        <v>41</v>
      </c>
    </row>
    <row r="986" spans="1:37">
      <c r="A986" t="s">
        <v>1375</v>
      </c>
      <c r="B986" t="s">
        <v>1752</v>
      </c>
      <c r="C986">
        <v>32.6</v>
      </c>
      <c r="D986" t="s">
        <v>82</v>
      </c>
      <c r="E986">
        <v>15</v>
      </c>
      <c r="F986">
        <v>0</v>
      </c>
      <c r="G986">
        <v>0</v>
      </c>
      <c r="I986">
        <v>1.18374</v>
      </c>
      <c r="J986">
        <v>0.99052</v>
      </c>
      <c r="K986">
        <v>0.9725</v>
      </c>
      <c r="L986">
        <v>0.99803</v>
      </c>
      <c r="M986">
        <v>1.12023</v>
      </c>
      <c r="N986">
        <v>0.9684700000000001</v>
      </c>
      <c r="O986">
        <v>1</v>
      </c>
      <c r="P986">
        <v>0.9973</v>
      </c>
      <c r="Q986">
        <v>1</v>
      </c>
      <c r="R986">
        <v>1</v>
      </c>
      <c r="S986">
        <v>1</v>
      </c>
      <c r="T986">
        <v>1.05713</v>
      </c>
      <c r="U986">
        <v>1</v>
      </c>
      <c r="V986">
        <v>77.866</v>
      </c>
      <c r="W986">
        <v>31.265</v>
      </c>
      <c r="X986">
        <v>115.563</v>
      </c>
      <c r="Y986">
        <v>30.351</v>
      </c>
      <c r="Z986">
        <v>44.855</v>
      </c>
      <c r="AA986">
        <v>299.9</v>
      </c>
      <c r="AB986">
        <v>0.94812</v>
      </c>
      <c r="AC986">
        <v>274</v>
      </c>
      <c r="AD986">
        <v>0</v>
      </c>
      <c r="AG986">
        <v>70</v>
      </c>
      <c r="AH986">
        <v>23</v>
      </c>
      <c r="AI986">
        <v>109</v>
      </c>
      <c r="AJ986">
        <v>24</v>
      </c>
      <c r="AK986">
        <v>48</v>
      </c>
    </row>
    <row r="987" spans="1:37">
      <c r="A987" t="s">
        <v>1376</v>
      </c>
      <c r="B987" t="s">
        <v>1753</v>
      </c>
      <c r="C987">
        <v>33.8</v>
      </c>
      <c r="D987" t="s">
        <v>82</v>
      </c>
      <c r="E987">
        <v>16</v>
      </c>
      <c r="F987">
        <v>0</v>
      </c>
      <c r="G987">
        <v>0</v>
      </c>
      <c r="I987">
        <v>1.18393</v>
      </c>
      <c r="J987">
        <v>0.9839</v>
      </c>
      <c r="K987">
        <v>0.9725</v>
      </c>
      <c r="L987">
        <v>0.99873</v>
      </c>
      <c r="M987">
        <v>0.87984</v>
      </c>
      <c r="N987">
        <v>0.95233</v>
      </c>
      <c r="O987">
        <v>1</v>
      </c>
      <c r="P987">
        <v>0.99327</v>
      </c>
      <c r="Q987">
        <v>1</v>
      </c>
      <c r="R987">
        <v>1</v>
      </c>
      <c r="S987">
        <v>1</v>
      </c>
      <c r="T987">
        <v>1.02923</v>
      </c>
      <c r="U987">
        <v>1</v>
      </c>
      <c r="V987">
        <v>18.496</v>
      </c>
      <c r="W987">
        <v>13.573</v>
      </c>
      <c r="X987">
        <v>104.278</v>
      </c>
      <c r="Y987">
        <v>46.908</v>
      </c>
      <c r="Z987">
        <v>49.028</v>
      </c>
      <c r="AA987">
        <v>232.282</v>
      </c>
      <c r="AB987">
        <v>1.09068</v>
      </c>
      <c r="AC987">
        <v>267</v>
      </c>
      <c r="AD987">
        <v>0</v>
      </c>
      <c r="AG987">
        <v>14</v>
      </c>
      <c r="AH987">
        <v>12</v>
      </c>
      <c r="AI987">
        <v>122</v>
      </c>
      <c r="AJ987">
        <v>60</v>
      </c>
      <c r="AK987">
        <v>59</v>
      </c>
    </row>
    <row r="988" spans="1:37">
      <c r="A988" t="s">
        <v>1377</v>
      </c>
      <c r="B988" t="s">
        <v>1754</v>
      </c>
      <c r="C988">
        <v>34</v>
      </c>
      <c r="D988" t="s">
        <v>82</v>
      </c>
      <c r="E988">
        <v>17</v>
      </c>
      <c r="F988">
        <v>0</v>
      </c>
      <c r="G988">
        <v>0</v>
      </c>
      <c r="I988">
        <v>1.18411</v>
      </c>
      <c r="J988">
        <v>0.99469</v>
      </c>
      <c r="K988">
        <v>0.9725</v>
      </c>
      <c r="L988">
        <v>0.9992799999999999</v>
      </c>
      <c r="M988">
        <v>0.82497</v>
      </c>
      <c r="N988">
        <v>0.95627</v>
      </c>
      <c r="O988">
        <v>1</v>
      </c>
      <c r="P988">
        <v>0.99029</v>
      </c>
      <c r="Q988">
        <v>1</v>
      </c>
      <c r="R988">
        <v>1</v>
      </c>
      <c r="S988">
        <v>1</v>
      </c>
      <c r="T988">
        <v>1.03477</v>
      </c>
      <c r="U988">
        <v>1</v>
      </c>
      <c r="V988">
        <v>25.493</v>
      </c>
      <c r="W988">
        <v>21.536</v>
      </c>
      <c r="X988">
        <v>89.261</v>
      </c>
      <c r="Y988">
        <v>39.74</v>
      </c>
      <c r="Z988">
        <v>43.591</v>
      </c>
      <c r="AA988">
        <v>219.621</v>
      </c>
      <c r="AB988">
        <v>1.03033</v>
      </c>
      <c r="AC988">
        <v>215</v>
      </c>
      <c r="AD988">
        <v>0</v>
      </c>
      <c r="AG988">
        <v>24</v>
      </c>
      <c r="AH988">
        <v>21</v>
      </c>
      <c r="AI988">
        <v>92</v>
      </c>
      <c r="AJ988">
        <v>44</v>
      </c>
      <c r="AK988">
        <v>34</v>
      </c>
    </row>
    <row r="989" spans="1:37">
      <c r="A989" t="s">
        <v>506</v>
      </c>
      <c r="B989" t="s">
        <v>1751</v>
      </c>
      <c r="C989">
        <v>34.3</v>
      </c>
      <c r="D989" t="s">
        <v>82</v>
      </c>
      <c r="E989">
        <v>18</v>
      </c>
      <c r="F989">
        <v>0</v>
      </c>
      <c r="G989">
        <v>0</v>
      </c>
      <c r="I989">
        <v>1.1843</v>
      </c>
      <c r="J989">
        <v>0.99615</v>
      </c>
      <c r="K989">
        <v>0.9725</v>
      </c>
      <c r="L989">
        <v>0.99968</v>
      </c>
      <c r="M989">
        <v>0.91162</v>
      </c>
      <c r="N989">
        <v>0.97599</v>
      </c>
      <c r="O989">
        <v>1</v>
      </c>
      <c r="P989">
        <v>0.9901</v>
      </c>
      <c r="Q989">
        <v>1</v>
      </c>
      <c r="R989">
        <v>1</v>
      </c>
      <c r="S989">
        <v>1</v>
      </c>
      <c r="T989">
        <v>1.07371</v>
      </c>
      <c r="U989">
        <v>1</v>
      </c>
      <c r="V989">
        <v>89.325</v>
      </c>
      <c r="W989">
        <v>39.161</v>
      </c>
      <c r="X989">
        <v>63.256</v>
      </c>
      <c r="Y989">
        <v>14.834</v>
      </c>
      <c r="Z989">
        <v>35.735</v>
      </c>
      <c r="AA989">
        <v>242.312</v>
      </c>
      <c r="AB989">
        <v>0.99612</v>
      </c>
      <c r="AC989">
        <v>233</v>
      </c>
      <c r="AD989">
        <v>1</v>
      </c>
      <c r="AG989">
        <v>85</v>
      </c>
      <c r="AH989">
        <v>47</v>
      </c>
      <c r="AI989">
        <v>56</v>
      </c>
      <c r="AJ989">
        <v>21</v>
      </c>
      <c r="AK989">
        <v>24</v>
      </c>
    </row>
    <row r="990" spans="1:37">
      <c r="A990" t="s">
        <v>1378</v>
      </c>
      <c r="B990" t="s">
        <v>1751</v>
      </c>
      <c r="C990">
        <v>33.3</v>
      </c>
      <c r="D990" t="s">
        <v>82</v>
      </c>
      <c r="E990">
        <v>19</v>
      </c>
      <c r="F990">
        <v>0</v>
      </c>
      <c r="G990">
        <v>0</v>
      </c>
      <c r="I990">
        <v>1.18448</v>
      </c>
      <c r="J990">
        <v>0.99593</v>
      </c>
      <c r="K990">
        <v>0.9725</v>
      </c>
      <c r="L990">
        <v>0.99992</v>
      </c>
      <c r="M990">
        <v>0.8845</v>
      </c>
      <c r="N990">
        <v>0.9797</v>
      </c>
      <c r="O990">
        <v>1</v>
      </c>
      <c r="P990">
        <v>0.98754</v>
      </c>
      <c r="Q990">
        <v>1</v>
      </c>
      <c r="R990">
        <v>1</v>
      </c>
      <c r="S990">
        <v>1</v>
      </c>
      <c r="T990">
        <v>1.07251</v>
      </c>
      <c r="U990">
        <v>1</v>
      </c>
      <c r="V990">
        <v>85.005</v>
      </c>
      <c r="W990">
        <v>39.094</v>
      </c>
      <c r="X990">
        <v>62.52</v>
      </c>
      <c r="Y990">
        <v>13.705</v>
      </c>
      <c r="Z990">
        <v>35.158</v>
      </c>
      <c r="AA990">
        <v>235.482</v>
      </c>
      <c r="AB990">
        <v>0.98948</v>
      </c>
      <c r="AC990">
        <v>256</v>
      </c>
      <c r="AD990">
        <v>1</v>
      </c>
      <c r="AG990">
        <v>95</v>
      </c>
      <c r="AH990">
        <v>46</v>
      </c>
      <c r="AI990">
        <v>70</v>
      </c>
      <c r="AJ990">
        <v>10</v>
      </c>
      <c r="AK990">
        <v>35</v>
      </c>
    </row>
    <row r="991" spans="1:37">
      <c r="A991" t="s">
        <v>1379</v>
      </c>
      <c r="B991" t="s">
        <v>1751</v>
      </c>
      <c r="C991">
        <v>34.6</v>
      </c>
      <c r="D991" t="s">
        <v>82</v>
      </c>
      <c r="E991">
        <v>20</v>
      </c>
      <c r="F991">
        <v>0</v>
      </c>
      <c r="G991">
        <v>0</v>
      </c>
      <c r="I991">
        <v>1.18467</v>
      </c>
      <c r="J991">
        <v>0.9993300000000001</v>
      </c>
      <c r="K991">
        <v>0.9725</v>
      </c>
      <c r="L991">
        <v>1</v>
      </c>
      <c r="M991">
        <v>0.90767</v>
      </c>
      <c r="N991">
        <v>0.97455</v>
      </c>
      <c r="O991">
        <v>1</v>
      </c>
      <c r="P991">
        <v>0.98487</v>
      </c>
      <c r="Q991">
        <v>1</v>
      </c>
      <c r="R991">
        <v>1</v>
      </c>
      <c r="S991">
        <v>1</v>
      </c>
      <c r="T991">
        <v>1.07138</v>
      </c>
      <c r="U991">
        <v>1</v>
      </c>
      <c r="V991">
        <v>85.232</v>
      </c>
      <c r="W991">
        <v>39.162</v>
      </c>
      <c r="X991">
        <v>65.062</v>
      </c>
      <c r="Y991">
        <v>14.743</v>
      </c>
      <c r="Z991">
        <v>36.526</v>
      </c>
      <c r="AA991">
        <v>240.725</v>
      </c>
      <c r="AB991">
        <v>0.9888</v>
      </c>
      <c r="AC991">
        <v>220</v>
      </c>
      <c r="AD991">
        <v>1</v>
      </c>
      <c r="AG991">
        <v>82</v>
      </c>
      <c r="AH991">
        <v>35</v>
      </c>
      <c r="AI991">
        <v>58</v>
      </c>
      <c r="AJ991">
        <v>18</v>
      </c>
      <c r="AK991">
        <v>27</v>
      </c>
    </row>
    <row r="992" spans="1:37">
      <c r="A992" t="s">
        <v>1380</v>
      </c>
      <c r="B992" t="s">
        <v>1751</v>
      </c>
      <c r="C992">
        <v>33.9</v>
      </c>
      <c r="D992" t="s">
        <v>82</v>
      </c>
      <c r="E992">
        <v>21</v>
      </c>
      <c r="F992">
        <v>0</v>
      </c>
      <c r="G992">
        <v>0</v>
      </c>
      <c r="I992">
        <v>1.18485</v>
      </c>
      <c r="J992">
        <v>0.982</v>
      </c>
      <c r="K992">
        <v>0.9725</v>
      </c>
      <c r="L992">
        <v>1.00003</v>
      </c>
      <c r="M992">
        <v>0.93934</v>
      </c>
      <c r="N992">
        <v>0.97375</v>
      </c>
      <c r="O992">
        <v>1</v>
      </c>
      <c r="P992">
        <v>0.9818</v>
      </c>
      <c r="Q992">
        <v>1</v>
      </c>
      <c r="R992">
        <v>1</v>
      </c>
      <c r="S992">
        <v>1</v>
      </c>
      <c r="T992">
        <v>1.06844</v>
      </c>
      <c r="U992">
        <v>1</v>
      </c>
      <c r="V992">
        <v>82.012</v>
      </c>
      <c r="W992">
        <v>36.496</v>
      </c>
      <c r="X992">
        <v>71.958</v>
      </c>
      <c r="Y992">
        <v>16.964</v>
      </c>
      <c r="Z992">
        <v>37.375</v>
      </c>
      <c r="AA992">
        <v>244.804</v>
      </c>
      <c r="AB992">
        <v>1.00691</v>
      </c>
      <c r="AC992">
        <v>264</v>
      </c>
      <c r="AD992">
        <v>0</v>
      </c>
      <c r="AG992">
        <v>104</v>
      </c>
      <c r="AH992">
        <v>37</v>
      </c>
      <c r="AI992">
        <v>69</v>
      </c>
      <c r="AJ992">
        <v>21</v>
      </c>
      <c r="AK992">
        <v>33</v>
      </c>
    </row>
    <row r="993" spans="1:37">
      <c r="A993" t="s">
        <v>1381</v>
      </c>
      <c r="B993" t="s">
        <v>1752</v>
      </c>
      <c r="C993">
        <v>33.5</v>
      </c>
      <c r="D993" t="s">
        <v>82</v>
      </c>
      <c r="E993">
        <v>22</v>
      </c>
      <c r="F993">
        <v>0</v>
      </c>
      <c r="G993">
        <v>0</v>
      </c>
      <c r="I993">
        <v>1.18504</v>
      </c>
      <c r="J993">
        <v>0.9928</v>
      </c>
      <c r="K993">
        <v>0.9725</v>
      </c>
      <c r="L993">
        <v>1.0001</v>
      </c>
      <c r="M993">
        <v>1.1168</v>
      </c>
      <c r="N993">
        <v>0.96413</v>
      </c>
      <c r="O993">
        <v>1</v>
      </c>
      <c r="P993">
        <v>0.97706</v>
      </c>
      <c r="Q993">
        <v>1</v>
      </c>
      <c r="R993">
        <v>1</v>
      </c>
      <c r="S993">
        <v>1</v>
      </c>
      <c r="T993">
        <v>1.05782</v>
      </c>
      <c r="U993">
        <v>1</v>
      </c>
      <c r="V993">
        <v>77.77500000000001</v>
      </c>
      <c r="W993">
        <v>31.02</v>
      </c>
      <c r="X993">
        <v>111.393</v>
      </c>
      <c r="Y993">
        <v>29.433</v>
      </c>
      <c r="Z993">
        <v>44.41</v>
      </c>
      <c r="AA993">
        <v>294.03</v>
      </c>
      <c r="AB993">
        <v>1.15585</v>
      </c>
      <c r="AC993">
        <v>344</v>
      </c>
      <c r="AD993">
        <v>0</v>
      </c>
      <c r="AG993">
        <v>88</v>
      </c>
      <c r="AH993">
        <v>35</v>
      </c>
      <c r="AI993">
        <v>134</v>
      </c>
      <c r="AJ993">
        <v>38</v>
      </c>
      <c r="AK993">
        <v>49</v>
      </c>
    </row>
    <row r="994" spans="1:37">
      <c r="A994" t="s">
        <v>1382</v>
      </c>
      <c r="B994" t="s">
        <v>1753</v>
      </c>
      <c r="C994">
        <v>34.1</v>
      </c>
      <c r="D994" t="s">
        <v>82</v>
      </c>
      <c r="E994">
        <v>23</v>
      </c>
      <c r="F994">
        <v>0</v>
      </c>
      <c r="G994">
        <v>0</v>
      </c>
      <c r="I994">
        <v>1.18522</v>
      </c>
      <c r="J994">
        <v>0.99836</v>
      </c>
      <c r="K994">
        <v>0.9725</v>
      </c>
      <c r="L994">
        <v>1.00023</v>
      </c>
      <c r="M994">
        <v>0.87416</v>
      </c>
      <c r="N994">
        <v>0.95155</v>
      </c>
      <c r="O994">
        <v>1</v>
      </c>
      <c r="P994">
        <v>0.96912</v>
      </c>
      <c r="Q994">
        <v>1</v>
      </c>
      <c r="R994">
        <v>1</v>
      </c>
      <c r="S994">
        <v>1</v>
      </c>
      <c r="T994">
        <v>1.02944</v>
      </c>
      <c r="U994">
        <v>1</v>
      </c>
      <c r="V994">
        <v>18.688</v>
      </c>
      <c r="W994">
        <v>13.625</v>
      </c>
      <c r="X994">
        <v>102.909</v>
      </c>
      <c r="Y994">
        <v>46.39</v>
      </c>
      <c r="Z994">
        <v>48.736</v>
      </c>
      <c r="AA994">
        <v>230.349</v>
      </c>
      <c r="AB994">
        <v>1.02032</v>
      </c>
      <c r="AC994">
        <v>262</v>
      </c>
      <c r="AD994">
        <v>0</v>
      </c>
      <c r="AG994">
        <v>18</v>
      </c>
      <c r="AH994">
        <v>18</v>
      </c>
      <c r="AI994">
        <v>114</v>
      </c>
      <c r="AJ994">
        <v>62</v>
      </c>
      <c r="AK994">
        <v>50</v>
      </c>
    </row>
    <row r="995" spans="1:37">
      <c r="A995" t="s">
        <v>1383</v>
      </c>
      <c r="B995" t="s">
        <v>1754</v>
      </c>
      <c r="C995">
        <v>31.5</v>
      </c>
      <c r="D995" t="s">
        <v>82</v>
      </c>
      <c r="E995">
        <v>24</v>
      </c>
      <c r="F995">
        <v>0</v>
      </c>
      <c r="G995">
        <v>0</v>
      </c>
      <c r="I995">
        <v>1.18541</v>
      </c>
      <c r="J995">
        <v>1.01224</v>
      </c>
      <c r="K995">
        <v>0.9725</v>
      </c>
      <c r="L995">
        <v>1.00042</v>
      </c>
      <c r="M995">
        <v>0.82714</v>
      </c>
      <c r="N995">
        <v>0.97665</v>
      </c>
      <c r="O995">
        <v>1</v>
      </c>
      <c r="P995">
        <v>0.96727</v>
      </c>
      <c r="Q995">
        <v>1</v>
      </c>
      <c r="R995">
        <v>1</v>
      </c>
      <c r="S995">
        <v>1</v>
      </c>
      <c r="T995">
        <v>1.03497</v>
      </c>
      <c r="U995">
        <v>1</v>
      </c>
      <c r="V995">
        <v>25.82</v>
      </c>
      <c r="W995">
        <v>21.674</v>
      </c>
      <c r="X995">
        <v>93.17</v>
      </c>
      <c r="Y995">
        <v>40.862</v>
      </c>
      <c r="Z995">
        <v>41.913</v>
      </c>
      <c r="AA995">
        <v>223.44</v>
      </c>
      <c r="AB995">
        <v>0.98276</v>
      </c>
      <c r="AC995">
        <v>217</v>
      </c>
      <c r="AD995">
        <v>0</v>
      </c>
      <c r="AG995">
        <v>23</v>
      </c>
      <c r="AH995">
        <v>16</v>
      </c>
      <c r="AI995">
        <v>95</v>
      </c>
      <c r="AJ995">
        <v>40</v>
      </c>
      <c r="AK995">
        <v>43</v>
      </c>
    </row>
    <row r="996" spans="1:37">
      <c r="A996" t="s">
        <v>507</v>
      </c>
      <c r="B996" t="s">
        <v>1751</v>
      </c>
      <c r="C996">
        <v>31.6</v>
      </c>
      <c r="D996" t="s">
        <v>82</v>
      </c>
      <c r="E996">
        <v>25</v>
      </c>
      <c r="F996">
        <v>0</v>
      </c>
      <c r="G996">
        <v>0</v>
      </c>
      <c r="I996">
        <v>1.18559</v>
      </c>
      <c r="J996">
        <v>1.02846</v>
      </c>
      <c r="K996">
        <v>0.9725</v>
      </c>
      <c r="L996">
        <v>1.00065</v>
      </c>
      <c r="M996">
        <v>0.90747</v>
      </c>
      <c r="N996">
        <v>0.98676</v>
      </c>
      <c r="O996">
        <v>1</v>
      </c>
      <c r="P996">
        <v>0.97217</v>
      </c>
      <c r="Q996">
        <v>1</v>
      </c>
      <c r="R996">
        <v>1</v>
      </c>
      <c r="S996">
        <v>1.0451</v>
      </c>
      <c r="T996">
        <v>1.07144</v>
      </c>
      <c r="U996">
        <v>1</v>
      </c>
      <c r="V996">
        <v>91.755</v>
      </c>
      <c r="W996">
        <v>43.176</v>
      </c>
      <c r="X996">
        <v>72.48099999999999</v>
      </c>
      <c r="Y996">
        <v>16.421</v>
      </c>
      <c r="Z996">
        <v>36.503</v>
      </c>
      <c r="AA996">
        <v>260.335</v>
      </c>
      <c r="AB996">
        <v>1.051</v>
      </c>
      <c r="AC996">
        <v>252</v>
      </c>
      <c r="AD996">
        <v>0</v>
      </c>
      <c r="AG996">
        <v>92</v>
      </c>
      <c r="AH996">
        <v>36</v>
      </c>
      <c r="AI996">
        <v>64</v>
      </c>
      <c r="AJ996">
        <v>17</v>
      </c>
      <c r="AK996">
        <v>43</v>
      </c>
    </row>
    <row r="997" spans="1:37">
      <c r="A997" t="s">
        <v>1384</v>
      </c>
      <c r="B997" t="s">
        <v>1751</v>
      </c>
      <c r="C997">
        <v>30.8</v>
      </c>
      <c r="D997" t="s">
        <v>82</v>
      </c>
      <c r="E997">
        <v>26</v>
      </c>
      <c r="F997">
        <v>0</v>
      </c>
      <c r="G997">
        <v>0</v>
      </c>
      <c r="I997">
        <v>1.18578</v>
      </c>
      <c r="J997">
        <v>1.03308</v>
      </c>
      <c r="K997">
        <v>0.9725</v>
      </c>
      <c r="L997">
        <v>1.00092</v>
      </c>
      <c r="M997">
        <v>0.87521</v>
      </c>
      <c r="N997">
        <v>0.99016</v>
      </c>
      <c r="O997">
        <v>1</v>
      </c>
      <c r="P997">
        <v>0.96891</v>
      </c>
      <c r="Q997">
        <v>1</v>
      </c>
      <c r="R997">
        <v>1.0388</v>
      </c>
      <c r="S997">
        <v>1.0469</v>
      </c>
      <c r="T997">
        <v>1.0684</v>
      </c>
      <c r="U997">
        <v>1</v>
      </c>
      <c r="V997">
        <v>87.721</v>
      </c>
      <c r="W997">
        <v>43.306</v>
      </c>
      <c r="X997">
        <v>80.80800000000001</v>
      </c>
      <c r="Y997">
        <v>16.49</v>
      </c>
      <c r="Z997">
        <v>36.16</v>
      </c>
      <c r="AA997">
        <v>264.485</v>
      </c>
      <c r="AB997">
        <v>1.05348</v>
      </c>
      <c r="AC997">
        <v>288</v>
      </c>
      <c r="AD997">
        <v>1</v>
      </c>
      <c r="AG997">
        <v>96</v>
      </c>
      <c r="AH997">
        <v>52</v>
      </c>
      <c r="AI997">
        <v>93</v>
      </c>
      <c r="AJ997">
        <v>16</v>
      </c>
      <c r="AK997">
        <v>31</v>
      </c>
    </row>
    <row r="998" spans="1:37">
      <c r="A998" t="s">
        <v>1385</v>
      </c>
      <c r="B998" t="s">
        <v>1755</v>
      </c>
      <c r="C998">
        <v>28.8</v>
      </c>
      <c r="D998" t="s">
        <v>82</v>
      </c>
      <c r="E998">
        <v>27</v>
      </c>
      <c r="F998">
        <v>0</v>
      </c>
      <c r="G998">
        <v>0</v>
      </c>
      <c r="I998">
        <v>1.18597</v>
      </c>
      <c r="J998">
        <v>1.03284</v>
      </c>
      <c r="K998">
        <v>0.9725</v>
      </c>
      <c r="L998">
        <v>1.00124</v>
      </c>
      <c r="M998">
        <v>0.90931</v>
      </c>
      <c r="N998">
        <v>1.00777</v>
      </c>
      <c r="O998">
        <v>1</v>
      </c>
      <c r="P998">
        <v>0.9589</v>
      </c>
      <c r="Q998">
        <v>1</v>
      </c>
      <c r="R998">
        <v>1.15722</v>
      </c>
      <c r="S998">
        <v>1.0632</v>
      </c>
      <c r="T998">
        <v>1.03208</v>
      </c>
      <c r="U998">
        <v>1</v>
      </c>
      <c r="V998">
        <v>26.324</v>
      </c>
      <c r="W998">
        <v>14.295</v>
      </c>
      <c r="X998">
        <v>142.067</v>
      </c>
      <c r="Y998">
        <v>57.593</v>
      </c>
      <c r="Z998">
        <v>47.351</v>
      </c>
      <c r="AA998">
        <v>287.629</v>
      </c>
      <c r="AB998">
        <v>0.8708</v>
      </c>
      <c r="AC998">
        <v>233</v>
      </c>
      <c r="AD998">
        <v>0</v>
      </c>
      <c r="AG998">
        <v>26</v>
      </c>
      <c r="AH998">
        <v>9</v>
      </c>
      <c r="AI998">
        <v>115</v>
      </c>
      <c r="AJ998">
        <v>43</v>
      </c>
      <c r="AK998">
        <v>40</v>
      </c>
    </row>
    <row r="999" spans="1:37">
      <c r="A999" t="s">
        <v>1386</v>
      </c>
      <c r="B999" t="s">
        <v>1751</v>
      </c>
      <c r="C999">
        <v>30.2</v>
      </c>
      <c r="D999" t="s">
        <v>82</v>
      </c>
      <c r="E999">
        <v>28</v>
      </c>
      <c r="F999">
        <v>0</v>
      </c>
      <c r="G999">
        <v>0</v>
      </c>
      <c r="I999">
        <v>1.18615</v>
      </c>
      <c r="J999">
        <v>1.02957</v>
      </c>
      <c r="K999">
        <v>0.9725</v>
      </c>
      <c r="L999">
        <v>1.0016</v>
      </c>
      <c r="M999">
        <v>0.93766</v>
      </c>
      <c r="N999">
        <v>0.99427</v>
      </c>
      <c r="O999">
        <v>1</v>
      </c>
      <c r="P999">
        <v>0.96812</v>
      </c>
      <c r="Q999">
        <v>1</v>
      </c>
      <c r="R999">
        <v>1</v>
      </c>
      <c r="S999">
        <v>1.04787</v>
      </c>
      <c r="T999">
        <v>1.0658</v>
      </c>
      <c r="U999">
        <v>1</v>
      </c>
      <c r="V999">
        <v>85.76600000000001</v>
      </c>
      <c r="W999">
        <v>41.042</v>
      </c>
      <c r="X999">
        <v>86.782</v>
      </c>
      <c r="Y999">
        <v>19.593</v>
      </c>
      <c r="Z999">
        <v>38.572</v>
      </c>
      <c r="AA999">
        <v>271.755</v>
      </c>
      <c r="AB999">
        <v>1.00315</v>
      </c>
      <c r="AC999">
        <v>280</v>
      </c>
      <c r="AD999">
        <v>0</v>
      </c>
      <c r="AG999">
        <v>93</v>
      </c>
      <c r="AH999">
        <v>46</v>
      </c>
      <c r="AI999">
        <v>79</v>
      </c>
      <c r="AJ999">
        <v>23</v>
      </c>
      <c r="AK999">
        <v>39</v>
      </c>
    </row>
    <row r="1000" spans="1:37">
      <c r="A1000" t="s">
        <v>1387</v>
      </c>
      <c r="B1000" t="s">
        <v>1752</v>
      </c>
      <c r="C1000">
        <v>28.7</v>
      </c>
      <c r="D1000" t="s">
        <v>82</v>
      </c>
      <c r="E1000">
        <v>0</v>
      </c>
      <c r="F1000">
        <v>0</v>
      </c>
      <c r="G1000">
        <v>0</v>
      </c>
      <c r="I1000">
        <v>1.18634</v>
      </c>
      <c r="J1000">
        <v>1.04608</v>
      </c>
      <c r="K1000">
        <v>0.9725</v>
      </c>
      <c r="L1000">
        <v>1.002</v>
      </c>
      <c r="M1000">
        <v>1.13621</v>
      </c>
      <c r="N1000">
        <v>1.00694</v>
      </c>
      <c r="O1000">
        <v>1</v>
      </c>
      <c r="P1000">
        <v>1.06976</v>
      </c>
      <c r="Q1000">
        <v>1</v>
      </c>
      <c r="R1000">
        <v>1</v>
      </c>
      <c r="S1000">
        <v>1</v>
      </c>
      <c r="T1000">
        <v>1.05446</v>
      </c>
      <c r="U1000">
        <v>1</v>
      </c>
      <c r="V1000">
        <v>85.214</v>
      </c>
      <c r="W1000">
        <v>34.779</v>
      </c>
      <c r="X1000">
        <v>148.048</v>
      </c>
      <c r="Y1000">
        <v>37.8</v>
      </c>
      <c r="Z1000">
        <v>49.531</v>
      </c>
      <c r="AA1000">
        <v>355.372</v>
      </c>
      <c r="AB1000">
        <v>0.89091</v>
      </c>
      <c r="AC1000">
        <v>311</v>
      </c>
      <c r="AD1000">
        <v>0</v>
      </c>
      <c r="AG1000">
        <v>71</v>
      </c>
      <c r="AH1000">
        <v>25</v>
      </c>
      <c r="AI1000">
        <v>140</v>
      </c>
      <c r="AJ1000">
        <v>37</v>
      </c>
      <c r="AK1000">
        <v>38</v>
      </c>
    </row>
    <row r="1001" spans="1:37">
      <c r="A1001" t="s">
        <v>1388</v>
      </c>
      <c r="B1001" t="s">
        <v>1753</v>
      </c>
      <c r="C1001">
        <v>28</v>
      </c>
      <c r="D1001" t="s">
        <v>82</v>
      </c>
      <c r="E1001">
        <v>1</v>
      </c>
      <c r="F1001">
        <v>0</v>
      </c>
      <c r="G1001">
        <v>0</v>
      </c>
      <c r="I1001">
        <v>1.18652</v>
      </c>
      <c r="J1001">
        <v>1.03622</v>
      </c>
      <c r="K1001">
        <v>0.9725</v>
      </c>
      <c r="L1001">
        <v>1.00243</v>
      </c>
      <c r="M1001">
        <v>0.91651</v>
      </c>
      <c r="N1001">
        <v>1.0203</v>
      </c>
      <c r="O1001">
        <v>1</v>
      </c>
      <c r="P1001">
        <v>1.05556</v>
      </c>
      <c r="Q1001">
        <v>1</v>
      </c>
      <c r="R1001">
        <v>1</v>
      </c>
      <c r="S1001">
        <v>1</v>
      </c>
      <c r="T1001">
        <v>1.02876</v>
      </c>
      <c r="U1001">
        <v>1</v>
      </c>
      <c r="V1001">
        <v>20.022</v>
      </c>
      <c r="W1001">
        <v>14.867</v>
      </c>
      <c r="X1001">
        <v>135.381</v>
      </c>
      <c r="Y1001">
        <v>58.466</v>
      </c>
      <c r="Z1001">
        <v>51.42</v>
      </c>
      <c r="AA1001">
        <v>280.156</v>
      </c>
      <c r="AB1001">
        <v>1.07773</v>
      </c>
      <c r="AC1001">
        <v>306</v>
      </c>
      <c r="AD1001">
        <v>0</v>
      </c>
      <c r="AG1001">
        <v>21</v>
      </c>
      <c r="AH1001">
        <v>16</v>
      </c>
      <c r="AI1001">
        <v>161</v>
      </c>
      <c r="AJ1001">
        <v>55</v>
      </c>
      <c r="AK1001">
        <v>53</v>
      </c>
    </row>
    <row r="1002" spans="1:37">
      <c r="A1002" t="s">
        <v>1389</v>
      </c>
      <c r="B1002" t="s">
        <v>1754</v>
      </c>
      <c r="C1002">
        <v>28.2</v>
      </c>
      <c r="D1002" t="s">
        <v>82</v>
      </c>
      <c r="E1002">
        <v>2</v>
      </c>
      <c r="F1002">
        <v>0</v>
      </c>
      <c r="G1002">
        <v>0</v>
      </c>
      <c r="I1002">
        <v>1.18671</v>
      </c>
      <c r="J1002">
        <v>1.03506</v>
      </c>
      <c r="K1002">
        <v>0.9725</v>
      </c>
      <c r="L1002">
        <v>1.00288</v>
      </c>
      <c r="M1002">
        <v>0.84888</v>
      </c>
      <c r="N1002">
        <v>1.01605</v>
      </c>
      <c r="O1002">
        <v>1</v>
      </c>
      <c r="P1002">
        <v>1.0355</v>
      </c>
      <c r="Q1002">
        <v>1</v>
      </c>
      <c r="R1002">
        <v>1</v>
      </c>
      <c r="S1002">
        <v>1</v>
      </c>
      <c r="T1002">
        <v>1.03396</v>
      </c>
      <c r="U1002">
        <v>1</v>
      </c>
      <c r="V1002">
        <v>27.13</v>
      </c>
      <c r="W1002">
        <v>23.125</v>
      </c>
      <c r="X1002">
        <v>112.515</v>
      </c>
      <c r="Y1002">
        <v>48.109</v>
      </c>
      <c r="Z1002">
        <v>44.499</v>
      </c>
      <c r="AA1002">
        <v>255.378</v>
      </c>
      <c r="AB1002">
        <v>1.09505</v>
      </c>
      <c r="AC1002">
        <v>272</v>
      </c>
      <c r="AD1002">
        <v>0</v>
      </c>
      <c r="AG1002">
        <v>26</v>
      </c>
      <c r="AH1002">
        <v>27</v>
      </c>
      <c r="AI1002">
        <v>113</v>
      </c>
      <c r="AJ1002">
        <v>44</v>
      </c>
      <c r="AK1002">
        <v>62</v>
      </c>
    </row>
    <row r="1003" spans="1:37">
      <c r="A1003" t="s">
        <v>508</v>
      </c>
      <c r="B1003" t="s">
        <v>1751</v>
      </c>
      <c r="C1003">
        <v>30.7</v>
      </c>
      <c r="D1003" t="s">
        <v>82</v>
      </c>
      <c r="E1003">
        <v>3</v>
      </c>
      <c r="F1003">
        <v>0</v>
      </c>
      <c r="G1003">
        <v>0</v>
      </c>
      <c r="I1003">
        <v>1.18689</v>
      </c>
      <c r="J1003">
        <v>1.04332</v>
      </c>
      <c r="K1003">
        <v>0.9725</v>
      </c>
      <c r="L1003">
        <v>1.00336</v>
      </c>
      <c r="M1003">
        <v>0.90666</v>
      </c>
      <c r="N1003">
        <v>0.99251</v>
      </c>
      <c r="O1003">
        <v>1</v>
      </c>
      <c r="P1003">
        <v>1.01811</v>
      </c>
      <c r="Q1003">
        <v>1</v>
      </c>
      <c r="R1003">
        <v>1</v>
      </c>
      <c r="S1003">
        <v>1</v>
      </c>
      <c r="T1003">
        <v>1.07217</v>
      </c>
      <c r="U1003">
        <v>1</v>
      </c>
      <c r="V1003">
        <v>95.39700000000001</v>
      </c>
      <c r="W1003">
        <v>42.131</v>
      </c>
      <c r="X1003">
        <v>74.82599999999999</v>
      </c>
      <c r="Y1003">
        <v>17.159</v>
      </c>
      <c r="Z1003">
        <v>37.482</v>
      </c>
      <c r="AA1003">
        <v>266.996</v>
      </c>
      <c r="AB1003">
        <v>0.9567600000000001</v>
      </c>
      <c r="AC1003">
        <v>259</v>
      </c>
      <c r="AD1003">
        <v>1</v>
      </c>
      <c r="AG1003">
        <v>96</v>
      </c>
      <c r="AH1003">
        <v>42</v>
      </c>
      <c r="AI1003">
        <v>71</v>
      </c>
      <c r="AJ1003">
        <v>14</v>
      </c>
      <c r="AK1003">
        <v>36</v>
      </c>
    </row>
    <row r="1004" spans="1:37">
      <c r="A1004" t="s">
        <v>1390</v>
      </c>
      <c r="B1004" t="s">
        <v>1751</v>
      </c>
      <c r="C1004">
        <v>30.8</v>
      </c>
      <c r="D1004" t="s">
        <v>82</v>
      </c>
      <c r="E1004">
        <v>4</v>
      </c>
      <c r="F1004">
        <v>0</v>
      </c>
      <c r="G1004">
        <v>0</v>
      </c>
      <c r="I1004">
        <v>1.18708</v>
      </c>
      <c r="J1004">
        <v>1.04596</v>
      </c>
      <c r="K1004">
        <v>0.9725</v>
      </c>
      <c r="L1004">
        <v>1.00385</v>
      </c>
      <c r="M1004">
        <v>0.8806</v>
      </c>
      <c r="N1004">
        <v>0.9922</v>
      </c>
      <c r="O1004">
        <v>1</v>
      </c>
      <c r="P1004">
        <v>1.01218</v>
      </c>
      <c r="Q1004">
        <v>1</v>
      </c>
      <c r="R1004">
        <v>1</v>
      </c>
      <c r="S1004">
        <v>1</v>
      </c>
      <c r="T1004">
        <v>1.07125</v>
      </c>
      <c r="U1004">
        <v>1</v>
      </c>
      <c r="V1004">
        <v>90.902</v>
      </c>
      <c r="W1004">
        <v>42.079</v>
      </c>
      <c r="X1004">
        <v>72.41800000000001</v>
      </c>
      <c r="Y1004">
        <v>15.616</v>
      </c>
      <c r="Z1004">
        <v>37.323</v>
      </c>
      <c r="AA1004">
        <v>258.338</v>
      </c>
      <c r="AB1004">
        <v>0.93848</v>
      </c>
      <c r="AC1004">
        <v>269</v>
      </c>
      <c r="AD1004">
        <v>0</v>
      </c>
      <c r="AG1004">
        <v>106</v>
      </c>
      <c r="AH1004">
        <v>46</v>
      </c>
      <c r="AI1004">
        <v>78</v>
      </c>
      <c r="AJ1004">
        <v>11</v>
      </c>
      <c r="AK1004">
        <v>28</v>
      </c>
    </row>
    <row r="1005" spans="1:37">
      <c r="A1005" t="s">
        <v>1391</v>
      </c>
      <c r="B1005" t="s">
        <v>1751</v>
      </c>
      <c r="C1005">
        <v>30.9</v>
      </c>
      <c r="D1005" t="s">
        <v>82</v>
      </c>
      <c r="E1005">
        <v>5</v>
      </c>
      <c r="F1005">
        <v>0</v>
      </c>
      <c r="G1005">
        <v>0</v>
      </c>
      <c r="I1005">
        <v>1.18726</v>
      </c>
      <c r="J1005">
        <v>1.053</v>
      </c>
      <c r="K1005">
        <v>0.9725</v>
      </c>
      <c r="L1005">
        <v>1.00436</v>
      </c>
      <c r="M1005">
        <v>0.90395</v>
      </c>
      <c r="N1005">
        <v>0.99093</v>
      </c>
      <c r="O1005">
        <v>1</v>
      </c>
      <c r="P1005">
        <v>1.00826</v>
      </c>
      <c r="Q1005">
        <v>1</v>
      </c>
      <c r="R1005">
        <v>1</v>
      </c>
      <c r="S1005">
        <v>1</v>
      </c>
      <c r="T1005">
        <v>1.07004</v>
      </c>
      <c r="U1005">
        <v>1</v>
      </c>
      <c r="V1005">
        <v>91.411</v>
      </c>
      <c r="W1005">
        <v>42.264</v>
      </c>
      <c r="X1005">
        <v>76.86799999999999</v>
      </c>
      <c r="Y1005">
        <v>17.032</v>
      </c>
      <c r="Z1005">
        <v>38.259</v>
      </c>
      <c r="AA1005">
        <v>265.834</v>
      </c>
      <c r="AB1005">
        <v>0.99435</v>
      </c>
      <c r="AC1005">
        <v>270</v>
      </c>
      <c r="AD1005">
        <v>0</v>
      </c>
      <c r="AG1005">
        <v>89</v>
      </c>
      <c r="AH1005">
        <v>45</v>
      </c>
      <c r="AI1005">
        <v>76</v>
      </c>
      <c r="AJ1005">
        <v>19</v>
      </c>
      <c r="AK1005">
        <v>41</v>
      </c>
    </row>
    <row r="1006" spans="1:37">
      <c r="A1006" t="s">
        <v>1392</v>
      </c>
      <c r="B1006" t="s">
        <v>1751</v>
      </c>
      <c r="C1006">
        <v>30.6</v>
      </c>
      <c r="D1006" t="s">
        <v>82</v>
      </c>
      <c r="E1006">
        <v>6</v>
      </c>
      <c r="F1006">
        <v>0</v>
      </c>
      <c r="G1006">
        <v>0</v>
      </c>
      <c r="I1006">
        <v>1.18745</v>
      </c>
      <c r="J1006">
        <v>1.05255</v>
      </c>
      <c r="K1006">
        <v>0.9748599999999999</v>
      </c>
      <c r="L1006">
        <v>1.00488</v>
      </c>
      <c r="M1006">
        <v>0.93795</v>
      </c>
      <c r="N1006">
        <v>0.99173</v>
      </c>
      <c r="O1006">
        <v>1</v>
      </c>
      <c r="P1006">
        <v>1.00571</v>
      </c>
      <c r="Q1006">
        <v>1</v>
      </c>
      <c r="R1006">
        <v>1</v>
      </c>
      <c r="S1006">
        <v>1</v>
      </c>
      <c r="T1006">
        <v>1.06706</v>
      </c>
      <c r="U1006">
        <v>1</v>
      </c>
      <c r="V1006">
        <v>89.715</v>
      </c>
      <c r="W1006">
        <v>40.178</v>
      </c>
      <c r="X1006">
        <v>86.44</v>
      </c>
      <c r="Y1006">
        <v>19.947</v>
      </c>
      <c r="Z1006">
        <v>40.127</v>
      </c>
      <c r="AA1006">
        <v>276.407</v>
      </c>
      <c r="AB1006">
        <v>1.11027</v>
      </c>
      <c r="AC1006">
        <v>297</v>
      </c>
      <c r="AD1006">
        <v>0</v>
      </c>
      <c r="AG1006">
        <v>93</v>
      </c>
      <c r="AH1006">
        <v>45</v>
      </c>
      <c r="AI1006">
        <v>85</v>
      </c>
      <c r="AJ1006">
        <v>15</v>
      </c>
      <c r="AK1006">
        <v>59</v>
      </c>
    </row>
    <row r="1007" spans="1:37">
      <c r="A1007" t="s">
        <v>1393</v>
      </c>
      <c r="B1007" t="s">
        <v>1752</v>
      </c>
      <c r="C1007">
        <v>30.9</v>
      </c>
      <c r="D1007" t="s">
        <v>82</v>
      </c>
      <c r="E1007">
        <v>7</v>
      </c>
      <c r="F1007">
        <v>0</v>
      </c>
      <c r="G1007">
        <v>0</v>
      </c>
      <c r="I1007">
        <v>1.18763</v>
      </c>
      <c r="J1007">
        <v>1.05771</v>
      </c>
      <c r="K1007">
        <v>0.9748599999999999</v>
      </c>
      <c r="L1007">
        <v>1.00539</v>
      </c>
      <c r="M1007">
        <v>1.12484</v>
      </c>
      <c r="N1007">
        <v>0.984</v>
      </c>
      <c r="O1007">
        <v>1</v>
      </c>
      <c r="P1007">
        <v>1.00421</v>
      </c>
      <c r="Q1007">
        <v>1</v>
      </c>
      <c r="R1007">
        <v>1</v>
      </c>
      <c r="S1007">
        <v>1</v>
      </c>
      <c r="T1007">
        <v>1.05657</v>
      </c>
      <c r="U1007">
        <v>1</v>
      </c>
      <c r="V1007">
        <v>84.624</v>
      </c>
      <c r="W1007">
        <v>33.977</v>
      </c>
      <c r="X1007">
        <v>131.338</v>
      </c>
      <c r="Y1007">
        <v>34.118</v>
      </c>
      <c r="Z1007">
        <v>47.899</v>
      </c>
      <c r="AA1007">
        <v>331.955</v>
      </c>
      <c r="AB1007">
        <v>1.05698</v>
      </c>
      <c r="AC1007">
        <v>333</v>
      </c>
      <c r="AD1007">
        <v>0</v>
      </c>
      <c r="AG1007">
        <v>87</v>
      </c>
      <c r="AH1007">
        <v>42</v>
      </c>
      <c r="AI1007">
        <v>133</v>
      </c>
      <c r="AJ1007">
        <v>24</v>
      </c>
      <c r="AK1007">
        <v>47</v>
      </c>
    </row>
    <row r="1008" spans="1:37">
      <c r="A1008" t="s">
        <v>1394</v>
      </c>
      <c r="B1008" t="s">
        <v>1753</v>
      </c>
      <c r="C1008">
        <v>33.3</v>
      </c>
      <c r="D1008" t="s">
        <v>82</v>
      </c>
      <c r="E1008">
        <v>8</v>
      </c>
      <c r="F1008">
        <v>0</v>
      </c>
      <c r="G1008">
        <v>0</v>
      </c>
      <c r="I1008">
        <v>1.18782</v>
      </c>
      <c r="J1008">
        <v>1.05803</v>
      </c>
      <c r="K1008">
        <v>0.9748599999999999</v>
      </c>
      <c r="L1008">
        <v>1.0059</v>
      </c>
      <c r="M1008">
        <v>0.88347</v>
      </c>
      <c r="N1008">
        <v>0.95725</v>
      </c>
      <c r="O1008">
        <v>1</v>
      </c>
      <c r="P1008">
        <v>1.00336</v>
      </c>
      <c r="Q1008">
        <v>1</v>
      </c>
      <c r="R1008">
        <v>1</v>
      </c>
      <c r="S1008">
        <v>1</v>
      </c>
      <c r="T1008">
        <v>1.02917</v>
      </c>
      <c r="U1008">
        <v>1</v>
      </c>
      <c r="V1008">
        <v>20.245</v>
      </c>
      <c r="W1008">
        <v>14.866</v>
      </c>
      <c r="X1008">
        <v>116.05</v>
      </c>
      <c r="Y1008">
        <v>52.101</v>
      </c>
      <c r="Z1008">
        <v>53.657</v>
      </c>
      <c r="AA1008">
        <v>256.918</v>
      </c>
      <c r="AB1008">
        <v>1.10429</v>
      </c>
      <c r="AC1008">
        <v>291</v>
      </c>
      <c r="AD1008">
        <v>0</v>
      </c>
      <c r="AG1008">
        <v>26</v>
      </c>
      <c r="AH1008">
        <v>19</v>
      </c>
      <c r="AI1008">
        <v>141</v>
      </c>
      <c r="AJ1008">
        <v>52</v>
      </c>
      <c r="AK1008">
        <v>53</v>
      </c>
    </row>
    <row r="1009" spans="1:37">
      <c r="A1009" t="s">
        <v>1395</v>
      </c>
      <c r="B1009" t="s">
        <v>1754</v>
      </c>
      <c r="C1009">
        <v>31.8</v>
      </c>
      <c r="D1009" t="s">
        <v>82</v>
      </c>
      <c r="E1009">
        <v>9</v>
      </c>
      <c r="F1009">
        <v>0</v>
      </c>
      <c r="G1009">
        <v>0</v>
      </c>
      <c r="I1009">
        <v>1.188</v>
      </c>
      <c r="J1009">
        <v>1.05596</v>
      </c>
      <c r="K1009">
        <v>0.9748599999999999</v>
      </c>
      <c r="L1009">
        <v>1.00641</v>
      </c>
      <c r="M1009">
        <v>0.83194</v>
      </c>
      <c r="N1009">
        <v>0.97392</v>
      </c>
      <c r="O1009">
        <v>1</v>
      </c>
      <c r="P1009">
        <v>1.00215</v>
      </c>
      <c r="Q1009">
        <v>1</v>
      </c>
      <c r="R1009">
        <v>1</v>
      </c>
      <c r="S1009">
        <v>1</v>
      </c>
      <c r="T1009">
        <v>1.03458</v>
      </c>
      <c r="U1009">
        <v>1</v>
      </c>
      <c r="V1009">
        <v>27.561</v>
      </c>
      <c r="W1009">
        <v>23.316</v>
      </c>
      <c r="X1009">
        <v>101.649</v>
      </c>
      <c r="Y1009">
        <v>44.683</v>
      </c>
      <c r="Z1009">
        <v>46.202</v>
      </c>
      <c r="AA1009">
        <v>243.412</v>
      </c>
      <c r="AB1009">
        <v>1.07548</v>
      </c>
      <c r="AC1009">
        <v>244</v>
      </c>
      <c r="AD1009">
        <v>0</v>
      </c>
      <c r="AG1009">
        <v>25</v>
      </c>
      <c r="AH1009">
        <v>23</v>
      </c>
      <c r="AI1009">
        <v>102</v>
      </c>
      <c r="AJ1009">
        <v>47</v>
      </c>
      <c r="AK1009">
        <v>47</v>
      </c>
    </row>
    <row r="1010" spans="1:37">
      <c r="A1010" t="s">
        <v>509</v>
      </c>
      <c r="B1010" t="s">
        <v>1751</v>
      </c>
      <c r="C1010">
        <v>32.9</v>
      </c>
      <c r="D1010" t="s">
        <v>82</v>
      </c>
      <c r="E1010">
        <v>10</v>
      </c>
      <c r="F1010">
        <v>0</v>
      </c>
      <c r="G1010">
        <v>0</v>
      </c>
      <c r="I1010">
        <v>1.18819</v>
      </c>
      <c r="J1010">
        <v>1.06111</v>
      </c>
      <c r="K1010">
        <v>0.9748599999999999</v>
      </c>
      <c r="L1010">
        <v>1.00689</v>
      </c>
      <c r="M1010">
        <v>0.90987</v>
      </c>
      <c r="N1010">
        <v>0.98132</v>
      </c>
      <c r="O1010">
        <v>1</v>
      </c>
      <c r="P1010">
        <v>1.0011</v>
      </c>
      <c r="Q1010">
        <v>1</v>
      </c>
      <c r="R1010">
        <v>1</v>
      </c>
      <c r="S1010">
        <v>1</v>
      </c>
      <c r="T1010">
        <v>1.07319</v>
      </c>
      <c r="U1010">
        <v>1</v>
      </c>
      <c r="V1010">
        <v>96.973</v>
      </c>
      <c r="W1010">
        <v>42.61</v>
      </c>
      <c r="X1010">
        <v>71.172</v>
      </c>
      <c r="Y1010">
        <v>16.573</v>
      </c>
      <c r="Z1010">
        <v>38.521</v>
      </c>
      <c r="AA1010">
        <v>265.848</v>
      </c>
      <c r="AB1010">
        <v>1.00603</v>
      </c>
      <c r="AC1010">
        <v>277</v>
      </c>
      <c r="AD1010">
        <v>0</v>
      </c>
      <c r="AG1010">
        <v>98</v>
      </c>
      <c r="AH1010">
        <v>46</v>
      </c>
      <c r="AI1010">
        <v>68</v>
      </c>
      <c r="AJ1010">
        <v>21</v>
      </c>
      <c r="AK1010">
        <v>44</v>
      </c>
    </row>
    <row r="1011" spans="1:37">
      <c r="A1011" t="s">
        <v>1396</v>
      </c>
      <c r="B1011" t="s">
        <v>1751</v>
      </c>
      <c r="C1011">
        <v>33.5</v>
      </c>
      <c r="D1011" t="s">
        <v>82</v>
      </c>
      <c r="E1011">
        <v>11</v>
      </c>
      <c r="F1011">
        <v>0</v>
      </c>
      <c r="G1011">
        <v>0</v>
      </c>
      <c r="I1011">
        <v>1.18837</v>
      </c>
      <c r="J1011">
        <v>1.05673</v>
      </c>
      <c r="K1011">
        <v>0.9748599999999999</v>
      </c>
      <c r="L1011">
        <v>1.00736</v>
      </c>
      <c r="M1011">
        <v>0.8839399999999999</v>
      </c>
      <c r="N1011">
        <v>0.97956</v>
      </c>
      <c r="O1011">
        <v>1</v>
      </c>
      <c r="P1011">
        <v>1.00074</v>
      </c>
      <c r="Q1011">
        <v>1</v>
      </c>
      <c r="R1011">
        <v>1</v>
      </c>
      <c r="S1011">
        <v>1</v>
      </c>
      <c r="T1011">
        <v>1.07212</v>
      </c>
      <c r="U1011">
        <v>1</v>
      </c>
      <c r="V1011">
        <v>92.01600000000001</v>
      </c>
      <c r="W1011">
        <v>42.449</v>
      </c>
      <c r="X1011">
        <v>68.40000000000001</v>
      </c>
      <c r="Y1011">
        <v>15.018</v>
      </c>
      <c r="Z1011">
        <v>38.658</v>
      </c>
      <c r="AA1011">
        <v>256.54</v>
      </c>
      <c r="AB1011">
        <v>0.91919</v>
      </c>
      <c r="AC1011">
        <v>248</v>
      </c>
      <c r="AD1011">
        <v>1</v>
      </c>
      <c r="AG1011">
        <v>91</v>
      </c>
      <c r="AH1011">
        <v>42</v>
      </c>
      <c r="AI1011">
        <v>66</v>
      </c>
      <c r="AJ1011">
        <v>14</v>
      </c>
      <c r="AK1011">
        <v>35</v>
      </c>
    </row>
    <row r="1012" spans="1:37">
      <c r="A1012" t="s">
        <v>1397</v>
      </c>
      <c r="B1012" t="s">
        <v>1751</v>
      </c>
      <c r="C1012">
        <v>32.1</v>
      </c>
      <c r="D1012" t="s">
        <v>82</v>
      </c>
      <c r="E1012">
        <v>12</v>
      </c>
      <c r="F1012">
        <v>0</v>
      </c>
      <c r="G1012">
        <v>0</v>
      </c>
      <c r="I1012">
        <v>1.18856</v>
      </c>
      <c r="J1012">
        <v>1.0592</v>
      </c>
      <c r="K1012">
        <v>0.9748599999999999</v>
      </c>
      <c r="L1012">
        <v>1.0078</v>
      </c>
      <c r="M1012">
        <v>0.90532</v>
      </c>
      <c r="N1012">
        <v>0.98422</v>
      </c>
      <c r="O1012">
        <v>1</v>
      </c>
      <c r="P1012">
        <v>1.0005</v>
      </c>
      <c r="Q1012">
        <v>1</v>
      </c>
      <c r="R1012">
        <v>1</v>
      </c>
      <c r="S1012">
        <v>1</v>
      </c>
      <c r="T1012">
        <v>1.07055</v>
      </c>
      <c r="U1012">
        <v>1</v>
      </c>
      <c r="V1012">
        <v>92.27500000000001</v>
      </c>
      <c r="W1012">
        <v>42.565</v>
      </c>
      <c r="X1012">
        <v>74.878</v>
      </c>
      <c r="Y1012">
        <v>16.734</v>
      </c>
      <c r="Z1012">
        <v>38.916</v>
      </c>
      <c r="AA1012">
        <v>265.369</v>
      </c>
      <c r="AB1012">
        <v>1.01738</v>
      </c>
      <c r="AC1012">
        <v>254</v>
      </c>
      <c r="AD1012">
        <v>0</v>
      </c>
      <c r="AG1012">
        <v>102</v>
      </c>
      <c r="AH1012">
        <v>30</v>
      </c>
      <c r="AI1012">
        <v>76</v>
      </c>
      <c r="AJ1012">
        <v>14</v>
      </c>
      <c r="AK1012">
        <v>32</v>
      </c>
    </row>
    <row r="1013" spans="1:37">
      <c r="A1013" t="s">
        <v>1398</v>
      </c>
      <c r="B1013" t="s">
        <v>1751</v>
      </c>
      <c r="C1013">
        <v>29.8</v>
      </c>
      <c r="D1013" t="s">
        <v>82</v>
      </c>
      <c r="E1013">
        <v>13</v>
      </c>
      <c r="F1013">
        <v>0</v>
      </c>
      <c r="G1013">
        <v>0</v>
      </c>
      <c r="I1013">
        <v>1.18875</v>
      </c>
      <c r="J1013">
        <v>1.06044</v>
      </c>
      <c r="K1013">
        <v>0.9748599999999999</v>
      </c>
      <c r="L1013">
        <v>1.00821</v>
      </c>
      <c r="M1013">
        <v>0.93773</v>
      </c>
      <c r="N1013">
        <v>0.9977</v>
      </c>
      <c r="O1013">
        <v>1</v>
      </c>
      <c r="P1013">
        <v>1.00035</v>
      </c>
      <c r="Q1013">
        <v>1</v>
      </c>
      <c r="R1013">
        <v>1</v>
      </c>
      <c r="S1013">
        <v>1</v>
      </c>
      <c r="T1013">
        <v>1.06699</v>
      </c>
      <c r="U1013">
        <v>1</v>
      </c>
      <c r="V1013">
        <v>90.58</v>
      </c>
      <c r="W1013">
        <v>40.502</v>
      </c>
      <c r="X1013">
        <v>88.611</v>
      </c>
      <c r="Y1013">
        <v>20.321</v>
      </c>
      <c r="Z1013">
        <v>39.873</v>
      </c>
      <c r="AA1013">
        <v>279.887</v>
      </c>
      <c r="AB1013">
        <v>1.0709</v>
      </c>
      <c r="AC1013">
        <v>291</v>
      </c>
      <c r="AD1013">
        <v>0</v>
      </c>
      <c r="AG1013">
        <v>98</v>
      </c>
      <c r="AH1013">
        <v>34</v>
      </c>
      <c r="AI1013">
        <v>90</v>
      </c>
      <c r="AJ1013">
        <v>21</v>
      </c>
      <c r="AK1013">
        <v>48</v>
      </c>
    </row>
    <row r="1014" spans="1:37">
      <c r="A1014" t="s">
        <v>1399</v>
      </c>
      <c r="B1014" t="s">
        <v>1752</v>
      </c>
      <c r="C1014">
        <v>30</v>
      </c>
      <c r="D1014" t="s">
        <v>82</v>
      </c>
      <c r="E1014">
        <v>14</v>
      </c>
      <c r="F1014">
        <v>0</v>
      </c>
      <c r="G1014">
        <v>0</v>
      </c>
      <c r="I1014">
        <v>1.18893</v>
      </c>
      <c r="J1014">
        <v>1.06375</v>
      </c>
      <c r="K1014">
        <v>0.9748599999999999</v>
      </c>
      <c r="L1014">
        <v>1.00859</v>
      </c>
      <c r="M1014">
        <v>1.12684</v>
      </c>
      <c r="N1014">
        <v>0.99292</v>
      </c>
      <c r="O1014">
        <v>1</v>
      </c>
      <c r="P1014">
        <v>1.00026</v>
      </c>
      <c r="Q1014">
        <v>1</v>
      </c>
      <c r="R1014">
        <v>1</v>
      </c>
      <c r="S1014">
        <v>1</v>
      </c>
      <c r="T1014">
        <v>1.05641</v>
      </c>
      <c r="U1014">
        <v>1</v>
      </c>
      <c r="V1014">
        <v>85.34099999999999</v>
      </c>
      <c r="W1014">
        <v>34.229</v>
      </c>
      <c r="X1014">
        <v>135.014</v>
      </c>
      <c r="Y1014">
        <v>34.83</v>
      </c>
      <c r="Z1014">
        <v>47.563</v>
      </c>
      <c r="AA1014">
        <v>336.979</v>
      </c>
      <c r="AB1014">
        <v>0.99563</v>
      </c>
      <c r="AC1014">
        <v>346</v>
      </c>
      <c r="AD1014">
        <v>0</v>
      </c>
      <c r="AG1014">
        <v>85</v>
      </c>
      <c r="AH1014">
        <v>42</v>
      </c>
      <c r="AI1014">
        <v>137</v>
      </c>
      <c r="AJ1014">
        <v>32</v>
      </c>
      <c r="AK1014">
        <v>50</v>
      </c>
    </row>
    <row r="1015" spans="1:37">
      <c r="A1015" t="s">
        <v>1400</v>
      </c>
      <c r="B1015" t="s">
        <v>1753</v>
      </c>
      <c r="C1015">
        <v>28.9</v>
      </c>
      <c r="D1015" t="s">
        <v>82</v>
      </c>
      <c r="E1015">
        <v>15</v>
      </c>
      <c r="F1015">
        <v>0</v>
      </c>
      <c r="G1015">
        <v>0</v>
      </c>
      <c r="I1015">
        <v>1.18912</v>
      </c>
      <c r="J1015">
        <v>1.06024</v>
      </c>
      <c r="K1015">
        <v>0.9748599999999999</v>
      </c>
      <c r="L1015">
        <v>1.00893</v>
      </c>
      <c r="M1015">
        <v>0.90064</v>
      </c>
      <c r="N1015">
        <v>1.00751</v>
      </c>
      <c r="O1015">
        <v>1</v>
      </c>
      <c r="P1015">
        <v>0.99676</v>
      </c>
      <c r="Q1015">
        <v>1</v>
      </c>
      <c r="R1015">
        <v>1</v>
      </c>
      <c r="S1015">
        <v>1</v>
      </c>
      <c r="T1015">
        <v>1.0292</v>
      </c>
      <c r="U1015">
        <v>1</v>
      </c>
      <c r="V1015">
        <v>20.327</v>
      </c>
      <c r="W1015">
        <v>14.904</v>
      </c>
      <c r="X1015">
        <v>128.546</v>
      </c>
      <c r="Y1015">
        <v>55.907</v>
      </c>
      <c r="Z1015">
        <v>50.606</v>
      </c>
      <c r="AA1015">
        <v>270.29</v>
      </c>
      <c r="AB1015">
        <v>0.97407</v>
      </c>
      <c r="AC1015">
        <v>272</v>
      </c>
      <c r="AD1015">
        <v>0</v>
      </c>
      <c r="AG1015">
        <v>14</v>
      </c>
      <c r="AH1015">
        <v>17</v>
      </c>
      <c r="AI1015">
        <v>127</v>
      </c>
      <c r="AJ1015">
        <v>68</v>
      </c>
      <c r="AK1015">
        <v>46</v>
      </c>
    </row>
    <row r="1016" spans="1:37">
      <c r="A1016" t="s">
        <v>1401</v>
      </c>
      <c r="B1016" t="s">
        <v>1754</v>
      </c>
      <c r="C1016">
        <v>27.4</v>
      </c>
      <c r="D1016" t="s">
        <v>82</v>
      </c>
      <c r="E1016">
        <v>16</v>
      </c>
      <c r="F1016">
        <v>0</v>
      </c>
      <c r="G1016">
        <v>0</v>
      </c>
      <c r="I1016">
        <v>1.1893</v>
      </c>
      <c r="J1016">
        <v>1.07392</v>
      </c>
      <c r="K1016">
        <v>0.9748599999999999</v>
      </c>
      <c r="L1016">
        <v>1.00923</v>
      </c>
      <c r="M1016">
        <v>0.84526</v>
      </c>
      <c r="N1016">
        <v>1.0262</v>
      </c>
      <c r="O1016">
        <v>1</v>
      </c>
      <c r="P1016">
        <v>0.99354</v>
      </c>
      <c r="Q1016">
        <v>1</v>
      </c>
      <c r="R1016">
        <v>1</v>
      </c>
      <c r="S1016">
        <v>1</v>
      </c>
      <c r="T1016">
        <v>1.03434</v>
      </c>
      <c r="U1016">
        <v>1</v>
      </c>
      <c r="V1016">
        <v>28.057</v>
      </c>
      <c r="W1016">
        <v>23.689</v>
      </c>
      <c r="X1016">
        <v>114.958</v>
      </c>
      <c r="Y1016">
        <v>48.861</v>
      </c>
      <c r="Z1016">
        <v>44.048</v>
      </c>
      <c r="AA1016">
        <v>259.613</v>
      </c>
      <c r="AB1016">
        <v>0.95082</v>
      </c>
      <c r="AC1016">
        <v>230</v>
      </c>
      <c r="AD1016">
        <v>0</v>
      </c>
      <c r="AG1016">
        <v>24</v>
      </c>
      <c r="AH1016">
        <v>14</v>
      </c>
      <c r="AI1016">
        <v>104</v>
      </c>
      <c r="AJ1016">
        <v>48</v>
      </c>
      <c r="AK1016">
        <v>40</v>
      </c>
    </row>
    <row r="1017" spans="1:37">
      <c r="A1017" t="s">
        <v>510</v>
      </c>
      <c r="B1017" t="s">
        <v>1751</v>
      </c>
      <c r="C1017">
        <v>26.5</v>
      </c>
      <c r="D1017" t="s">
        <v>82</v>
      </c>
      <c r="E1017">
        <v>17</v>
      </c>
      <c r="F1017">
        <v>0</v>
      </c>
      <c r="G1017">
        <v>0</v>
      </c>
      <c r="I1017">
        <v>1.18949</v>
      </c>
      <c r="J1017">
        <v>1.0778</v>
      </c>
      <c r="K1017">
        <v>0.9748599999999999</v>
      </c>
      <c r="L1017">
        <v>1.00948</v>
      </c>
      <c r="M1017">
        <v>0.9029199999999999</v>
      </c>
      <c r="N1017">
        <v>1.02128</v>
      </c>
      <c r="O1017">
        <v>1</v>
      </c>
      <c r="P1017">
        <v>0.9924500000000001</v>
      </c>
      <c r="Q1017">
        <v>1</v>
      </c>
      <c r="R1017">
        <v>1</v>
      </c>
      <c r="S1017">
        <v>1</v>
      </c>
      <c r="T1017">
        <v>1.07174</v>
      </c>
      <c r="U1017">
        <v>1</v>
      </c>
      <c r="V1017">
        <v>98.48</v>
      </c>
      <c r="W1017">
        <v>43.161</v>
      </c>
      <c r="X1017">
        <v>83.783</v>
      </c>
      <c r="Y1017">
        <v>18.612</v>
      </c>
      <c r="Z1017">
        <v>35.6</v>
      </c>
      <c r="AA1017">
        <v>279.636</v>
      </c>
      <c r="AB1017">
        <v>0.9892</v>
      </c>
      <c r="AC1017">
        <v>295</v>
      </c>
      <c r="AD1017">
        <v>0</v>
      </c>
      <c r="AG1017">
        <v>97</v>
      </c>
      <c r="AH1017">
        <v>42</v>
      </c>
      <c r="AI1017">
        <v>99</v>
      </c>
      <c r="AJ1017">
        <v>21</v>
      </c>
      <c r="AK1017">
        <v>36</v>
      </c>
    </row>
    <row r="1018" spans="1:37">
      <c r="A1018" t="s">
        <v>1402</v>
      </c>
      <c r="B1018" t="s">
        <v>1751</v>
      </c>
      <c r="C1018">
        <v>24.8</v>
      </c>
      <c r="D1018" t="s">
        <v>82</v>
      </c>
      <c r="E1018">
        <v>18</v>
      </c>
      <c r="F1018">
        <v>0</v>
      </c>
      <c r="G1018">
        <v>0</v>
      </c>
      <c r="I1018">
        <v>1.18967</v>
      </c>
      <c r="J1018">
        <v>1.07588</v>
      </c>
      <c r="K1018">
        <v>0.9748599999999999</v>
      </c>
      <c r="L1018">
        <v>1.00968</v>
      </c>
      <c r="M1018">
        <v>0.8746</v>
      </c>
      <c r="N1018">
        <v>1.03006</v>
      </c>
      <c r="O1018">
        <v>1</v>
      </c>
      <c r="P1018">
        <v>0.98981</v>
      </c>
      <c r="Q1018">
        <v>1</v>
      </c>
      <c r="R1018">
        <v>1</v>
      </c>
      <c r="S1018">
        <v>1</v>
      </c>
      <c r="T1018">
        <v>1.0704</v>
      </c>
      <c r="U1018">
        <v>1</v>
      </c>
      <c r="V1018">
        <v>93.55</v>
      </c>
      <c r="W1018">
        <v>43.017</v>
      </c>
      <c r="X1018">
        <v>84.086</v>
      </c>
      <c r="Y1018">
        <v>17.386</v>
      </c>
      <c r="Z1018">
        <v>34.577</v>
      </c>
      <c r="AA1018">
        <v>272.616</v>
      </c>
      <c r="AB1018">
        <v>0.99013</v>
      </c>
      <c r="AC1018">
        <v>285</v>
      </c>
      <c r="AD1018">
        <v>0</v>
      </c>
      <c r="AG1018">
        <v>101</v>
      </c>
      <c r="AH1018">
        <v>37</v>
      </c>
      <c r="AI1018">
        <v>89</v>
      </c>
      <c r="AJ1018">
        <v>24</v>
      </c>
      <c r="AK1018">
        <v>34</v>
      </c>
    </row>
    <row r="1019" spans="1:37">
      <c r="A1019" t="s">
        <v>1403</v>
      </c>
      <c r="B1019" t="s">
        <v>1751</v>
      </c>
      <c r="C1019">
        <v>22.4</v>
      </c>
      <c r="D1019" t="s">
        <v>82</v>
      </c>
      <c r="E1019">
        <v>19</v>
      </c>
      <c r="F1019">
        <v>0</v>
      </c>
      <c r="G1019">
        <v>0</v>
      </c>
      <c r="I1019">
        <v>1.18986</v>
      </c>
      <c r="J1019">
        <v>1.07819</v>
      </c>
      <c r="K1019">
        <v>0.9748599999999999</v>
      </c>
      <c r="L1019">
        <v>1.00984</v>
      </c>
      <c r="M1019">
        <v>0.89813</v>
      </c>
      <c r="N1019">
        <v>1.03561</v>
      </c>
      <c r="O1019">
        <v>1</v>
      </c>
      <c r="P1019">
        <v>0.98705</v>
      </c>
      <c r="Q1019">
        <v>1</v>
      </c>
      <c r="R1019">
        <v>1</v>
      </c>
      <c r="S1019">
        <v>1</v>
      </c>
      <c r="T1019">
        <v>1.06899</v>
      </c>
      <c r="U1019">
        <v>1</v>
      </c>
      <c r="V1019">
        <v>93.673</v>
      </c>
      <c r="W1019">
        <v>43.041</v>
      </c>
      <c r="X1019">
        <v>91.279</v>
      </c>
      <c r="Y1019">
        <v>19.257</v>
      </c>
      <c r="Z1019">
        <v>34.09</v>
      </c>
      <c r="AA1019">
        <v>281.34</v>
      </c>
      <c r="AB1019">
        <v>1.09205</v>
      </c>
      <c r="AC1019">
        <v>313</v>
      </c>
      <c r="AD1019">
        <v>0</v>
      </c>
      <c r="AG1019">
        <v>93</v>
      </c>
      <c r="AH1019">
        <v>57</v>
      </c>
      <c r="AI1019">
        <v>111</v>
      </c>
      <c r="AJ1019">
        <v>15</v>
      </c>
      <c r="AK1019">
        <v>37</v>
      </c>
    </row>
    <row r="1020" spans="1:37">
      <c r="A1020" t="s">
        <v>1404</v>
      </c>
      <c r="B1020" t="s">
        <v>1751</v>
      </c>
      <c r="C1020">
        <v>24.9</v>
      </c>
      <c r="D1020" t="s">
        <v>82</v>
      </c>
      <c r="E1020">
        <v>20</v>
      </c>
      <c r="F1020">
        <v>0</v>
      </c>
      <c r="G1020">
        <v>0</v>
      </c>
      <c r="I1020">
        <v>1.19004</v>
      </c>
      <c r="J1020">
        <v>1.08437</v>
      </c>
      <c r="K1020">
        <v>0.9748599999999999</v>
      </c>
      <c r="L1020">
        <v>1.00994</v>
      </c>
      <c r="M1020">
        <v>0.9362200000000001</v>
      </c>
      <c r="N1020">
        <v>1.03355</v>
      </c>
      <c r="O1020">
        <v>1</v>
      </c>
      <c r="P1020">
        <v>0.9840100000000001</v>
      </c>
      <c r="Q1020">
        <v>1</v>
      </c>
      <c r="R1020">
        <v>1</v>
      </c>
      <c r="S1020">
        <v>1</v>
      </c>
      <c r="T1020">
        <v>1.06613</v>
      </c>
      <c r="U1020">
        <v>1</v>
      </c>
      <c r="V1020">
        <v>92.245</v>
      </c>
      <c r="W1020">
        <v>41.056</v>
      </c>
      <c r="X1020">
        <v>99.764</v>
      </c>
      <c r="Y1020">
        <v>22.119</v>
      </c>
      <c r="Z1020">
        <v>37.347</v>
      </c>
      <c r="AA1020">
        <v>292.531</v>
      </c>
      <c r="AB1020">
        <v>1.01717</v>
      </c>
      <c r="AC1020">
        <v>300</v>
      </c>
      <c r="AD1020">
        <v>0</v>
      </c>
      <c r="AG1020">
        <v>104</v>
      </c>
      <c r="AH1020">
        <v>43</v>
      </c>
      <c r="AI1020">
        <v>91</v>
      </c>
      <c r="AJ1020">
        <v>25</v>
      </c>
      <c r="AK1020">
        <v>37</v>
      </c>
    </row>
    <row r="1021" spans="1:37">
      <c r="A1021" t="s">
        <v>1405</v>
      </c>
      <c r="B1021" t="s">
        <v>1752</v>
      </c>
      <c r="C1021">
        <v>24.7</v>
      </c>
      <c r="D1021" t="s">
        <v>82</v>
      </c>
      <c r="E1021">
        <v>21</v>
      </c>
      <c r="F1021">
        <v>0</v>
      </c>
      <c r="G1021">
        <v>0</v>
      </c>
      <c r="I1021">
        <v>1.19023</v>
      </c>
      <c r="J1021">
        <v>1.06796</v>
      </c>
      <c r="K1021">
        <v>0.9748599999999999</v>
      </c>
      <c r="L1021">
        <v>1.00999</v>
      </c>
      <c r="M1021">
        <v>1.13826</v>
      </c>
      <c r="N1021">
        <v>1.04533</v>
      </c>
      <c r="O1021">
        <v>1</v>
      </c>
      <c r="P1021">
        <v>0.97945</v>
      </c>
      <c r="Q1021">
        <v>1</v>
      </c>
      <c r="R1021">
        <v>1</v>
      </c>
      <c r="S1021">
        <v>1</v>
      </c>
      <c r="T1021">
        <v>1.05544</v>
      </c>
      <c r="U1021">
        <v>1</v>
      </c>
      <c r="V1021">
        <v>85.208</v>
      </c>
      <c r="W1021">
        <v>33.993</v>
      </c>
      <c r="X1021">
        <v>149.901</v>
      </c>
      <c r="Y1021">
        <v>37.294</v>
      </c>
      <c r="Z1021">
        <v>43.325</v>
      </c>
      <c r="AA1021">
        <v>349.721</v>
      </c>
      <c r="AB1021">
        <v>1.04174</v>
      </c>
      <c r="AC1021">
        <v>362</v>
      </c>
      <c r="AD1021">
        <v>0</v>
      </c>
      <c r="AG1021">
        <v>83</v>
      </c>
      <c r="AH1021">
        <v>27</v>
      </c>
      <c r="AI1021">
        <v>159</v>
      </c>
      <c r="AJ1021">
        <v>46</v>
      </c>
      <c r="AK1021">
        <v>47</v>
      </c>
    </row>
    <row r="1022" spans="1:37">
      <c r="A1022" t="s">
        <v>1406</v>
      </c>
      <c r="B1022" t="s">
        <v>1753</v>
      </c>
      <c r="C1022">
        <v>26</v>
      </c>
      <c r="D1022" t="s">
        <v>82</v>
      </c>
      <c r="E1022">
        <v>22</v>
      </c>
      <c r="F1022">
        <v>0</v>
      </c>
      <c r="G1022">
        <v>0</v>
      </c>
      <c r="I1022">
        <v>1.19041</v>
      </c>
      <c r="J1022">
        <v>1.05575</v>
      </c>
      <c r="K1022">
        <v>0.9748599999999999</v>
      </c>
      <c r="L1022">
        <v>1.01001</v>
      </c>
      <c r="M1022">
        <v>0.90924</v>
      </c>
      <c r="N1022">
        <v>1.04672</v>
      </c>
      <c r="O1022">
        <v>1</v>
      </c>
      <c r="P1022">
        <v>0.97232</v>
      </c>
      <c r="Q1022">
        <v>1</v>
      </c>
      <c r="R1022">
        <v>1</v>
      </c>
      <c r="S1022">
        <v>1</v>
      </c>
      <c r="T1022">
        <v>1.02933</v>
      </c>
      <c r="U1022">
        <v>1</v>
      </c>
      <c r="V1022">
        <v>20.123</v>
      </c>
      <c r="W1022">
        <v>14.676</v>
      </c>
      <c r="X1022">
        <v>134.186</v>
      </c>
      <c r="Y1022">
        <v>57.158</v>
      </c>
      <c r="Z1022">
        <v>47.242</v>
      </c>
      <c r="AA1022">
        <v>273.385</v>
      </c>
      <c r="AB1022">
        <v>0.89096</v>
      </c>
      <c r="AC1022">
        <v>266</v>
      </c>
      <c r="AD1022">
        <v>0</v>
      </c>
      <c r="AG1022">
        <v>19</v>
      </c>
      <c r="AH1022">
        <v>15</v>
      </c>
      <c r="AI1022">
        <v>142</v>
      </c>
      <c r="AJ1022">
        <v>52</v>
      </c>
      <c r="AK1022">
        <v>38</v>
      </c>
    </row>
    <row r="1023" spans="1:37">
      <c r="A1023" t="s">
        <v>1407</v>
      </c>
      <c r="B1023" t="s">
        <v>1754</v>
      </c>
      <c r="C1023">
        <v>25.3</v>
      </c>
      <c r="D1023" t="s">
        <v>82</v>
      </c>
      <c r="E1023">
        <v>23</v>
      </c>
      <c r="F1023">
        <v>0</v>
      </c>
      <c r="G1023">
        <v>0</v>
      </c>
      <c r="I1023">
        <v>1.1906</v>
      </c>
      <c r="J1023">
        <v>1.06085</v>
      </c>
      <c r="K1023">
        <v>0.9748599999999999</v>
      </c>
      <c r="L1023">
        <v>1.01006</v>
      </c>
      <c r="M1023">
        <v>0.84778</v>
      </c>
      <c r="N1023">
        <v>1.04927</v>
      </c>
      <c r="O1023">
        <v>1</v>
      </c>
      <c r="P1023">
        <v>0.9702499999999999</v>
      </c>
      <c r="Q1023">
        <v>1</v>
      </c>
      <c r="R1023">
        <v>1</v>
      </c>
      <c r="S1023">
        <v>1</v>
      </c>
      <c r="T1023">
        <v>1.03447</v>
      </c>
      <c r="U1023">
        <v>1</v>
      </c>
      <c r="V1023">
        <v>27.548</v>
      </c>
      <c r="W1023">
        <v>23.135</v>
      </c>
      <c r="X1023">
        <v>116.039</v>
      </c>
      <c r="Y1023">
        <v>48.672</v>
      </c>
      <c r="Z1023">
        <v>41.213</v>
      </c>
      <c r="AA1023">
        <v>256.606</v>
      </c>
      <c r="AB1023">
        <v>1.05506</v>
      </c>
      <c r="AC1023">
        <v>283</v>
      </c>
      <c r="AD1023">
        <v>0</v>
      </c>
      <c r="AG1023">
        <v>37</v>
      </c>
      <c r="AH1023">
        <v>28</v>
      </c>
      <c r="AI1023">
        <v>106</v>
      </c>
      <c r="AJ1023">
        <v>55</v>
      </c>
      <c r="AK1023">
        <v>57</v>
      </c>
    </row>
    <row r="1024" spans="1:37">
      <c r="A1024" t="s">
        <v>511</v>
      </c>
      <c r="B1024" t="s">
        <v>1751</v>
      </c>
      <c r="C1024">
        <v>26.4</v>
      </c>
      <c r="D1024" t="s">
        <v>82</v>
      </c>
      <c r="E1024">
        <v>24</v>
      </c>
      <c r="F1024">
        <v>0</v>
      </c>
      <c r="G1024">
        <v>0</v>
      </c>
      <c r="I1024">
        <v>1.19078</v>
      </c>
      <c r="J1024">
        <v>1.05155</v>
      </c>
      <c r="K1024">
        <v>0.9748599999999999</v>
      </c>
      <c r="L1024">
        <v>1.01017</v>
      </c>
      <c r="M1024">
        <v>0.90384</v>
      </c>
      <c r="N1024">
        <v>1.02172</v>
      </c>
      <c r="O1024">
        <v>1</v>
      </c>
      <c r="P1024">
        <v>0.97459</v>
      </c>
      <c r="Q1024">
        <v>1</v>
      </c>
      <c r="R1024">
        <v>1</v>
      </c>
      <c r="S1024">
        <v>1</v>
      </c>
      <c r="T1024">
        <v>1.07229</v>
      </c>
      <c r="U1024">
        <v>1</v>
      </c>
      <c r="V1024">
        <v>95.489</v>
      </c>
      <c r="W1024">
        <v>41.626</v>
      </c>
      <c r="X1024">
        <v>79.88800000000001</v>
      </c>
      <c r="Y1024">
        <v>17.736</v>
      </c>
      <c r="Z1024">
        <v>33.821</v>
      </c>
      <c r="AA1024">
        <v>268.559</v>
      </c>
      <c r="AB1024">
        <v>0.94557</v>
      </c>
      <c r="AC1024">
        <v>255</v>
      </c>
      <c r="AD1024">
        <v>1</v>
      </c>
      <c r="AG1024">
        <v>87</v>
      </c>
      <c r="AH1024">
        <v>42</v>
      </c>
      <c r="AI1024">
        <v>75</v>
      </c>
      <c r="AJ1024">
        <v>13</v>
      </c>
      <c r="AK1024">
        <v>38</v>
      </c>
    </row>
    <row r="1025" spans="1:37">
      <c r="A1025" t="s">
        <v>1408</v>
      </c>
      <c r="B1025" t="s">
        <v>1751</v>
      </c>
      <c r="C1025">
        <v>27.1</v>
      </c>
      <c r="D1025" t="s">
        <v>82</v>
      </c>
      <c r="E1025">
        <v>25</v>
      </c>
      <c r="F1025">
        <v>0</v>
      </c>
      <c r="G1025">
        <v>0</v>
      </c>
      <c r="I1025">
        <v>1.19097</v>
      </c>
      <c r="J1025">
        <v>1.05173</v>
      </c>
      <c r="K1025">
        <v>0.9748599999999999</v>
      </c>
      <c r="L1025">
        <v>1.01033</v>
      </c>
      <c r="M1025">
        <v>0.87798</v>
      </c>
      <c r="N1025">
        <v>1.01714</v>
      </c>
      <c r="O1025">
        <v>1</v>
      </c>
      <c r="P1025">
        <v>0.97202</v>
      </c>
      <c r="Q1025">
        <v>1</v>
      </c>
      <c r="R1025">
        <v>1</v>
      </c>
      <c r="S1025">
        <v>1</v>
      </c>
      <c r="T1025">
        <v>1.07148</v>
      </c>
      <c r="U1025">
        <v>1</v>
      </c>
      <c r="V1025">
        <v>90.883</v>
      </c>
      <c r="W1025">
        <v>41.566</v>
      </c>
      <c r="X1025">
        <v>76.401</v>
      </c>
      <c r="Y1025">
        <v>16.012</v>
      </c>
      <c r="Z1025">
        <v>34.034</v>
      </c>
      <c r="AA1025">
        <v>258.896</v>
      </c>
      <c r="AB1025">
        <v>1.04018</v>
      </c>
      <c r="AC1025">
        <v>276</v>
      </c>
      <c r="AD1025">
        <v>1</v>
      </c>
      <c r="AG1025">
        <v>100</v>
      </c>
      <c r="AH1025">
        <v>37</v>
      </c>
      <c r="AI1025">
        <v>84</v>
      </c>
      <c r="AJ1025">
        <v>11</v>
      </c>
      <c r="AK1025">
        <v>44</v>
      </c>
    </row>
    <row r="1026" spans="1:37">
      <c r="A1026" t="s">
        <v>1409</v>
      </c>
      <c r="B1026" t="s">
        <v>1751</v>
      </c>
      <c r="C1026">
        <v>25.6</v>
      </c>
      <c r="D1026" t="s">
        <v>82</v>
      </c>
      <c r="E1026">
        <v>26</v>
      </c>
      <c r="F1026">
        <v>0</v>
      </c>
      <c r="G1026">
        <v>0</v>
      </c>
      <c r="I1026">
        <v>1.19115</v>
      </c>
      <c r="J1026">
        <v>1.04181</v>
      </c>
      <c r="K1026">
        <v>0.9748599999999999</v>
      </c>
      <c r="L1026">
        <v>1.01054</v>
      </c>
      <c r="M1026">
        <v>0.90046</v>
      </c>
      <c r="N1026">
        <v>1.02715</v>
      </c>
      <c r="O1026">
        <v>1</v>
      </c>
      <c r="P1026">
        <v>0.96895</v>
      </c>
      <c r="Q1026">
        <v>1</v>
      </c>
      <c r="R1026">
        <v>1</v>
      </c>
      <c r="S1026">
        <v>1</v>
      </c>
      <c r="T1026">
        <v>1.06979</v>
      </c>
      <c r="U1026">
        <v>1</v>
      </c>
      <c r="V1026">
        <v>89.955</v>
      </c>
      <c r="W1026">
        <v>41.11</v>
      </c>
      <c r="X1026">
        <v>82.852</v>
      </c>
      <c r="Y1026">
        <v>17.66</v>
      </c>
      <c r="Z1026">
        <v>33.63</v>
      </c>
      <c r="AA1026">
        <v>265.207</v>
      </c>
      <c r="AB1026">
        <v>0.86621</v>
      </c>
      <c r="AC1026">
        <v>253</v>
      </c>
      <c r="AD1026">
        <v>1</v>
      </c>
      <c r="AG1026">
        <v>81</v>
      </c>
      <c r="AH1026">
        <v>37</v>
      </c>
      <c r="AI1026">
        <v>84</v>
      </c>
      <c r="AJ1026">
        <v>20</v>
      </c>
      <c r="AK1026">
        <v>31</v>
      </c>
    </row>
    <row r="1027" spans="1:37">
      <c r="A1027" t="s">
        <v>1410</v>
      </c>
      <c r="B1027" t="s">
        <v>1751</v>
      </c>
      <c r="C1027">
        <v>25.5</v>
      </c>
      <c r="D1027" t="s">
        <v>82</v>
      </c>
      <c r="E1027">
        <v>27</v>
      </c>
      <c r="F1027">
        <v>0</v>
      </c>
      <c r="G1027">
        <v>0</v>
      </c>
      <c r="I1027">
        <v>1.19134</v>
      </c>
      <c r="J1027">
        <v>1.05453</v>
      </c>
      <c r="K1027">
        <v>0.9748599999999999</v>
      </c>
      <c r="L1027">
        <v>1.0108</v>
      </c>
      <c r="M1027">
        <v>0.93663</v>
      </c>
      <c r="N1027">
        <v>1.03009</v>
      </c>
      <c r="O1027">
        <v>1</v>
      </c>
      <c r="P1027">
        <v>0.9680299999999999</v>
      </c>
      <c r="Q1027">
        <v>1</v>
      </c>
      <c r="R1027">
        <v>1</v>
      </c>
      <c r="S1027">
        <v>1</v>
      </c>
      <c r="T1027">
        <v>1.06672</v>
      </c>
      <c r="U1027">
        <v>1</v>
      </c>
      <c r="V1027">
        <v>89.26900000000001</v>
      </c>
      <c r="W1027">
        <v>39.548</v>
      </c>
      <c r="X1027">
        <v>93.95</v>
      </c>
      <c r="Y1027">
        <v>20.892</v>
      </c>
      <c r="Z1027">
        <v>35.854</v>
      </c>
      <c r="AA1027">
        <v>279.512</v>
      </c>
      <c r="AB1027">
        <v>0.93991</v>
      </c>
      <c r="AC1027">
        <v>221</v>
      </c>
      <c r="AD1027">
        <v>0</v>
      </c>
      <c r="AG1027">
        <v>75</v>
      </c>
      <c r="AH1027">
        <v>24</v>
      </c>
      <c r="AI1027">
        <v>76</v>
      </c>
      <c r="AJ1027">
        <v>19</v>
      </c>
      <c r="AK1027">
        <v>27</v>
      </c>
    </row>
    <row r="1028" spans="1:37">
      <c r="A1028" t="s">
        <v>1411</v>
      </c>
      <c r="B1028" t="s">
        <v>1752</v>
      </c>
      <c r="C1028">
        <v>26</v>
      </c>
      <c r="D1028" t="s">
        <v>82</v>
      </c>
      <c r="E1028">
        <v>28</v>
      </c>
      <c r="F1028">
        <v>0</v>
      </c>
      <c r="G1028">
        <v>0</v>
      </c>
      <c r="I1028">
        <v>1.19152</v>
      </c>
      <c r="J1028">
        <v>1.04379</v>
      </c>
      <c r="K1028">
        <v>0.9748599999999999</v>
      </c>
      <c r="L1028">
        <v>1.0111</v>
      </c>
      <c r="M1028">
        <v>1.1343</v>
      </c>
      <c r="N1028">
        <v>1.03499</v>
      </c>
      <c r="O1028">
        <v>1</v>
      </c>
      <c r="P1028">
        <v>0.96484</v>
      </c>
      <c r="Q1028">
        <v>1</v>
      </c>
      <c r="R1028">
        <v>1</v>
      </c>
      <c r="S1028">
        <v>1</v>
      </c>
      <c r="T1028">
        <v>1.05606</v>
      </c>
      <c r="U1028">
        <v>1</v>
      </c>
      <c r="V1028">
        <v>82.98699999999999</v>
      </c>
      <c r="W1028">
        <v>32.979</v>
      </c>
      <c r="X1028">
        <v>140.57</v>
      </c>
      <c r="Y1028">
        <v>35.209</v>
      </c>
      <c r="Z1028">
        <v>42.39</v>
      </c>
      <c r="AA1028">
        <v>334.136</v>
      </c>
      <c r="AB1028">
        <v>1.00184</v>
      </c>
      <c r="AC1028">
        <v>306</v>
      </c>
      <c r="AD1028">
        <v>0</v>
      </c>
      <c r="AG1028">
        <v>73</v>
      </c>
      <c r="AH1028">
        <v>27</v>
      </c>
      <c r="AI1028">
        <v>140</v>
      </c>
      <c r="AJ1028">
        <v>23</v>
      </c>
      <c r="AK1028">
        <v>43</v>
      </c>
    </row>
    <row r="1029" spans="1:37">
      <c r="A1029" t="s">
        <v>1412</v>
      </c>
      <c r="B1029" t="s">
        <v>1753</v>
      </c>
      <c r="C1029">
        <v>26.1</v>
      </c>
      <c r="D1029" t="s">
        <v>82</v>
      </c>
      <c r="E1029">
        <v>29</v>
      </c>
      <c r="F1029">
        <v>0</v>
      </c>
      <c r="G1029">
        <v>0</v>
      </c>
      <c r="I1029">
        <v>1.19171</v>
      </c>
      <c r="J1029">
        <v>1.02835</v>
      </c>
      <c r="K1029">
        <v>0.9748599999999999</v>
      </c>
      <c r="L1029">
        <v>1.01144</v>
      </c>
      <c r="M1029">
        <v>0.9059</v>
      </c>
      <c r="N1029">
        <v>1.04548</v>
      </c>
      <c r="O1029">
        <v>1</v>
      </c>
      <c r="P1029">
        <v>0.95847</v>
      </c>
      <c r="Q1029">
        <v>1</v>
      </c>
      <c r="R1029">
        <v>1</v>
      </c>
      <c r="S1029">
        <v>1</v>
      </c>
      <c r="T1029">
        <v>1.02944</v>
      </c>
      <c r="U1029">
        <v>1</v>
      </c>
      <c r="V1029">
        <v>19.561</v>
      </c>
      <c r="W1029">
        <v>14.222</v>
      </c>
      <c r="X1029">
        <v>128.728</v>
      </c>
      <c r="Y1029">
        <v>54.866</v>
      </c>
      <c r="Z1029">
        <v>45.481</v>
      </c>
      <c r="AA1029">
        <v>262.858</v>
      </c>
      <c r="AB1029">
        <v>1.01294</v>
      </c>
      <c r="AC1029">
        <v>245</v>
      </c>
      <c r="AD1029">
        <v>0</v>
      </c>
      <c r="AG1029">
        <v>18</v>
      </c>
      <c r="AH1029">
        <v>15</v>
      </c>
      <c r="AI1029">
        <v>125</v>
      </c>
      <c r="AJ1029">
        <v>42</v>
      </c>
      <c r="AK1029">
        <v>45</v>
      </c>
    </row>
    <row r="1030" spans="1:37">
      <c r="A1030" t="s">
        <v>1413</v>
      </c>
      <c r="B1030" t="s">
        <v>1754</v>
      </c>
      <c r="C1030">
        <v>26.8</v>
      </c>
      <c r="D1030" t="s">
        <v>82</v>
      </c>
      <c r="E1030">
        <v>30</v>
      </c>
      <c r="F1030">
        <v>0</v>
      </c>
      <c r="G1030">
        <v>0</v>
      </c>
      <c r="I1030">
        <v>1.19189</v>
      </c>
      <c r="J1030">
        <v>1.01548</v>
      </c>
      <c r="K1030">
        <v>0.9748599999999999</v>
      </c>
      <c r="L1030">
        <v>1.01182</v>
      </c>
      <c r="M1030">
        <v>0.84189</v>
      </c>
      <c r="N1030">
        <v>1.03337</v>
      </c>
      <c r="O1030">
        <v>1</v>
      </c>
      <c r="P1030">
        <v>0.9604</v>
      </c>
      <c r="Q1030">
        <v>1</v>
      </c>
      <c r="R1030">
        <v>1</v>
      </c>
      <c r="S1030">
        <v>1</v>
      </c>
      <c r="T1030">
        <v>1.03467</v>
      </c>
      <c r="U1030">
        <v>1</v>
      </c>
      <c r="V1030">
        <v>26.354</v>
      </c>
      <c r="W1030">
        <v>22.081</v>
      </c>
      <c r="X1030">
        <v>106.632</v>
      </c>
      <c r="Y1030">
        <v>45.132</v>
      </c>
      <c r="Z1030">
        <v>39.93</v>
      </c>
      <c r="AA1030">
        <v>240.129</v>
      </c>
      <c r="AB1030">
        <v>1.03886</v>
      </c>
      <c r="AC1030">
        <v>238</v>
      </c>
      <c r="AD1030">
        <v>0</v>
      </c>
      <c r="AG1030">
        <v>24</v>
      </c>
      <c r="AH1030">
        <v>10</v>
      </c>
      <c r="AI1030">
        <v>104</v>
      </c>
      <c r="AJ1030">
        <v>55</v>
      </c>
      <c r="AK1030">
        <v>45</v>
      </c>
    </row>
    <row r="1031" spans="1:37">
      <c r="A1031" t="s">
        <v>512</v>
      </c>
      <c r="B1031" t="s">
        <v>1751</v>
      </c>
      <c r="C1031">
        <v>28.7</v>
      </c>
      <c r="D1031" t="s">
        <v>82</v>
      </c>
      <c r="E1031">
        <v>31</v>
      </c>
      <c r="F1031">
        <v>0</v>
      </c>
      <c r="G1031">
        <v>0</v>
      </c>
      <c r="I1031">
        <v>1.19208</v>
      </c>
      <c r="J1031">
        <v>1.0144</v>
      </c>
      <c r="K1031">
        <v>0.9748599999999999</v>
      </c>
      <c r="L1031">
        <v>1.01223</v>
      </c>
      <c r="M1031">
        <v>0.90694</v>
      </c>
      <c r="N1031">
        <v>1.00602</v>
      </c>
      <c r="O1031">
        <v>1</v>
      </c>
      <c r="P1031">
        <v>0.96973</v>
      </c>
      <c r="Q1031">
        <v>1</v>
      </c>
      <c r="R1031">
        <v>1</v>
      </c>
      <c r="S1031">
        <v>1</v>
      </c>
      <c r="T1031">
        <v>1.07315</v>
      </c>
      <c r="U1031">
        <v>1</v>
      </c>
      <c r="V1031">
        <v>92.194</v>
      </c>
      <c r="W1031">
        <v>40.127</v>
      </c>
      <c r="X1031">
        <v>72.393</v>
      </c>
      <c r="Y1031">
        <v>16.343</v>
      </c>
      <c r="Z1031">
        <v>33.513</v>
      </c>
      <c r="AA1031">
        <v>254.571</v>
      </c>
      <c r="AB1031">
        <v>0.93342</v>
      </c>
      <c r="AC1031">
        <v>248</v>
      </c>
      <c r="AD1031">
        <v>0</v>
      </c>
      <c r="AG1031">
        <v>83</v>
      </c>
      <c r="AH1031">
        <v>54</v>
      </c>
      <c r="AI1031">
        <v>57</v>
      </c>
      <c r="AJ1031">
        <v>17</v>
      </c>
      <c r="AK1031">
        <v>37</v>
      </c>
    </row>
    <row r="1032" spans="1:37">
      <c r="A1032" t="s">
        <v>1414</v>
      </c>
      <c r="B1032" t="s">
        <v>1751</v>
      </c>
      <c r="C1032">
        <v>27.6</v>
      </c>
      <c r="D1032" t="s">
        <v>82</v>
      </c>
      <c r="E1032">
        <v>0</v>
      </c>
      <c r="F1032">
        <v>0</v>
      </c>
      <c r="G1032">
        <v>0</v>
      </c>
      <c r="I1032">
        <v>1.19226</v>
      </c>
      <c r="J1032">
        <v>1.02514</v>
      </c>
      <c r="K1032">
        <v>0.9748599999999999</v>
      </c>
      <c r="L1032">
        <v>1.01268</v>
      </c>
      <c r="M1032">
        <v>0.87418</v>
      </c>
      <c r="N1032">
        <v>1.01435</v>
      </c>
      <c r="O1032">
        <v>1</v>
      </c>
      <c r="P1032">
        <v>1.06097</v>
      </c>
      <c r="Q1032">
        <v>1</v>
      </c>
      <c r="R1032">
        <v>1</v>
      </c>
      <c r="S1032">
        <v>1</v>
      </c>
      <c r="T1032">
        <v>1.06894</v>
      </c>
      <c r="U1032">
        <v>1</v>
      </c>
      <c r="V1032">
        <v>92.431</v>
      </c>
      <c r="W1032">
        <v>43.378</v>
      </c>
      <c r="X1032">
        <v>83.895</v>
      </c>
      <c r="Y1032">
        <v>17.646</v>
      </c>
      <c r="Z1032">
        <v>38.104</v>
      </c>
      <c r="AA1032">
        <v>275.454</v>
      </c>
      <c r="AB1032">
        <v>1.02613</v>
      </c>
      <c r="AC1032">
        <v>304</v>
      </c>
      <c r="AD1032">
        <v>0</v>
      </c>
      <c r="AG1032">
        <v>98</v>
      </c>
      <c r="AH1032">
        <v>52</v>
      </c>
      <c r="AI1032">
        <v>88</v>
      </c>
      <c r="AJ1032">
        <v>24</v>
      </c>
      <c r="AK1032">
        <v>42</v>
      </c>
    </row>
    <row r="1033" spans="1:37">
      <c r="A1033" t="s">
        <v>1415</v>
      </c>
      <c r="B1033" t="s">
        <v>1751</v>
      </c>
      <c r="C1033">
        <v>25.7</v>
      </c>
      <c r="D1033" t="s">
        <v>82</v>
      </c>
      <c r="E1033">
        <v>1</v>
      </c>
      <c r="F1033">
        <v>0</v>
      </c>
      <c r="G1033">
        <v>0</v>
      </c>
      <c r="I1033">
        <v>1.19245</v>
      </c>
      <c r="J1033">
        <v>1.02735</v>
      </c>
      <c r="K1033">
        <v>0.9748599999999999</v>
      </c>
      <c r="L1033">
        <v>1.01315</v>
      </c>
      <c r="M1033">
        <v>0.8976</v>
      </c>
      <c r="N1033">
        <v>1.0275</v>
      </c>
      <c r="O1033">
        <v>1</v>
      </c>
      <c r="P1033">
        <v>1.04161</v>
      </c>
      <c r="Q1033">
        <v>1</v>
      </c>
      <c r="R1033">
        <v>1</v>
      </c>
      <c r="S1033">
        <v>1</v>
      </c>
      <c r="T1033">
        <v>1.06764</v>
      </c>
      <c r="U1033">
        <v>1</v>
      </c>
      <c r="V1033">
        <v>91.884</v>
      </c>
      <c r="W1033">
        <v>42.881</v>
      </c>
      <c r="X1033">
        <v>90.864</v>
      </c>
      <c r="Y1033">
        <v>19.378</v>
      </c>
      <c r="Z1033">
        <v>37.007</v>
      </c>
      <c r="AA1033">
        <v>282.014</v>
      </c>
      <c r="AB1033">
        <v>1.05086</v>
      </c>
      <c r="AC1033">
        <v>263</v>
      </c>
      <c r="AD1033">
        <v>0</v>
      </c>
      <c r="AG1033">
        <v>95</v>
      </c>
      <c r="AH1033">
        <v>32</v>
      </c>
      <c r="AI1033">
        <v>85</v>
      </c>
      <c r="AJ1033">
        <v>16</v>
      </c>
      <c r="AK1033">
        <v>35</v>
      </c>
    </row>
    <row r="1034" spans="1:37">
      <c r="A1034" t="s">
        <v>1416</v>
      </c>
      <c r="B1034" t="s">
        <v>1751</v>
      </c>
      <c r="C1034">
        <v>25.9</v>
      </c>
      <c r="D1034" t="s">
        <v>82</v>
      </c>
      <c r="E1034">
        <v>2</v>
      </c>
      <c r="F1034">
        <v>0</v>
      </c>
      <c r="G1034">
        <v>0</v>
      </c>
      <c r="I1034">
        <v>1.19263</v>
      </c>
      <c r="J1034">
        <v>1.02374</v>
      </c>
      <c r="K1034">
        <v>0.9748599999999999</v>
      </c>
      <c r="L1034">
        <v>1.01363</v>
      </c>
      <c r="M1034">
        <v>0.93589</v>
      </c>
      <c r="N1034">
        <v>1.02834</v>
      </c>
      <c r="O1034">
        <v>1</v>
      </c>
      <c r="P1034">
        <v>1.02871</v>
      </c>
      <c r="Q1034">
        <v>1</v>
      </c>
      <c r="R1034">
        <v>1</v>
      </c>
      <c r="S1034">
        <v>1</v>
      </c>
      <c r="T1034">
        <v>1.06506</v>
      </c>
      <c r="U1034">
        <v>1</v>
      </c>
      <c r="V1034">
        <v>89.261</v>
      </c>
      <c r="W1034">
        <v>40.227</v>
      </c>
      <c r="X1034">
        <v>98.95699999999999</v>
      </c>
      <c r="Y1034">
        <v>22.055</v>
      </c>
      <c r="Z1034">
        <v>38.284</v>
      </c>
      <c r="AA1034">
        <v>288.785</v>
      </c>
      <c r="AB1034">
        <v>0.93719</v>
      </c>
      <c r="AC1034">
        <v>296</v>
      </c>
      <c r="AD1034">
        <v>1</v>
      </c>
      <c r="AG1034">
        <v>81</v>
      </c>
      <c r="AH1034">
        <v>38</v>
      </c>
      <c r="AI1034">
        <v>102</v>
      </c>
      <c r="AJ1034">
        <v>27</v>
      </c>
      <c r="AK1034">
        <v>48</v>
      </c>
    </row>
    <row r="1035" spans="1:37">
      <c r="A1035" t="s">
        <v>1417</v>
      </c>
      <c r="B1035" t="s">
        <v>1752</v>
      </c>
      <c r="C1035">
        <v>25.4</v>
      </c>
      <c r="D1035" t="s">
        <v>82</v>
      </c>
      <c r="E1035">
        <v>3</v>
      </c>
      <c r="F1035">
        <v>0</v>
      </c>
      <c r="G1035">
        <v>0</v>
      </c>
      <c r="I1035">
        <v>1.19282</v>
      </c>
      <c r="J1035">
        <v>1.02551</v>
      </c>
      <c r="K1035">
        <v>0.9748599999999999</v>
      </c>
      <c r="L1035">
        <v>1.01414</v>
      </c>
      <c r="M1035">
        <v>1.14065</v>
      </c>
      <c r="N1035">
        <v>1.04077</v>
      </c>
      <c r="O1035">
        <v>1</v>
      </c>
      <c r="P1035">
        <v>1.02121</v>
      </c>
      <c r="Q1035">
        <v>1</v>
      </c>
      <c r="R1035">
        <v>1</v>
      </c>
      <c r="S1035">
        <v>1</v>
      </c>
      <c r="T1035">
        <v>1.05461</v>
      </c>
      <c r="U1035">
        <v>1</v>
      </c>
      <c r="V1035">
        <v>83.664</v>
      </c>
      <c r="W1035">
        <v>33.735</v>
      </c>
      <c r="X1035">
        <v>150.951</v>
      </c>
      <c r="Y1035">
        <v>37.682</v>
      </c>
      <c r="Z1035">
        <v>44.599</v>
      </c>
      <c r="AA1035">
        <v>350.63</v>
      </c>
      <c r="AB1035">
        <v>0.99171</v>
      </c>
      <c r="AC1035">
        <v>325</v>
      </c>
      <c r="AD1035">
        <v>0</v>
      </c>
      <c r="AG1035">
        <v>92</v>
      </c>
      <c r="AH1035">
        <v>28</v>
      </c>
      <c r="AI1035">
        <v>126</v>
      </c>
      <c r="AJ1035">
        <v>44</v>
      </c>
      <c r="AK1035">
        <v>35</v>
      </c>
    </row>
    <row r="1036" spans="1:37">
      <c r="A1036" t="s">
        <v>1418</v>
      </c>
      <c r="B1036" t="s">
        <v>1753</v>
      </c>
      <c r="C1036">
        <v>24.9</v>
      </c>
      <c r="D1036" t="s">
        <v>82</v>
      </c>
      <c r="E1036">
        <v>4</v>
      </c>
      <c r="F1036">
        <v>0</v>
      </c>
      <c r="G1036">
        <v>0</v>
      </c>
      <c r="I1036">
        <v>1.19301</v>
      </c>
      <c r="J1036">
        <v>1.0213</v>
      </c>
      <c r="K1036">
        <v>0.9748599999999999</v>
      </c>
      <c r="L1036">
        <v>1.01465</v>
      </c>
      <c r="M1036">
        <v>0.9221200000000001</v>
      </c>
      <c r="N1036">
        <v>1.05832</v>
      </c>
      <c r="O1036">
        <v>1</v>
      </c>
      <c r="P1036">
        <v>1.01679</v>
      </c>
      <c r="Q1036">
        <v>1</v>
      </c>
      <c r="R1036">
        <v>1</v>
      </c>
      <c r="S1036">
        <v>1</v>
      </c>
      <c r="T1036">
        <v>1.02901</v>
      </c>
      <c r="U1036">
        <v>1</v>
      </c>
      <c r="V1036">
        <v>19.884</v>
      </c>
      <c r="W1036">
        <v>14.643</v>
      </c>
      <c r="X1036">
        <v>140.071</v>
      </c>
      <c r="Y1036">
        <v>59.317</v>
      </c>
      <c r="Z1036">
        <v>47.551</v>
      </c>
      <c r="AA1036">
        <v>281.466</v>
      </c>
      <c r="AB1036">
        <v>1.02216</v>
      </c>
      <c r="AC1036">
        <v>273</v>
      </c>
      <c r="AD1036">
        <v>0</v>
      </c>
      <c r="AG1036">
        <v>23</v>
      </c>
      <c r="AH1036">
        <v>12</v>
      </c>
      <c r="AI1036">
        <v>124</v>
      </c>
      <c r="AJ1036">
        <v>61</v>
      </c>
      <c r="AK1036">
        <v>53</v>
      </c>
    </row>
    <row r="1037" spans="1:37">
      <c r="A1037" t="s">
        <v>1419</v>
      </c>
      <c r="B1037" t="s">
        <v>1754</v>
      </c>
      <c r="C1037">
        <v>24.9</v>
      </c>
      <c r="D1037" t="s">
        <v>82</v>
      </c>
      <c r="E1037">
        <v>5</v>
      </c>
      <c r="F1037">
        <v>0</v>
      </c>
      <c r="G1037">
        <v>0</v>
      </c>
      <c r="I1037">
        <v>1.19319</v>
      </c>
      <c r="J1037">
        <v>1.0244</v>
      </c>
      <c r="K1037">
        <v>0.99698</v>
      </c>
      <c r="L1037">
        <v>1.01517</v>
      </c>
      <c r="M1037">
        <v>0.85506</v>
      </c>
      <c r="N1037">
        <v>1.05296</v>
      </c>
      <c r="O1037">
        <v>1</v>
      </c>
      <c r="P1037">
        <v>1.01075</v>
      </c>
      <c r="Q1037">
        <v>1</v>
      </c>
      <c r="R1037">
        <v>1</v>
      </c>
      <c r="S1037">
        <v>1</v>
      </c>
      <c r="T1037">
        <v>1.03402</v>
      </c>
      <c r="U1037">
        <v>1</v>
      </c>
      <c r="V1037">
        <v>27.783</v>
      </c>
      <c r="W1037">
        <v>23.55</v>
      </c>
      <c r="X1037">
        <v>121.758</v>
      </c>
      <c r="Y1037">
        <v>50.972</v>
      </c>
      <c r="Z1037">
        <v>42.7</v>
      </c>
      <c r="AA1037">
        <v>266.762</v>
      </c>
      <c r="AB1037">
        <v>0.98565</v>
      </c>
      <c r="AC1037">
        <v>258</v>
      </c>
      <c r="AD1037">
        <v>0</v>
      </c>
      <c r="AG1037">
        <v>31</v>
      </c>
      <c r="AH1037">
        <v>34</v>
      </c>
      <c r="AI1037">
        <v>111</v>
      </c>
      <c r="AJ1037">
        <v>45</v>
      </c>
      <c r="AK1037">
        <v>37</v>
      </c>
    </row>
    <row r="1038" spans="1:37">
      <c r="A1038" t="s">
        <v>513</v>
      </c>
      <c r="B1038" t="s">
        <v>1751</v>
      </c>
      <c r="C1038">
        <v>25.4</v>
      </c>
      <c r="D1038" t="s">
        <v>82</v>
      </c>
      <c r="E1038">
        <v>6</v>
      </c>
      <c r="F1038">
        <v>0</v>
      </c>
      <c r="G1038">
        <v>0</v>
      </c>
      <c r="I1038">
        <v>1.19338</v>
      </c>
      <c r="J1038">
        <v>1.02357</v>
      </c>
      <c r="K1038">
        <v>0.99698</v>
      </c>
      <c r="L1038">
        <v>1.01568</v>
      </c>
      <c r="M1038">
        <v>0.90106</v>
      </c>
      <c r="N1038">
        <v>1.02775</v>
      </c>
      <c r="O1038">
        <v>1</v>
      </c>
      <c r="P1038">
        <v>1.00555</v>
      </c>
      <c r="Q1038">
        <v>1</v>
      </c>
      <c r="R1038">
        <v>1</v>
      </c>
      <c r="S1038">
        <v>1</v>
      </c>
      <c r="T1038">
        <v>1.07107</v>
      </c>
      <c r="U1038">
        <v>1</v>
      </c>
      <c r="V1038">
        <v>97.111</v>
      </c>
      <c r="W1038">
        <v>42.726</v>
      </c>
      <c r="X1038">
        <v>85.7</v>
      </c>
      <c r="Y1038">
        <v>18.915</v>
      </c>
      <c r="Z1038">
        <v>35.04</v>
      </c>
      <c r="AA1038">
        <v>279.491</v>
      </c>
      <c r="AB1038">
        <v>0.89002</v>
      </c>
      <c r="AC1038">
        <v>263</v>
      </c>
      <c r="AD1038">
        <v>0</v>
      </c>
      <c r="AG1038">
        <v>83</v>
      </c>
      <c r="AH1038">
        <v>47</v>
      </c>
      <c r="AI1038">
        <v>87</v>
      </c>
      <c r="AJ1038">
        <v>13</v>
      </c>
      <c r="AK1038">
        <v>33</v>
      </c>
    </row>
    <row r="1039" spans="1:37">
      <c r="A1039" t="s">
        <v>1420</v>
      </c>
      <c r="B1039" t="s">
        <v>1751</v>
      </c>
      <c r="C1039">
        <v>24.6</v>
      </c>
      <c r="D1039" t="s">
        <v>82</v>
      </c>
      <c r="E1039">
        <v>7</v>
      </c>
      <c r="F1039">
        <v>0</v>
      </c>
      <c r="G1039">
        <v>0</v>
      </c>
      <c r="I1039">
        <v>1.19356</v>
      </c>
      <c r="J1039">
        <v>1.01563</v>
      </c>
      <c r="K1039">
        <v>0.99698</v>
      </c>
      <c r="L1039">
        <v>1.01619</v>
      </c>
      <c r="M1039">
        <v>0.8737200000000001</v>
      </c>
      <c r="N1039">
        <v>1.03104</v>
      </c>
      <c r="O1039">
        <v>1</v>
      </c>
      <c r="P1039">
        <v>1.00374</v>
      </c>
      <c r="Q1039">
        <v>1</v>
      </c>
      <c r="R1039">
        <v>1</v>
      </c>
      <c r="S1039">
        <v>1</v>
      </c>
      <c r="T1039">
        <v>1.06995</v>
      </c>
      <c r="U1039">
        <v>1</v>
      </c>
      <c r="V1039">
        <v>91.755</v>
      </c>
      <c r="W1039">
        <v>42.365</v>
      </c>
      <c r="X1039">
        <v>83.92700000000001</v>
      </c>
      <c r="Y1039">
        <v>17.338</v>
      </c>
      <c r="Z1039">
        <v>34.306</v>
      </c>
      <c r="AA1039">
        <v>269.691</v>
      </c>
      <c r="AB1039">
        <v>1.03131</v>
      </c>
      <c r="AC1039">
        <v>274</v>
      </c>
      <c r="AD1039">
        <v>0</v>
      </c>
      <c r="AG1039">
        <v>95</v>
      </c>
      <c r="AH1039">
        <v>31</v>
      </c>
      <c r="AI1039">
        <v>92</v>
      </c>
      <c r="AJ1039">
        <v>20</v>
      </c>
      <c r="AK1039">
        <v>36</v>
      </c>
    </row>
    <row r="1040" spans="1:37">
      <c r="A1040" t="s">
        <v>1421</v>
      </c>
      <c r="B1040" t="s">
        <v>1751</v>
      </c>
      <c r="C1040">
        <v>21.4</v>
      </c>
      <c r="D1040" t="s">
        <v>82</v>
      </c>
      <c r="E1040">
        <v>8</v>
      </c>
      <c r="F1040">
        <v>0</v>
      </c>
      <c r="G1040">
        <v>0</v>
      </c>
      <c r="I1040">
        <v>1.19375</v>
      </c>
      <c r="J1040">
        <v>1.01966</v>
      </c>
      <c r="K1040">
        <v>0.99698</v>
      </c>
      <c r="L1040">
        <v>1.01668</v>
      </c>
      <c r="M1040">
        <v>0.8974800000000001</v>
      </c>
      <c r="N1040">
        <v>1.03377</v>
      </c>
      <c r="O1040">
        <v>1</v>
      </c>
      <c r="P1040">
        <v>1.00254</v>
      </c>
      <c r="Q1040">
        <v>1</v>
      </c>
      <c r="R1040">
        <v>1</v>
      </c>
      <c r="S1040">
        <v>1</v>
      </c>
      <c r="T1040">
        <v>1.06867</v>
      </c>
      <c r="U1040">
        <v>1</v>
      </c>
      <c r="V1040">
        <v>92.128</v>
      </c>
      <c r="W1040">
        <v>42.522</v>
      </c>
      <c r="X1040">
        <v>91.148</v>
      </c>
      <c r="Y1040">
        <v>19.232</v>
      </c>
      <c r="Z1040">
        <v>33.56</v>
      </c>
      <c r="AA1040">
        <v>278.589</v>
      </c>
      <c r="AB1040">
        <v>0.99336</v>
      </c>
      <c r="AC1040">
        <v>289</v>
      </c>
      <c r="AD1040">
        <v>0</v>
      </c>
      <c r="AG1040">
        <v>96</v>
      </c>
      <c r="AH1040">
        <v>40</v>
      </c>
      <c r="AI1040">
        <v>92</v>
      </c>
      <c r="AJ1040">
        <v>22</v>
      </c>
      <c r="AK1040">
        <v>39</v>
      </c>
    </row>
    <row r="1041" spans="1:37">
      <c r="A1041" t="s">
        <v>1422</v>
      </c>
      <c r="B1041" t="s">
        <v>1751</v>
      </c>
      <c r="C1041">
        <v>22.5</v>
      </c>
      <c r="D1041" t="s">
        <v>82</v>
      </c>
      <c r="E1041">
        <v>9</v>
      </c>
      <c r="F1041">
        <v>0</v>
      </c>
      <c r="G1041">
        <v>0</v>
      </c>
      <c r="I1041">
        <v>1.19393</v>
      </c>
      <c r="J1041">
        <v>1.01235</v>
      </c>
      <c r="K1041">
        <v>0.99698</v>
      </c>
      <c r="L1041">
        <v>1.01716</v>
      </c>
      <c r="M1041">
        <v>0.93551</v>
      </c>
      <c r="N1041">
        <v>1.03936</v>
      </c>
      <c r="O1041">
        <v>1</v>
      </c>
      <c r="P1041">
        <v>1.00175</v>
      </c>
      <c r="Q1041">
        <v>1</v>
      </c>
      <c r="R1041">
        <v>1</v>
      </c>
      <c r="S1041">
        <v>1</v>
      </c>
      <c r="T1041">
        <v>1.0655</v>
      </c>
      <c r="U1041">
        <v>1</v>
      </c>
      <c r="V1041">
        <v>89.661</v>
      </c>
      <c r="W1041">
        <v>40.107</v>
      </c>
      <c r="X1041">
        <v>101.116</v>
      </c>
      <c r="Y1041">
        <v>22.27</v>
      </c>
      <c r="Z1041">
        <v>35.687</v>
      </c>
      <c r="AA1041">
        <v>288.841</v>
      </c>
      <c r="AB1041">
        <v>1.00867</v>
      </c>
      <c r="AC1041">
        <v>303</v>
      </c>
      <c r="AD1041">
        <v>0</v>
      </c>
      <c r="AG1041">
        <v>85</v>
      </c>
      <c r="AH1041">
        <v>35</v>
      </c>
      <c r="AI1041">
        <v>119</v>
      </c>
      <c r="AJ1041">
        <v>28</v>
      </c>
      <c r="AK1041">
        <v>36</v>
      </c>
    </row>
    <row r="1042" spans="1:37">
      <c r="A1042" t="s">
        <v>1423</v>
      </c>
      <c r="B1042" t="s">
        <v>1752</v>
      </c>
      <c r="C1042">
        <v>21.5</v>
      </c>
      <c r="D1042" t="s">
        <v>82</v>
      </c>
      <c r="E1042">
        <v>10</v>
      </c>
      <c r="F1042">
        <v>0</v>
      </c>
      <c r="G1042">
        <v>0</v>
      </c>
      <c r="I1042">
        <v>1.19412</v>
      </c>
      <c r="J1042">
        <v>1.01067</v>
      </c>
      <c r="K1042">
        <v>0.99698</v>
      </c>
      <c r="L1042">
        <v>1.01761</v>
      </c>
      <c r="M1042">
        <v>1.14249</v>
      </c>
      <c r="N1042">
        <v>1.05096</v>
      </c>
      <c r="O1042">
        <v>1</v>
      </c>
      <c r="P1042">
        <v>1.00129</v>
      </c>
      <c r="Q1042">
        <v>1</v>
      </c>
      <c r="R1042">
        <v>1</v>
      </c>
      <c r="S1042">
        <v>1</v>
      </c>
      <c r="T1042">
        <v>1.05491</v>
      </c>
      <c r="U1042">
        <v>1</v>
      </c>
      <c r="V1042">
        <v>84.063</v>
      </c>
      <c r="W1042">
        <v>33.725</v>
      </c>
      <c r="X1042">
        <v>154.047</v>
      </c>
      <c r="Y1042">
        <v>38.105</v>
      </c>
      <c r="Z1042">
        <v>41.609</v>
      </c>
      <c r="AA1042">
        <v>351.549</v>
      </c>
      <c r="AB1042">
        <v>0.98101</v>
      </c>
      <c r="AC1042">
        <v>365</v>
      </c>
      <c r="AD1042">
        <v>0</v>
      </c>
      <c r="AG1042">
        <v>85</v>
      </c>
      <c r="AH1042">
        <v>23</v>
      </c>
      <c r="AI1042">
        <v>182</v>
      </c>
      <c r="AJ1042">
        <v>40</v>
      </c>
      <c r="AK1042">
        <v>35</v>
      </c>
    </row>
    <row r="1043" spans="1:37">
      <c r="A1043" t="s">
        <v>1424</v>
      </c>
      <c r="B1043" t="s">
        <v>1753</v>
      </c>
      <c r="C1043">
        <v>22.1</v>
      </c>
      <c r="D1043" t="s">
        <v>82</v>
      </c>
      <c r="E1043">
        <v>11</v>
      </c>
      <c r="F1043">
        <v>0</v>
      </c>
      <c r="G1043">
        <v>0</v>
      </c>
      <c r="I1043">
        <v>1.1943</v>
      </c>
      <c r="J1043">
        <v>1.00638</v>
      </c>
      <c r="K1043">
        <v>0.99698</v>
      </c>
      <c r="L1043">
        <v>1.01803</v>
      </c>
      <c r="M1043">
        <v>0.9228499999999999</v>
      </c>
      <c r="N1043">
        <v>1.06847</v>
      </c>
      <c r="O1043">
        <v>1</v>
      </c>
      <c r="P1043">
        <v>1.00102</v>
      </c>
      <c r="Q1043">
        <v>1</v>
      </c>
      <c r="R1043">
        <v>1</v>
      </c>
      <c r="S1043">
        <v>1</v>
      </c>
      <c r="T1043">
        <v>1.02922</v>
      </c>
      <c r="U1043">
        <v>1</v>
      </c>
      <c r="V1043">
        <v>20.025</v>
      </c>
      <c r="W1043">
        <v>14.697</v>
      </c>
      <c r="X1043">
        <v>142.925</v>
      </c>
      <c r="Y1043">
        <v>60.111</v>
      </c>
      <c r="Z1043">
        <v>45.441</v>
      </c>
      <c r="AA1043">
        <v>283.198</v>
      </c>
      <c r="AB1043">
        <v>1.12783</v>
      </c>
      <c r="AC1043">
        <v>335</v>
      </c>
      <c r="AD1043">
        <v>0</v>
      </c>
      <c r="AG1043">
        <v>31</v>
      </c>
      <c r="AH1043">
        <v>11</v>
      </c>
      <c r="AI1043">
        <v>176</v>
      </c>
      <c r="AJ1043">
        <v>71</v>
      </c>
      <c r="AK1043">
        <v>46</v>
      </c>
    </row>
    <row r="1044" spans="1:37">
      <c r="A1044" t="s">
        <v>1425</v>
      </c>
      <c r="B1044" t="s">
        <v>1754</v>
      </c>
      <c r="C1044">
        <v>19.8</v>
      </c>
      <c r="D1044" t="s">
        <v>82</v>
      </c>
      <c r="E1044">
        <v>12</v>
      </c>
      <c r="F1044">
        <v>0</v>
      </c>
      <c r="G1044">
        <v>0</v>
      </c>
      <c r="I1044">
        <v>1.19449</v>
      </c>
      <c r="J1044">
        <v>1.00896</v>
      </c>
      <c r="K1044">
        <v>0.99698</v>
      </c>
      <c r="L1044">
        <v>1.01843</v>
      </c>
      <c r="M1044">
        <v>0.8529099999999999</v>
      </c>
      <c r="N1044">
        <v>1.04719</v>
      </c>
      <c r="O1044">
        <v>1</v>
      </c>
      <c r="P1044">
        <v>1.00065</v>
      </c>
      <c r="Q1044">
        <v>1</v>
      </c>
      <c r="R1044">
        <v>1</v>
      </c>
      <c r="S1044">
        <v>1</v>
      </c>
      <c r="T1044">
        <v>1.03447</v>
      </c>
      <c r="U1044">
        <v>1</v>
      </c>
      <c r="V1044">
        <v>27.388</v>
      </c>
      <c r="W1044">
        <v>23.162</v>
      </c>
      <c r="X1044">
        <v>120.317</v>
      </c>
      <c r="Y1044">
        <v>50.224</v>
      </c>
      <c r="Z1044">
        <v>38.731</v>
      </c>
      <c r="AA1044">
        <v>259.823</v>
      </c>
      <c r="AB1044">
        <v>1.00368</v>
      </c>
      <c r="AC1044">
        <v>260</v>
      </c>
      <c r="AD1044">
        <v>0</v>
      </c>
      <c r="AG1044">
        <v>25</v>
      </c>
      <c r="AH1044">
        <v>23</v>
      </c>
      <c r="AI1044">
        <v>127</v>
      </c>
      <c r="AJ1044">
        <v>57</v>
      </c>
      <c r="AK1044">
        <v>28</v>
      </c>
    </row>
    <row r="1045" spans="1:37">
      <c r="A1045" t="s">
        <v>514</v>
      </c>
      <c r="B1045" t="s">
        <v>1751</v>
      </c>
      <c r="C1045">
        <v>19.6</v>
      </c>
      <c r="D1045" t="s">
        <v>82</v>
      </c>
      <c r="E1045">
        <v>13</v>
      </c>
      <c r="F1045">
        <v>0</v>
      </c>
      <c r="G1045">
        <v>0</v>
      </c>
      <c r="I1045">
        <v>1.19467</v>
      </c>
      <c r="J1045">
        <v>1.0069</v>
      </c>
      <c r="K1045">
        <v>0.99698</v>
      </c>
      <c r="L1045">
        <v>1.01878</v>
      </c>
      <c r="M1045">
        <v>0.9005300000000001</v>
      </c>
      <c r="N1045">
        <v>1.02322</v>
      </c>
      <c r="O1045">
        <v>1</v>
      </c>
      <c r="P1045">
        <v>1.00034</v>
      </c>
      <c r="Q1045">
        <v>1</v>
      </c>
      <c r="R1045">
        <v>1</v>
      </c>
      <c r="S1045">
        <v>1</v>
      </c>
      <c r="T1045">
        <v>1.07173</v>
      </c>
      <c r="U1045">
        <v>1</v>
      </c>
      <c r="V1045">
        <v>95.705</v>
      </c>
      <c r="W1045">
        <v>42.043</v>
      </c>
      <c r="X1045">
        <v>85.408</v>
      </c>
      <c r="Y1045">
        <v>18.764</v>
      </c>
      <c r="Z1045">
        <v>31.536</v>
      </c>
      <c r="AA1045">
        <v>273.455</v>
      </c>
      <c r="AB1045">
        <v>1.11269</v>
      </c>
      <c r="AC1045">
        <v>285</v>
      </c>
      <c r="AD1045">
        <v>0</v>
      </c>
      <c r="AG1045">
        <v>109</v>
      </c>
      <c r="AH1045">
        <v>49</v>
      </c>
      <c r="AI1045">
        <v>93</v>
      </c>
      <c r="AJ1045">
        <v>13</v>
      </c>
      <c r="AK1045">
        <v>21</v>
      </c>
    </row>
    <row r="1046" spans="1:37">
      <c r="A1046" t="s">
        <v>1426</v>
      </c>
      <c r="B1046" t="s">
        <v>1751</v>
      </c>
      <c r="C1046">
        <v>21.9</v>
      </c>
      <c r="D1046" t="s">
        <v>82</v>
      </c>
      <c r="E1046">
        <v>14</v>
      </c>
      <c r="F1046">
        <v>0</v>
      </c>
      <c r="G1046">
        <v>0</v>
      </c>
      <c r="I1046">
        <v>1.19486</v>
      </c>
      <c r="J1046">
        <v>1.01373</v>
      </c>
      <c r="K1046">
        <v>0.99698</v>
      </c>
      <c r="L1046">
        <v>1.0191</v>
      </c>
      <c r="M1046">
        <v>0.87278</v>
      </c>
      <c r="N1046">
        <v>1.03345</v>
      </c>
      <c r="O1046">
        <v>1</v>
      </c>
      <c r="P1046">
        <v>1.00023</v>
      </c>
      <c r="Q1046">
        <v>1</v>
      </c>
      <c r="R1046">
        <v>1</v>
      </c>
      <c r="S1046">
        <v>1</v>
      </c>
      <c r="T1046">
        <v>1.07007</v>
      </c>
      <c r="U1046">
        <v>1</v>
      </c>
      <c r="V1046">
        <v>91.804</v>
      </c>
      <c r="W1046">
        <v>42.344</v>
      </c>
      <c r="X1046">
        <v>85.378</v>
      </c>
      <c r="Y1046">
        <v>17.541</v>
      </c>
      <c r="Z1046">
        <v>32.883</v>
      </c>
      <c r="AA1046">
        <v>269.949</v>
      </c>
      <c r="AB1046">
        <v>0.99678</v>
      </c>
      <c r="AC1046">
        <v>253</v>
      </c>
      <c r="AD1046">
        <v>0</v>
      </c>
      <c r="AG1046">
        <v>83</v>
      </c>
      <c r="AH1046">
        <v>48</v>
      </c>
      <c r="AI1046">
        <v>79</v>
      </c>
      <c r="AJ1046">
        <v>14</v>
      </c>
      <c r="AK1046">
        <v>29</v>
      </c>
    </row>
    <row r="1047" spans="1:37">
      <c r="A1047" t="s">
        <v>1427</v>
      </c>
      <c r="B1047" t="s">
        <v>1751</v>
      </c>
      <c r="C1047">
        <v>21.5</v>
      </c>
      <c r="D1047" t="s">
        <v>82</v>
      </c>
      <c r="E1047">
        <v>15</v>
      </c>
      <c r="F1047">
        <v>0</v>
      </c>
      <c r="G1047">
        <v>0</v>
      </c>
      <c r="I1047">
        <v>1.19504</v>
      </c>
      <c r="J1047">
        <v>1.00844</v>
      </c>
      <c r="K1047">
        <v>0.99698</v>
      </c>
      <c r="L1047">
        <v>1.01937</v>
      </c>
      <c r="M1047">
        <v>0.89767</v>
      </c>
      <c r="N1047">
        <v>1.03401</v>
      </c>
      <c r="O1047">
        <v>1</v>
      </c>
      <c r="P1047">
        <v>0.99756</v>
      </c>
      <c r="Q1047">
        <v>1</v>
      </c>
      <c r="R1047">
        <v>1</v>
      </c>
      <c r="S1047">
        <v>1</v>
      </c>
      <c r="T1047">
        <v>1.0688</v>
      </c>
      <c r="U1047">
        <v>1</v>
      </c>
      <c r="V1047">
        <v>91.25700000000001</v>
      </c>
      <c r="W1047">
        <v>42.06</v>
      </c>
      <c r="X1047">
        <v>89.863</v>
      </c>
      <c r="Y1047">
        <v>18.96</v>
      </c>
      <c r="Z1047">
        <v>33.125</v>
      </c>
      <c r="AA1047">
        <v>275.265</v>
      </c>
      <c r="AB1047">
        <v>0.95528</v>
      </c>
      <c r="AC1047">
        <v>256</v>
      </c>
      <c r="AD1047">
        <v>0</v>
      </c>
      <c r="AG1047">
        <v>82</v>
      </c>
      <c r="AH1047">
        <v>41</v>
      </c>
      <c r="AI1047">
        <v>83</v>
      </c>
      <c r="AJ1047">
        <v>18</v>
      </c>
      <c r="AK1047">
        <v>32</v>
      </c>
    </row>
    <row r="1048" spans="1:37">
      <c r="A1048" t="s">
        <v>1428</v>
      </c>
      <c r="B1048" t="s">
        <v>1751</v>
      </c>
      <c r="C1048">
        <v>21.8</v>
      </c>
      <c r="D1048" t="s">
        <v>82</v>
      </c>
      <c r="E1048">
        <v>16</v>
      </c>
      <c r="F1048">
        <v>0</v>
      </c>
      <c r="G1048">
        <v>0</v>
      </c>
      <c r="I1048">
        <v>1.19523</v>
      </c>
      <c r="J1048">
        <v>1.00789</v>
      </c>
      <c r="K1048">
        <v>0.99698</v>
      </c>
      <c r="L1048">
        <v>1.0196</v>
      </c>
      <c r="M1048">
        <v>0.9355599999999999</v>
      </c>
      <c r="N1048">
        <v>1.0382</v>
      </c>
      <c r="O1048">
        <v>1</v>
      </c>
      <c r="P1048">
        <v>0.99476</v>
      </c>
      <c r="Q1048">
        <v>1</v>
      </c>
      <c r="R1048">
        <v>1</v>
      </c>
      <c r="S1048">
        <v>1</v>
      </c>
      <c r="T1048">
        <v>1.06578</v>
      </c>
      <c r="U1048">
        <v>1</v>
      </c>
      <c r="V1048">
        <v>89.315</v>
      </c>
      <c r="W1048">
        <v>39.874</v>
      </c>
      <c r="X1048">
        <v>100.098</v>
      </c>
      <c r="Y1048">
        <v>22.042</v>
      </c>
      <c r="Z1048">
        <v>34.942</v>
      </c>
      <c r="AA1048">
        <v>286.27</v>
      </c>
      <c r="AB1048">
        <v>0.94584</v>
      </c>
      <c r="AC1048">
        <v>246</v>
      </c>
      <c r="AD1048">
        <v>0</v>
      </c>
      <c r="AG1048">
        <v>80</v>
      </c>
      <c r="AH1048">
        <v>37</v>
      </c>
      <c r="AI1048">
        <v>70</v>
      </c>
      <c r="AJ1048">
        <v>28</v>
      </c>
      <c r="AK1048">
        <v>31</v>
      </c>
    </row>
    <row r="1049" spans="1:37">
      <c r="A1049" t="s">
        <v>1429</v>
      </c>
      <c r="B1049" t="s">
        <v>1752</v>
      </c>
      <c r="C1049">
        <v>19.8</v>
      </c>
      <c r="D1049" t="s">
        <v>82</v>
      </c>
      <c r="E1049">
        <v>17</v>
      </c>
      <c r="F1049">
        <v>0</v>
      </c>
      <c r="G1049">
        <v>0</v>
      </c>
      <c r="I1049">
        <v>1.19541</v>
      </c>
      <c r="J1049">
        <v>1.01729</v>
      </c>
      <c r="K1049">
        <v>0.99698</v>
      </c>
      <c r="L1049">
        <v>1.01978</v>
      </c>
      <c r="M1049">
        <v>1.14004</v>
      </c>
      <c r="N1049">
        <v>1.04022</v>
      </c>
      <c r="O1049">
        <v>1</v>
      </c>
      <c r="P1049">
        <v>0.99128</v>
      </c>
      <c r="Q1049">
        <v>1</v>
      </c>
      <c r="R1049">
        <v>1</v>
      </c>
      <c r="S1049">
        <v>1</v>
      </c>
      <c r="T1049">
        <v>1.05555</v>
      </c>
      <c r="U1049">
        <v>1</v>
      </c>
      <c r="V1049">
        <v>84.56</v>
      </c>
      <c r="W1049">
        <v>33.837</v>
      </c>
      <c r="X1049">
        <v>151.458</v>
      </c>
      <c r="Y1049">
        <v>37.607</v>
      </c>
      <c r="Z1049">
        <v>40.426</v>
      </c>
      <c r="AA1049">
        <v>347.888</v>
      </c>
      <c r="AB1049">
        <v>0.99801</v>
      </c>
      <c r="AC1049">
        <v>380</v>
      </c>
      <c r="AD1049">
        <v>0</v>
      </c>
      <c r="AG1049">
        <v>91</v>
      </c>
      <c r="AH1049">
        <v>46</v>
      </c>
      <c r="AI1049">
        <v>166</v>
      </c>
      <c r="AJ1049">
        <v>33</v>
      </c>
      <c r="AK1049">
        <v>44</v>
      </c>
    </row>
    <row r="1050" spans="1:37">
      <c r="A1050" t="s">
        <v>1430</v>
      </c>
      <c r="B1050" t="s">
        <v>1753</v>
      </c>
      <c r="C1050">
        <v>20.3</v>
      </c>
      <c r="D1050" t="s">
        <v>82</v>
      </c>
      <c r="E1050">
        <v>18</v>
      </c>
      <c r="F1050">
        <v>0</v>
      </c>
      <c r="G1050">
        <v>0</v>
      </c>
      <c r="I1050">
        <v>1.1956</v>
      </c>
      <c r="J1050">
        <v>1.02368</v>
      </c>
      <c r="K1050">
        <v>0.99698</v>
      </c>
      <c r="L1050">
        <v>1.0199</v>
      </c>
      <c r="M1050">
        <v>0.91687</v>
      </c>
      <c r="N1050">
        <v>1.05768</v>
      </c>
      <c r="O1050">
        <v>1</v>
      </c>
      <c r="P1050">
        <v>0.98621</v>
      </c>
      <c r="Q1050">
        <v>1</v>
      </c>
      <c r="R1050">
        <v>1</v>
      </c>
      <c r="S1050">
        <v>1</v>
      </c>
      <c r="T1050">
        <v>1.02949</v>
      </c>
      <c r="U1050">
        <v>1</v>
      </c>
      <c r="V1050">
        <v>20.33</v>
      </c>
      <c r="W1050">
        <v>14.873</v>
      </c>
      <c r="X1050">
        <v>142.218</v>
      </c>
      <c r="Y1050">
        <v>59.958</v>
      </c>
      <c r="Z1050">
        <v>44.398</v>
      </c>
      <c r="AA1050">
        <v>281.777</v>
      </c>
      <c r="AB1050">
        <v>0.97942</v>
      </c>
      <c r="AC1050">
        <v>281</v>
      </c>
      <c r="AD1050">
        <v>0</v>
      </c>
      <c r="AG1050">
        <v>23</v>
      </c>
      <c r="AH1050">
        <v>12</v>
      </c>
      <c r="AI1050">
        <v>143</v>
      </c>
      <c r="AJ1050">
        <v>62</v>
      </c>
      <c r="AK1050">
        <v>41</v>
      </c>
    </row>
    <row r="1051" spans="1:37">
      <c r="A1051" t="s">
        <v>1431</v>
      </c>
      <c r="B1051" t="s">
        <v>1754</v>
      </c>
      <c r="C1051">
        <v>21.9</v>
      </c>
      <c r="D1051" t="s">
        <v>82</v>
      </c>
      <c r="E1051">
        <v>19</v>
      </c>
      <c r="F1051">
        <v>0</v>
      </c>
      <c r="G1051">
        <v>0</v>
      </c>
      <c r="I1051">
        <v>1.19578</v>
      </c>
      <c r="J1051">
        <v>1.02265</v>
      </c>
      <c r="K1051">
        <v>0.99698</v>
      </c>
      <c r="L1051">
        <v>1.01998</v>
      </c>
      <c r="M1051">
        <v>0.85343</v>
      </c>
      <c r="N1051">
        <v>1.06134</v>
      </c>
      <c r="O1051">
        <v>1</v>
      </c>
      <c r="P1051">
        <v>0.98348</v>
      </c>
      <c r="Q1051">
        <v>1</v>
      </c>
      <c r="R1051">
        <v>1</v>
      </c>
      <c r="S1051">
        <v>1</v>
      </c>
      <c r="T1051">
        <v>1.03438</v>
      </c>
      <c r="U1051">
        <v>1</v>
      </c>
      <c r="V1051">
        <v>27.67</v>
      </c>
      <c r="W1051">
        <v>23.309</v>
      </c>
      <c r="X1051">
        <v>121.653</v>
      </c>
      <c r="Y1051">
        <v>50.58</v>
      </c>
      <c r="Z1051">
        <v>39.837</v>
      </c>
      <c r="AA1051">
        <v>263.049</v>
      </c>
      <c r="AB1051">
        <v>0.96536</v>
      </c>
      <c r="AC1051">
        <v>234</v>
      </c>
      <c r="AD1051">
        <v>0</v>
      </c>
      <c r="AG1051">
        <v>19</v>
      </c>
      <c r="AH1051">
        <v>23</v>
      </c>
      <c r="AI1051">
        <v>98</v>
      </c>
      <c r="AJ1051">
        <v>58</v>
      </c>
      <c r="AK1051">
        <v>36</v>
      </c>
    </row>
    <row r="1052" spans="1:37">
      <c r="A1052" t="s">
        <v>515</v>
      </c>
      <c r="B1052" t="s">
        <v>1751</v>
      </c>
      <c r="C1052">
        <v>23.5</v>
      </c>
      <c r="D1052" t="s">
        <v>82</v>
      </c>
      <c r="E1052">
        <v>20</v>
      </c>
      <c r="F1052">
        <v>0</v>
      </c>
      <c r="G1052">
        <v>0</v>
      </c>
      <c r="I1052">
        <v>1.19597</v>
      </c>
      <c r="J1052">
        <v>1.01917</v>
      </c>
      <c r="K1052">
        <v>0.99698</v>
      </c>
      <c r="L1052">
        <v>1.02</v>
      </c>
      <c r="M1052">
        <v>0.9009</v>
      </c>
      <c r="N1052">
        <v>1.03392</v>
      </c>
      <c r="O1052">
        <v>1</v>
      </c>
      <c r="P1052">
        <v>0.98469</v>
      </c>
      <c r="Q1052">
        <v>1</v>
      </c>
      <c r="R1052">
        <v>1</v>
      </c>
      <c r="S1052">
        <v>1</v>
      </c>
      <c r="T1052">
        <v>1.07151</v>
      </c>
      <c r="U1052">
        <v>1</v>
      </c>
      <c r="V1052">
        <v>96.423</v>
      </c>
      <c r="W1052">
        <v>42.163</v>
      </c>
      <c r="X1052">
        <v>85.545</v>
      </c>
      <c r="Y1052">
        <v>18.74</v>
      </c>
      <c r="Z1052">
        <v>33.133</v>
      </c>
      <c r="AA1052">
        <v>276.004</v>
      </c>
      <c r="AB1052">
        <v>0.97731</v>
      </c>
      <c r="AC1052">
        <v>268</v>
      </c>
      <c r="AD1052">
        <v>0</v>
      </c>
      <c r="AG1052">
        <v>94</v>
      </c>
      <c r="AH1052">
        <v>40</v>
      </c>
      <c r="AI1052">
        <v>87</v>
      </c>
      <c r="AJ1052">
        <v>19</v>
      </c>
      <c r="AK1052">
        <v>28</v>
      </c>
    </row>
    <row r="1053" spans="1:37">
      <c r="A1053" t="s">
        <v>1432</v>
      </c>
      <c r="B1053" t="s">
        <v>1751</v>
      </c>
      <c r="C1053">
        <v>23.6</v>
      </c>
      <c r="D1053" t="s">
        <v>82</v>
      </c>
      <c r="E1053">
        <v>21</v>
      </c>
      <c r="F1053">
        <v>0</v>
      </c>
      <c r="G1053">
        <v>0</v>
      </c>
      <c r="I1053">
        <v>1.19615</v>
      </c>
      <c r="J1053">
        <v>1.00953</v>
      </c>
      <c r="K1053">
        <v>0.99698</v>
      </c>
      <c r="L1053">
        <v>1.02006</v>
      </c>
      <c r="M1053">
        <v>0.88623</v>
      </c>
      <c r="N1053">
        <v>1.0228</v>
      </c>
      <c r="O1053">
        <v>1</v>
      </c>
      <c r="P1053">
        <v>0.9817399999999999</v>
      </c>
      <c r="Q1053">
        <v>1</v>
      </c>
      <c r="R1053">
        <v>1</v>
      </c>
      <c r="S1053">
        <v>1</v>
      </c>
      <c r="T1053">
        <v>1.06742</v>
      </c>
      <c r="U1053">
        <v>0.91142</v>
      </c>
      <c r="V1053">
        <v>81.791</v>
      </c>
      <c r="W1053">
        <v>33.355</v>
      </c>
      <c r="X1053">
        <v>61.719</v>
      </c>
      <c r="Y1053">
        <v>11.86</v>
      </c>
      <c r="Z1053">
        <v>52.397</v>
      </c>
      <c r="AA1053">
        <v>241.122</v>
      </c>
      <c r="AB1053">
        <v>1.16302</v>
      </c>
      <c r="AC1053">
        <v>293</v>
      </c>
      <c r="AD1053">
        <v>1</v>
      </c>
      <c r="AE1053" t="s">
        <v>314</v>
      </c>
      <c r="AG1053">
        <v>95</v>
      </c>
      <c r="AH1053">
        <v>38</v>
      </c>
      <c r="AI1053">
        <v>80</v>
      </c>
      <c r="AJ1053">
        <v>14</v>
      </c>
      <c r="AK1053">
        <v>66</v>
      </c>
    </row>
    <row r="1054" spans="1:37">
      <c r="A1054" t="s">
        <v>1433</v>
      </c>
      <c r="B1054" t="s">
        <v>1751</v>
      </c>
      <c r="C1054">
        <v>23.9</v>
      </c>
      <c r="D1054" t="s">
        <v>82</v>
      </c>
      <c r="E1054">
        <v>22</v>
      </c>
      <c r="F1054">
        <v>0</v>
      </c>
      <c r="G1054">
        <v>0</v>
      </c>
      <c r="I1054">
        <v>1.19634</v>
      </c>
      <c r="J1054">
        <v>1.00519</v>
      </c>
      <c r="K1054">
        <v>0.99698</v>
      </c>
      <c r="L1054">
        <v>1.02023</v>
      </c>
      <c r="M1054">
        <v>0.8989200000000001</v>
      </c>
      <c r="N1054">
        <v>1.03423</v>
      </c>
      <c r="O1054">
        <v>1</v>
      </c>
      <c r="P1054">
        <v>0.97925</v>
      </c>
      <c r="Q1054">
        <v>1</v>
      </c>
      <c r="R1054">
        <v>1</v>
      </c>
      <c r="S1054">
        <v>1</v>
      </c>
      <c r="T1054">
        <v>1.06922</v>
      </c>
      <c r="U1054">
        <v>1</v>
      </c>
      <c r="V1054">
        <v>90.41500000000001</v>
      </c>
      <c r="W1054">
        <v>41.449</v>
      </c>
      <c r="X1054">
        <v>86.479</v>
      </c>
      <c r="Y1054">
        <v>18.297</v>
      </c>
      <c r="Z1054">
        <v>33.359</v>
      </c>
      <c r="AA1054">
        <v>269.997</v>
      </c>
      <c r="AB1054">
        <v>0.92453</v>
      </c>
      <c r="AC1054">
        <v>247</v>
      </c>
      <c r="AD1054">
        <v>0</v>
      </c>
      <c r="AG1054">
        <v>71</v>
      </c>
      <c r="AH1054">
        <v>47</v>
      </c>
      <c r="AI1054">
        <v>90</v>
      </c>
      <c r="AJ1054">
        <v>14</v>
      </c>
      <c r="AK1054">
        <v>25</v>
      </c>
    </row>
    <row r="1055" spans="1:37">
      <c r="A1055" t="s">
        <v>1434</v>
      </c>
      <c r="B1055" t="s">
        <v>1751</v>
      </c>
      <c r="C1055">
        <v>24.5</v>
      </c>
      <c r="D1055" t="s">
        <v>82</v>
      </c>
      <c r="E1055">
        <v>23</v>
      </c>
      <c r="F1055">
        <v>0</v>
      </c>
      <c r="G1055">
        <v>0</v>
      </c>
      <c r="I1055">
        <v>1.19652</v>
      </c>
      <c r="J1055">
        <v>0.99393</v>
      </c>
      <c r="K1055">
        <v>0.99698</v>
      </c>
      <c r="L1055">
        <v>1.02051</v>
      </c>
      <c r="M1055">
        <v>0.93624</v>
      </c>
      <c r="N1055">
        <v>1.03523</v>
      </c>
      <c r="O1055">
        <v>1</v>
      </c>
      <c r="P1055">
        <v>0.97598</v>
      </c>
      <c r="Q1055">
        <v>1</v>
      </c>
      <c r="R1055">
        <v>1</v>
      </c>
      <c r="S1055">
        <v>1</v>
      </c>
      <c r="T1055">
        <v>1.06631</v>
      </c>
      <c r="U1055">
        <v>1</v>
      </c>
      <c r="V1055">
        <v>87.551</v>
      </c>
      <c r="W1055">
        <v>38.877</v>
      </c>
      <c r="X1055">
        <v>94.501</v>
      </c>
      <c r="Y1055">
        <v>20.916</v>
      </c>
      <c r="Z1055">
        <v>34.957</v>
      </c>
      <c r="AA1055">
        <v>276.803</v>
      </c>
      <c r="AB1055">
        <v>0.9186800000000001</v>
      </c>
      <c r="AC1055">
        <v>255</v>
      </c>
      <c r="AD1055">
        <v>0</v>
      </c>
      <c r="AG1055">
        <v>82</v>
      </c>
      <c r="AH1055">
        <v>40</v>
      </c>
      <c r="AI1055">
        <v>82</v>
      </c>
      <c r="AJ1055">
        <v>18</v>
      </c>
      <c r="AK1055">
        <v>33</v>
      </c>
    </row>
    <row r="1056" spans="1:37">
      <c r="A1056" t="s">
        <v>1435</v>
      </c>
      <c r="B1056" t="s">
        <v>1752</v>
      </c>
      <c r="C1056">
        <v>22.9</v>
      </c>
      <c r="D1056" t="s">
        <v>82</v>
      </c>
      <c r="E1056">
        <v>24</v>
      </c>
      <c r="F1056">
        <v>0</v>
      </c>
      <c r="G1056">
        <v>0</v>
      </c>
      <c r="I1056">
        <v>1.19671</v>
      </c>
      <c r="J1056">
        <v>0.9946</v>
      </c>
      <c r="K1056">
        <v>0.99698</v>
      </c>
      <c r="L1056">
        <v>1.02088</v>
      </c>
      <c r="M1056">
        <v>1.13952</v>
      </c>
      <c r="N1056">
        <v>1.05215</v>
      </c>
      <c r="O1056">
        <v>1</v>
      </c>
      <c r="P1056">
        <v>0.97057</v>
      </c>
      <c r="Q1056">
        <v>1</v>
      </c>
      <c r="R1056">
        <v>1</v>
      </c>
      <c r="S1056">
        <v>1</v>
      </c>
      <c r="T1056">
        <v>1.05552</v>
      </c>
      <c r="U1056">
        <v>1</v>
      </c>
      <c r="V1056">
        <v>82.196</v>
      </c>
      <c r="W1056">
        <v>32.715</v>
      </c>
      <c r="X1056">
        <v>146.208</v>
      </c>
      <c r="Y1056">
        <v>36.183</v>
      </c>
      <c r="Z1056">
        <v>40.387</v>
      </c>
      <c r="AA1056">
        <v>337.69</v>
      </c>
      <c r="AB1056">
        <v>1.05865</v>
      </c>
      <c r="AC1056">
        <v>375</v>
      </c>
      <c r="AD1056">
        <v>0</v>
      </c>
      <c r="AG1056">
        <v>87</v>
      </c>
      <c r="AH1056">
        <v>32</v>
      </c>
      <c r="AI1056">
        <v>177</v>
      </c>
      <c r="AJ1056">
        <v>40</v>
      </c>
      <c r="AK1056">
        <v>39</v>
      </c>
    </row>
    <row r="1057" spans="1:37">
      <c r="A1057" t="s">
        <v>1436</v>
      </c>
      <c r="B1057" t="s">
        <v>1753</v>
      </c>
      <c r="C1057">
        <v>21.6</v>
      </c>
      <c r="D1057" t="s">
        <v>1475</v>
      </c>
      <c r="E1057">
        <v>25</v>
      </c>
      <c r="F1057">
        <v>0</v>
      </c>
      <c r="G1057">
        <v>0</v>
      </c>
      <c r="I1057">
        <v>1.19689</v>
      </c>
      <c r="J1057">
        <v>0.99832</v>
      </c>
      <c r="K1057">
        <v>0.99698</v>
      </c>
      <c r="L1057">
        <v>1.02135</v>
      </c>
      <c r="M1057">
        <v>0.99583</v>
      </c>
      <c r="N1057">
        <v>1.07087</v>
      </c>
      <c r="O1057">
        <v>1.01134</v>
      </c>
      <c r="P1057">
        <v>0.96111</v>
      </c>
      <c r="Q1057">
        <v>1</v>
      </c>
      <c r="R1057">
        <v>1</v>
      </c>
      <c r="S1057">
        <v>1</v>
      </c>
      <c r="T1057">
        <v>1.02868</v>
      </c>
      <c r="U1057">
        <v>1</v>
      </c>
      <c r="V1057">
        <v>18.338</v>
      </c>
      <c r="W1057">
        <v>6.457</v>
      </c>
      <c r="X1057">
        <v>141.916</v>
      </c>
      <c r="Y1057">
        <v>64.286</v>
      </c>
      <c r="Z1057">
        <v>43.083</v>
      </c>
      <c r="AA1057">
        <v>274.08</v>
      </c>
      <c r="AB1057">
        <v>0.93219</v>
      </c>
      <c r="AC1057">
        <v>301</v>
      </c>
      <c r="AD1057">
        <v>0</v>
      </c>
      <c r="AG1057">
        <v>20</v>
      </c>
      <c r="AH1057">
        <v>8</v>
      </c>
      <c r="AI1057">
        <v>156</v>
      </c>
      <c r="AJ1057">
        <v>75</v>
      </c>
      <c r="AK1057">
        <v>42</v>
      </c>
    </row>
    <row r="1058" spans="1:37">
      <c r="A1058" t="s">
        <v>1437</v>
      </c>
      <c r="B1058" t="s">
        <v>1754</v>
      </c>
      <c r="C1058">
        <v>19.8</v>
      </c>
      <c r="D1058" t="s">
        <v>1475</v>
      </c>
      <c r="E1058">
        <v>26</v>
      </c>
      <c r="F1058">
        <v>0</v>
      </c>
      <c r="G1058">
        <v>0</v>
      </c>
      <c r="I1058">
        <v>1.19708</v>
      </c>
      <c r="J1058">
        <v>1.00804</v>
      </c>
      <c r="K1058">
        <v>0.99698</v>
      </c>
      <c r="L1058">
        <v>1.02192</v>
      </c>
      <c r="M1058">
        <v>0.89795</v>
      </c>
      <c r="N1058">
        <v>1.05175</v>
      </c>
      <c r="O1058">
        <v>0.98398</v>
      </c>
      <c r="P1058">
        <v>0.95905</v>
      </c>
      <c r="Q1058">
        <v>1</v>
      </c>
      <c r="R1058">
        <v>1</v>
      </c>
      <c r="S1058">
        <v>1</v>
      </c>
      <c r="T1058">
        <v>1.03389</v>
      </c>
      <c r="U1058">
        <v>1</v>
      </c>
      <c r="V1058">
        <v>25.239</v>
      </c>
      <c r="W1058">
        <v>10.232</v>
      </c>
      <c r="X1058">
        <v>119.971</v>
      </c>
      <c r="Y1058">
        <v>53.932</v>
      </c>
      <c r="Z1058">
        <v>37.134</v>
      </c>
      <c r="AA1058">
        <v>246.509</v>
      </c>
      <c r="AB1058">
        <v>1.06549</v>
      </c>
      <c r="AC1058">
        <v>257</v>
      </c>
      <c r="AD1058">
        <v>0</v>
      </c>
      <c r="AG1058">
        <v>28</v>
      </c>
      <c r="AH1058">
        <v>8</v>
      </c>
      <c r="AI1058">
        <v>135</v>
      </c>
      <c r="AJ1058">
        <v>54</v>
      </c>
      <c r="AK1058">
        <v>32</v>
      </c>
    </row>
    <row r="1059" spans="1:37">
      <c r="A1059" t="s">
        <v>516</v>
      </c>
      <c r="B1059" t="s">
        <v>1751</v>
      </c>
      <c r="C1059">
        <v>19.5</v>
      </c>
      <c r="D1059" t="s">
        <v>1475</v>
      </c>
      <c r="E1059">
        <v>27</v>
      </c>
      <c r="F1059">
        <v>0</v>
      </c>
      <c r="G1059">
        <v>0</v>
      </c>
      <c r="I1059">
        <v>1.19726</v>
      </c>
      <c r="J1059">
        <v>1.01451</v>
      </c>
      <c r="K1059">
        <v>0.99698</v>
      </c>
      <c r="L1059">
        <v>1.02257</v>
      </c>
      <c r="M1059">
        <v>0.88571</v>
      </c>
      <c r="N1059">
        <v>1.02642</v>
      </c>
      <c r="O1059">
        <v>0.91013</v>
      </c>
      <c r="P1059">
        <v>0.96797</v>
      </c>
      <c r="Q1059">
        <v>1</v>
      </c>
      <c r="R1059">
        <v>1</v>
      </c>
      <c r="S1059">
        <v>1</v>
      </c>
      <c r="T1059">
        <v>1.07356</v>
      </c>
      <c r="U1059">
        <v>1</v>
      </c>
      <c r="V1059">
        <v>88.97499999999999</v>
      </c>
      <c r="W1059">
        <v>18.739</v>
      </c>
      <c r="X1059">
        <v>85.806</v>
      </c>
      <c r="Y1059">
        <v>20.31</v>
      </c>
      <c r="Z1059">
        <v>30.461</v>
      </c>
      <c r="AA1059">
        <v>244.291</v>
      </c>
      <c r="AB1059">
        <v>1.03146</v>
      </c>
      <c r="AC1059">
        <v>246</v>
      </c>
      <c r="AD1059">
        <v>0</v>
      </c>
      <c r="AG1059">
        <v>75</v>
      </c>
      <c r="AH1059">
        <v>12</v>
      </c>
      <c r="AI1059">
        <v>100</v>
      </c>
      <c r="AJ1059">
        <v>15</v>
      </c>
      <c r="AK1059">
        <v>44</v>
      </c>
    </row>
    <row r="1060" spans="1:37">
      <c r="A1060" t="s">
        <v>1438</v>
      </c>
      <c r="B1060" t="s">
        <v>1751</v>
      </c>
      <c r="C1060">
        <v>19.5</v>
      </c>
      <c r="D1060" t="s">
        <v>1475</v>
      </c>
      <c r="E1060">
        <v>28</v>
      </c>
      <c r="F1060">
        <v>0</v>
      </c>
      <c r="G1060">
        <v>0</v>
      </c>
      <c r="I1060">
        <v>1.19745</v>
      </c>
      <c r="J1060">
        <v>1.0064</v>
      </c>
      <c r="K1060">
        <v>0.99698</v>
      </c>
      <c r="L1060">
        <v>1.0233</v>
      </c>
      <c r="M1060">
        <v>0.85662</v>
      </c>
      <c r="N1060">
        <v>1.02591</v>
      </c>
      <c r="O1060">
        <v>0.90756</v>
      </c>
      <c r="P1060">
        <v>0.96785</v>
      </c>
      <c r="Q1060">
        <v>1</v>
      </c>
      <c r="R1060">
        <v>1</v>
      </c>
      <c r="S1060">
        <v>1</v>
      </c>
      <c r="T1060">
        <v>1.07262</v>
      </c>
      <c r="U1060">
        <v>1</v>
      </c>
      <c r="V1060">
        <v>84.134</v>
      </c>
      <c r="W1060">
        <v>18.605</v>
      </c>
      <c r="X1060">
        <v>83.116</v>
      </c>
      <c r="Y1060">
        <v>18.484</v>
      </c>
      <c r="Z1060">
        <v>30.244</v>
      </c>
      <c r="AA1060">
        <v>234.582</v>
      </c>
      <c r="AB1060">
        <v>1.13227</v>
      </c>
      <c r="AC1060">
        <v>264</v>
      </c>
      <c r="AD1060">
        <v>0</v>
      </c>
      <c r="AG1060">
        <v>88</v>
      </c>
      <c r="AH1060">
        <v>22</v>
      </c>
      <c r="AI1060">
        <v>88</v>
      </c>
      <c r="AJ1060">
        <v>26</v>
      </c>
      <c r="AK1060">
        <v>40</v>
      </c>
    </row>
    <row r="1061" spans="1:37">
      <c r="A1061" t="s">
        <v>1439</v>
      </c>
      <c r="B1061" t="s">
        <v>1751</v>
      </c>
      <c r="C1061">
        <v>20.1</v>
      </c>
      <c r="D1061" t="s">
        <v>1475</v>
      </c>
      <c r="E1061">
        <v>29</v>
      </c>
      <c r="F1061">
        <v>0</v>
      </c>
      <c r="G1061">
        <v>0</v>
      </c>
      <c r="I1061">
        <v>1.19763</v>
      </c>
      <c r="J1061">
        <v>1.0095</v>
      </c>
      <c r="K1061">
        <v>0.99698</v>
      </c>
      <c r="L1061">
        <v>1.0241</v>
      </c>
      <c r="M1061">
        <v>0.88393</v>
      </c>
      <c r="N1061">
        <v>1.03202</v>
      </c>
      <c r="O1061">
        <v>0.9119699999999999</v>
      </c>
      <c r="P1061">
        <v>0.96739</v>
      </c>
      <c r="Q1061">
        <v>1</v>
      </c>
      <c r="R1061">
        <v>1</v>
      </c>
      <c r="S1061">
        <v>1</v>
      </c>
      <c r="T1061">
        <v>1.07069</v>
      </c>
      <c r="U1061">
        <v>1</v>
      </c>
      <c r="V1061">
        <v>84.47199999999999</v>
      </c>
      <c r="W1061">
        <v>18.68</v>
      </c>
      <c r="X1061">
        <v>89.35899999999999</v>
      </c>
      <c r="Y1061">
        <v>20.36</v>
      </c>
      <c r="Z1061">
        <v>31.327</v>
      </c>
      <c r="AA1061">
        <v>244.198</v>
      </c>
      <c r="AB1061">
        <v>0.99491</v>
      </c>
      <c r="AC1061">
        <v>239</v>
      </c>
      <c r="AD1061">
        <v>0</v>
      </c>
      <c r="AG1061">
        <v>86</v>
      </c>
      <c r="AH1061">
        <v>26</v>
      </c>
      <c r="AI1061">
        <v>88</v>
      </c>
      <c r="AJ1061">
        <v>19</v>
      </c>
      <c r="AK1061">
        <v>20</v>
      </c>
    </row>
    <row r="1062" spans="1:37">
      <c r="A1062" t="s">
        <v>1440</v>
      </c>
      <c r="B1062" t="s">
        <v>1751</v>
      </c>
      <c r="C1062">
        <v>19.4</v>
      </c>
      <c r="D1062" t="s">
        <v>1475</v>
      </c>
      <c r="E1062">
        <v>30</v>
      </c>
      <c r="F1062">
        <v>0</v>
      </c>
      <c r="G1062">
        <v>0</v>
      </c>
      <c r="I1062">
        <v>1.19782</v>
      </c>
      <c r="J1062">
        <v>1.0239</v>
      </c>
      <c r="K1062">
        <v>0.99698</v>
      </c>
      <c r="L1062">
        <v>1.02496</v>
      </c>
      <c r="M1062">
        <v>0.93084</v>
      </c>
      <c r="N1062">
        <v>1.02913</v>
      </c>
      <c r="O1062">
        <v>0.92564</v>
      </c>
      <c r="P1062">
        <v>0.96553</v>
      </c>
      <c r="Q1062">
        <v>1</v>
      </c>
      <c r="R1062">
        <v>1</v>
      </c>
      <c r="S1062">
        <v>1.19644</v>
      </c>
      <c r="T1062">
        <v>1.06216</v>
      </c>
      <c r="U1062">
        <v>1</v>
      </c>
      <c r="V1062">
        <v>90.771</v>
      </c>
      <c r="W1062">
        <v>21.26</v>
      </c>
      <c r="X1062">
        <v>125.578</v>
      </c>
      <c r="Y1062">
        <v>28.267</v>
      </c>
      <c r="Z1062">
        <v>44.788</v>
      </c>
      <c r="AA1062">
        <v>310.664</v>
      </c>
      <c r="AB1062">
        <v>0.89166</v>
      </c>
      <c r="AC1062">
        <v>303</v>
      </c>
      <c r="AD1062">
        <v>0</v>
      </c>
      <c r="AG1062">
        <v>88</v>
      </c>
      <c r="AH1062">
        <v>20</v>
      </c>
      <c r="AI1062">
        <v>122</v>
      </c>
      <c r="AJ1062">
        <v>24</v>
      </c>
      <c r="AK1062">
        <v>49</v>
      </c>
    </row>
    <row r="1063" spans="1:37">
      <c r="A1063" t="s">
        <v>1441</v>
      </c>
      <c r="B1063" t="s">
        <v>1752</v>
      </c>
      <c r="C1063">
        <v>18.5</v>
      </c>
      <c r="D1063" t="s">
        <v>1475</v>
      </c>
      <c r="E1063">
        <v>0</v>
      </c>
      <c r="F1063">
        <v>0</v>
      </c>
      <c r="G1063">
        <v>0</v>
      </c>
      <c r="I1063">
        <v>1.198</v>
      </c>
      <c r="J1063">
        <v>1.03049</v>
      </c>
      <c r="K1063">
        <v>0.99698</v>
      </c>
      <c r="L1063">
        <v>1.02587</v>
      </c>
      <c r="M1063">
        <v>1.19446</v>
      </c>
      <c r="N1063">
        <v>1.02999</v>
      </c>
      <c r="O1063">
        <v>0.96489</v>
      </c>
      <c r="P1063">
        <v>1.07462</v>
      </c>
      <c r="Q1063">
        <v>1</v>
      </c>
      <c r="R1063">
        <v>1</v>
      </c>
      <c r="S1063">
        <v>1.21148</v>
      </c>
      <c r="T1063">
        <v>1.04904</v>
      </c>
      <c r="U1063">
        <v>1</v>
      </c>
      <c r="V1063">
        <v>89.377</v>
      </c>
      <c r="W1063">
        <v>19.283</v>
      </c>
      <c r="X1063">
        <v>217.015</v>
      </c>
      <c r="Y1063">
        <v>55.103</v>
      </c>
      <c r="Z1063">
        <v>60.211</v>
      </c>
      <c r="AA1063">
        <v>440.989</v>
      </c>
      <c r="AB1063">
        <v>0.96173</v>
      </c>
      <c r="AC1063">
        <v>434</v>
      </c>
      <c r="AD1063">
        <v>0</v>
      </c>
      <c r="AG1063">
        <v>99</v>
      </c>
      <c r="AH1063">
        <v>18</v>
      </c>
      <c r="AI1063">
        <v>218</v>
      </c>
      <c r="AJ1063">
        <v>46</v>
      </c>
      <c r="AK1063">
        <v>53</v>
      </c>
    </row>
    <row r="1064" spans="1:37">
      <c r="A1064" t="s">
        <v>1442</v>
      </c>
      <c r="B1064" t="s">
        <v>1753</v>
      </c>
      <c r="C1064">
        <v>19.4</v>
      </c>
      <c r="D1064" t="s">
        <v>1475</v>
      </c>
      <c r="E1064">
        <v>1</v>
      </c>
      <c r="F1064">
        <v>0</v>
      </c>
      <c r="G1064">
        <v>0</v>
      </c>
      <c r="I1064">
        <v>1.19819</v>
      </c>
      <c r="J1064">
        <v>1.02583</v>
      </c>
      <c r="K1064">
        <v>0.99698</v>
      </c>
      <c r="L1064">
        <v>1.02684</v>
      </c>
      <c r="M1064">
        <v>1.04045</v>
      </c>
      <c r="N1064">
        <v>1.04928</v>
      </c>
      <c r="O1064">
        <v>1.01366</v>
      </c>
      <c r="P1064">
        <v>1.0572</v>
      </c>
      <c r="Q1064">
        <v>1</v>
      </c>
      <c r="R1064">
        <v>1</v>
      </c>
      <c r="S1064">
        <v>1.23652</v>
      </c>
      <c r="T1064">
        <v>1.02684</v>
      </c>
      <c r="U1064">
        <v>1</v>
      </c>
      <c r="V1064">
        <v>21.115</v>
      </c>
      <c r="W1064">
        <v>8.288</v>
      </c>
      <c r="X1064">
        <v>198.932</v>
      </c>
      <c r="Y1064">
        <v>85.53</v>
      </c>
      <c r="Z1064">
        <v>64.34</v>
      </c>
      <c r="AA1064">
        <v>378.204</v>
      </c>
      <c r="AB1064">
        <v>0.96913</v>
      </c>
      <c r="AC1064">
        <v>359</v>
      </c>
      <c r="AD1064">
        <v>0</v>
      </c>
      <c r="AG1064">
        <v>19</v>
      </c>
      <c r="AH1064">
        <v>5</v>
      </c>
      <c r="AI1064">
        <v>176</v>
      </c>
      <c r="AJ1064">
        <v>101</v>
      </c>
      <c r="AK1064">
        <v>58</v>
      </c>
    </row>
    <row r="1065" spans="1:37">
      <c r="A1065" t="s">
        <v>1443</v>
      </c>
      <c r="B1065" t="s">
        <v>1754</v>
      </c>
      <c r="C1065">
        <v>18.9</v>
      </c>
      <c r="D1065" t="s">
        <v>1475</v>
      </c>
      <c r="E1065">
        <v>2</v>
      </c>
      <c r="F1065">
        <v>0</v>
      </c>
      <c r="G1065">
        <v>0</v>
      </c>
      <c r="I1065">
        <v>1.19837</v>
      </c>
      <c r="J1065">
        <v>1.0168</v>
      </c>
      <c r="K1065">
        <v>0.99698</v>
      </c>
      <c r="L1065">
        <v>1.02783</v>
      </c>
      <c r="M1065">
        <v>0.93132</v>
      </c>
      <c r="N1065">
        <v>1.03885</v>
      </c>
      <c r="O1065">
        <v>0.98795</v>
      </c>
      <c r="P1065">
        <v>1.03714</v>
      </c>
      <c r="Q1065">
        <v>1</v>
      </c>
      <c r="R1065">
        <v>1</v>
      </c>
      <c r="S1065">
        <v>1.23015</v>
      </c>
      <c r="T1065">
        <v>1.03126</v>
      </c>
      <c r="U1065">
        <v>1</v>
      </c>
      <c r="V1065">
        <v>28.404</v>
      </c>
      <c r="W1065">
        <v>12.799</v>
      </c>
      <c r="X1065">
        <v>163.664</v>
      </c>
      <c r="Y1065">
        <v>69.71899999999999</v>
      </c>
      <c r="Z1065">
        <v>54.704</v>
      </c>
      <c r="AA1065">
        <v>329.29</v>
      </c>
      <c r="AB1065">
        <v>0.9343399999999999</v>
      </c>
      <c r="AC1065">
        <v>308</v>
      </c>
      <c r="AD1065">
        <v>0</v>
      </c>
      <c r="AG1065">
        <v>27</v>
      </c>
      <c r="AH1065">
        <v>16</v>
      </c>
      <c r="AI1065">
        <v>154</v>
      </c>
      <c r="AJ1065">
        <v>58</v>
      </c>
      <c r="AK1065">
        <v>53</v>
      </c>
    </row>
    <row r="1066" spans="1:37">
      <c r="A1066" t="s">
        <v>517</v>
      </c>
      <c r="B1066" t="s">
        <v>1751</v>
      </c>
      <c r="C1066">
        <v>19.3</v>
      </c>
      <c r="D1066" t="s">
        <v>82</v>
      </c>
      <c r="E1066">
        <v>3</v>
      </c>
      <c r="F1066">
        <v>0</v>
      </c>
      <c r="G1066">
        <v>0</v>
      </c>
      <c r="I1066">
        <v>1.19856</v>
      </c>
      <c r="J1066">
        <v>1.01587</v>
      </c>
      <c r="K1066">
        <v>0.99698</v>
      </c>
      <c r="L1066">
        <v>1.02885</v>
      </c>
      <c r="M1066">
        <v>0.8944</v>
      </c>
      <c r="N1066">
        <v>1.02099</v>
      </c>
      <c r="O1066">
        <v>1</v>
      </c>
      <c r="P1066">
        <v>1.01897</v>
      </c>
      <c r="Q1066">
        <v>1</v>
      </c>
      <c r="R1066">
        <v>1</v>
      </c>
      <c r="S1066">
        <v>1.18699</v>
      </c>
      <c r="T1066">
        <v>1.06615</v>
      </c>
      <c r="U1066">
        <v>1</v>
      </c>
      <c r="V1066">
        <v>106.498</v>
      </c>
      <c r="W1066">
        <v>51.386</v>
      </c>
      <c r="X1066">
        <v>111.535</v>
      </c>
      <c r="Y1066">
        <v>23.16</v>
      </c>
      <c r="Z1066">
        <v>44.47</v>
      </c>
      <c r="AA1066">
        <v>337.049</v>
      </c>
      <c r="AB1066">
        <v>0.96485</v>
      </c>
      <c r="AC1066">
        <v>315</v>
      </c>
      <c r="AD1066">
        <v>0</v>
      </c>
      <c r="AG1066">
        <v>97</v>
      </c>
      <c r="AH1066">
        <v>49</v>
      </c>
      <c r="AI1066">
        <v>105</v>
      </c>
      <c r="AJ1066">
        <v>15</v>
      </c>
      <c r="AK1066">
        <v>49</v>
      </c>
    </row>
    <row r="1067" spans="1:37">
      <c r="A1067" t="s">
        <v>1444</v>
      </c>
      <c r="B1067" t="s">
        <v>1751</v>
      </c>
      <c r="C1067">
        <v>16.5</v>
      </c>
      <c r="D1067" t="s">
        <v>82</v>
      </c>
      <c r="E1067">
        <v>4</v>
      </c>
      <c r="F1067">
        <v>0</v>
      </c>
      <c r="G1067">
        <v>0</v>
      </c>
      <c r="I1067">
        <v>1.19874</v>
      </c>
      <c r="J1067">
        <v>1.01355</v>
      </c>
      <c r="K1067">
        <v>0.98825</v>
      </c>
      <c r="L1067">
        <v>1.02988</v>
      </c>
      <c r="M1067">
        <v>0.87159</v>
      </c>
      <c r="N1067">
        <v>0.99211</v>
      </c>
      <c r="O1067">
        <v>1</v>
      </c>
      <c r="P1067">
        <v>1.0126</v>
      </c>
      <c r="Q1067">
        <v>1</v>
      </c>
      <c r="R1067">
        <v>1</v>
      </c>
      <c r="S1067">
        <v>1.18614</v>
      </c>
      <c r="T1067">
        <v>1.06671</v>
      </c>
      <c r="U1067">
        <v>1</v>
      </c>
      <c r="V1067">
        <v>100.158</v>
      </c>
      <c r="W1067">
        <v>50.654</v>
      </c>
      <c r="X1067">
        <v>100.647</v>
      </c>
      <c r="Y1067">
        <v>19.969</v>
      </c>
      <c r="Z1067">
        <v>41.759</v>
      </c>
      <c r="AA1067">
        <v>313.187</v>
      </c>
      <c r="AB1067">
        <v>0.92111</v>
      </c>
      <c r="AC1067">
        <v>282</v>
      </c>
      <c r="AD1067">
        <v>0</v>
      </c>
      <c r="AG1067">
        <v>84</v>
      </c>
      <c r="AH1067">
        <v>49</v>
      </c>
      <c r="AI1067">
        <v>86</v>
      </c>
      <c r="AJ1067">
        <v>24</v>
      </c>
      <c r="AK1067">
        <v>39</v>
      </c>
    </row>
    <row r="1068" spans="1:37">
      <c r="A1068" t="s">
        <v>1445</v>
      </c>
      <c r="B1068" t="s">
        <v>1751</v>
      </c>
      <c r="C1068">
        <v>18.2</v>
      </c>
      <c r="D1068" t="s">
        <v>82</v>
      </c>
      <c r="E1068">
        <v>5</v>
      </c>
      <c r="F1068">
        <v>0</v>
      </c>
      <c r="G1068">
        <v>0</v>
      </c>
      <c r="I1068">
        <v>1.19893</v>
      </c>
      <c r="J1068">
        <v>0.99993</v>
      </c>
      <c r="K1068">
        <v>0.98825</v>
      </c>
      <c r="L1068">
        <v>1.03091</v>
      </c>
      <c r="M1068">
        <v>0.90005</v>
      </c>
      <c r="N1068">
        <v>1.01246</v>
      </c>
      <c r="O1068">
        <v>1</v>
      </c>
      <c r="P1068">
        <v>1.00825</v>
      </c>
      <c r="Q1068">
        <v>1</v>
      </c>
      <c r="R1068">
        <v>1</v>
      </c>
      <c r="S1068">
        <v>0.96672</v>
      </c>
      <c r="T1068">
        <v>1.07152</v>
      </c>
      <c r="U1068">
        <v>1</v>
      </c>
      <c r="V1068">
        <v>91.435</v>
      </c>
      <c r="W1068">
        <v>40.583</v>
      </c>
      <c r="X1068">
        <v>83.01000000000001</v>
      </c>
      <c r="Y1068">
        <v>17.9</v>
      </c>
      <c r="Z1068">
        <v>29.667</v>
      </c>
      <c r="AA1068">
        <v>262.594</v>
      </c>
      <c r="AB1068">
        <v>0.94978</v>
      </c>
      <c r="AC1068">
        <v>241</v>
      </c>
      <c r="AD1068">
        <v>0</v>
      </c>
      <c r="AG1068">
        <v>85</v>
      </c>
      <c r="AH1068">
        <v>30</v>
      </c>
      <c r="AI1068">
        <v>84</v>
      </c>
      <c r="AJ1068">
        <v>18</v>
      </c>
      <c r="AK1068">
        <v>24</v>
      </c>
    </row>
    <row r="1069" spans="1:37">
      <c r="A1069" t="s">
        <v>1446</v>
      </c>
      <c r="B1069" t="s">
        <v>1751</v>
      </c>
      <c r="C1069">
        <v>17.4</v>
      </c>
      <c r="D1069" t="s">
        <v>82</v>
      </c>
      <c r="E1069">
        <v>6</v>
      </c>
      <c r="F1069">
        <v>0</v>
      </c>
      <c r="G1069">
        <v>0</v>
      </c>
      <c r="I1069">
        <v>1.19911</v>
      </c>
      <c r="J1069">
        <v>0.98395</v>
      </c>
      <c r="K1069">
        <v>0.98825</v>
      </c>
      <c r="L1069">
        <v>1.03193</v>
      </c>
      <c r="M1069">
        <v>0.93627</v>
      </c>
      <c r="N1069">
        <v>1.00606</v>
      </c>
      <c r="O1069">
        <v>1</v>
      </c>
      <c r="P1069">
        <v>1.00568</v>
      </c>
      <c r="Q1069">
        <v>1</v>
      </c>
      <c r="R1069">
        <v>1</v>
      </c>
      <c r="S1069">
        <v>0.96584</v>
      </c>
      <c r="T1069">
        <v>1.06892</v>
      </c>
      <c r="U1069">
        <v>1</v>
      </c>
      <c r="V1069">
        <v>88.169</v>
      </c>
      <c r="W1069">
        <v>37.905</v>
      </c>
      <c r="X1069">
        <v>89.455</v>
      </c>
      <c r="Y1069">
        <v>20.235</v>
      </c>
      <c r="Z1069">
        <v>30.306</v>
      </c>
      <c r="AA1069">
        <v>266.07</v>
      </c>
      <c r="AB1069">
        <v>1.11406</v>
      </c>
      <c r="AC1069">
        <v>292</v>
      </c>
      <c r="AD1069">
        <v>0</v>
      </c>
      <c r="AG1069">
        <v>129</v>
      </c>
      <c r="AH1069">
        <v>45</v>
      </c>
      <c r="AI1069">
        <v>69</v>
      </c>
      <c r="AJ1069">
        <v>26</v>
      </c>
      <c r="AK1069">
        <v>23</v>
      </c>
    </row>
    <row r="1070" spans="1:37">
      <c r="A1070" t="s">
        <v>1447</v>
      </c>
      <c r="B1070" t="s">
        <v>1752</v>
      </c>
      <c r="C1070">
        <v>18.7</v>
      </c>
      <c r="D1070" t="s">
        <v>82</v>
      </c>
      <c r="E1070">
        <v>7</v>
      </c>
      <c r="F1070">
        <v>0</v>
      </c>
      <c r="G1070">
        <v>0</v>
      </c>
      <c r="I1070">
        <v>1.19929</v>
      </c>
      <c r="J1070">
        <v>0.98509</v>
      </c>
      <c r="K1070">
        <v>0.98825</v>
      </c>
      <c r="L1070">
        <v>1.03293</v>
      </c>
      <c r="M1070">
        <v>1.13539</v>
      </c>
      <c r="N1070">
        <v>1.0291</v>
      </c>
      <c r="O1070">
        <v>1</v>
      </c>
      <c r="P1070">
        <v>1.00423</v>
      </c>
      <c r="Q1070">
        <v>1</v>
      </c>
      <c r="R1070">
        <v>1</v>
      </c>
      <c r="S1070">
        <v>0.96193</v>
      </c>
      <c r="T1070">
        <v>1.05719</v>
      </c>
      <c r="U1070">
        <v>1</v>
      </c>
      <c r="V1070">
        <v>82.893</v>
      </c>
      <c r="W1070">
        <v>31.95</v>
      </c>
      <c r="X1070">
        <v>140.251</v>
      </c>
      <c r="Y1070">
        <v>35.361</v>
      </c>
      <c r="Z1070">
        <v>36.659</v>
      </c>
      <c r="AA1070">
        <v>327.114</v>
      </c>
      <c r="AB1070">
        <v>1.01062</v>
      </c>
      <c r="AC1070">
        <v>346</v>
      </c>
      <c r="AD1070">
        <v>0</v>
      </c>
      <c r="AG1070">
        <v>90</v>
      </c>
      <c r="AH1070">
        <v>32</v>
      </c>
      <c r="AI1070">
        <v>144</v>
      </c>
      <c r="AJ1070">
        <v>43</v>
      </c>
      <c r="AK1070">
        <v>37</v>
      </c>
    </row>
    <row r="1071" spans="1:37">
      <c r="A1071" t="s">
        <v>1448</v>
      </c>
      <c r="B1071" t="s">
        <v>1753</v>
      </c>
      <c r="C1071">
        <v>18.5</v>
      </c>
      <c r="D1071" t="s">
        <v>82</v>
      </c>
      <c r="E1071">
        <v>8</v>
      </c>
      <c r="F1071">
        <v>0</v>
      </c>
      <c r="G1071">
        <v>0</v>
      </c>
      <c r="I1071">
        <v>1.19948</v>
      </c>
      <c r="J1071">
        <v>0.97824</v>
      </c>
      <c r="K1071">
        <v>0.98825</v>
      </c>
      <c r="L1071">
        <v>1.0339</v>
      </c>
      <c r="M1071">
        <v>0.90188</v>
      </c>
      <c r="N1071">
        <v>1.03511</v>
      </c>
      <c r="O1071">
        <v>1</v>
      </c>
      <c r="P1071">
        <v>1.00337</v>
      </c>
      <c r="Q1071">
        <v>1</v>
      </c>
      <c r="R1071">
        <v>1</v>
      </c>
      <c r="S1071">
        <v>0.95318</v>
      </c>
      <c r="T1071">
        <v>1.03021</v>
      </c>
      <c r="U1071">
        <v>1</v>
      </c>
      <c r="V1071">
        <v>19.695</v>
      </c>
      <c r="W1071">
        <v>13.884</v>
      </c>
      <c r="X1071">
        <v>129.093</v>
      </c>
      <c r="Y1071">
        <v>55.409</v>
      </c>
      <c r="Z1071">
        <v>39.419</v>
      </c>
      <c r="AA1071">
        <v>257.501</v>
      </c>
      <c r="AB1071">
        <v>0.92418</v>
      </c>
      <c r="AC1071">
        <v>249</v>
      </c>
      <c r="AD1071">
        <v>0</v>
      </c>
      <c r="AG1071">
        <v>21</v>
      </c>
      <c r="AH1071">
        <v>9</v>
      </c>
      <c r="AI1071">
        <v>119</v>
      </c>
      <c r="AJ1071">
        <v>58</v>
      </c>
      <c r="AK1071">
        <v>42</v>
      </c>
    </row>
    <row r="1072" spans="1:37">
      <c r="A1072" t="s">
        <v>1449</v>
      </c>
      <c r="B1072" t="s">
        <v>1754</v>
      </c>
      <c r="C1072">
        <v>17.7</v>
      </c>
      <c r="D1072" t="s">
        <v>82</v>
      </c>
      <c r="E1072">
        <v>9</v>
      </c>
      <c r="F1072">
        <v>0</v>
      </c>
      <c r="G1072">
        <v>0</v>
      </c>
      <c r="I1072">
        <v>1.19966</v>
      </c>
      <c r="J1072">
        <v>0.96759</v>
      </c>
      <c r="K1072">
        <v>0.98825</v>
      </c>
      <c r="L1072">
        <v>1.03483</v>
      </c>
      <c r="M1072">
        <v>0.83738</v>
      </c>
      <c r="N1072">
        <v>1.0192</v>
      </c>
      <c r="O1072">
        <v>1</v>
      </c>
      <c r="P1072">
        <v>1.00215</v>
      </c>
      <c r="Q1072">
        <v>1</v>
      </c>
      <c r="R1072">
        <v>1</v>
      </c>
      <c r="S1072">
        <v>0.9553</v>
      </c>
      <c r="T1072">
        <v>1.0357</v>
      </c>
      <c r="U1072">
        <v>1</v>
      </c>
      <c r="V1072">
        <v>26.583</v>
      </c>
      <c r="W1072">
        <v>21.589</v>
      </c>
      <c r="X1072">
        <v>106.958</v>
      </c>
      <c r="Y1072">
        <v>45.596</v>
      </c>
      <c r="Z1072">
        <v>33.876</v>
      </c>
      <c r="AA1072">
        <v>234.603</v>
      </c>
      <c r="AB1072">
        <v>1.10067</v>
      </c>
      <c r="AC1072">
        <v>255</v>
      </c>
      <c r="AD1072">
        <v>0</v>
      </c>
      <c r="AG1072">
        <v>29</v>
      </c>
      <c r="AH1072">
        <v>20</v>
      </c>
      <c r="AI1072">
        <v>98</v>
      </c>
      <c r="AJ1072">
        <v>57</v>
      </c>
      <c r="AK1072">
        <v>51</v>
      </c>
    </row>
    <row r="1073" spans="1:37">
      <c r="A1073" t="s">
        <v>518</v>
      </c>
      <c r="B1073" t="s">
        <v>1751</v>
      </c>
      <c r="C1073">
        <v>16.1</v>
      </c>
      <c r="D1073" t="s">
        <v>82</v>
      </c>
      <c r="E1073">
        <v>10</v>
      </c>
      <c r="F1073">
        <v>0</v>
      </c>
      <c r="G1073">
        <v>0</v>
      </c>
      <c r="I1073">
        <v>1.19985</v>
      </c>
      <c r="J1073">
        <v>0.96732</v>
      </c>
      <c r="K1073">
        <v>0.98825</v>
      </c>
      <c r="L1073">
        <v>1.0357</v>
      </c>
      <c r="M1073">
        <v>0.90638</v>
      </c>
      <c r="N1073">
        <v>0.99099</v>
      </c>
      <c r="O1073">
        <v>1</v>
      </c>
      <c r="P1073">
        <v>1.00109</v>
      </c>
      <c r="Q1073">
        <v>1</v>
      </c>
      <c r="R1073">
        <v>1</v>
      </c>
      <c r="S1073">
        <v>0.9680800000000001</v>
      </c>
      <c r="T1073">
        <v>1.07548</v>
      </c>
      <c r="U1073">
        <v>1</v>
      </c>
      <c r="V1073">
        <v>93.08499999999999</v>
      </c>
      <c r="W1073">
        <v>39.265</v>
      </c>
      <c r="X1073">
        <v>73.34099999999999</v>
      </c>
      <c r="Y1073">
        <v>16.628</v>
      </c>
      <c r="Z1073">
        <v>27.012</v>
      </c>
      <c r="AA1073">
        <v>249.332</v>
      </c>
      <c r="AB1073">
        <v>0.90416</v>
      </c>
      <c r="AC1073">
        <v>217</v>
      </c>
      <c r="AD1073">
        <v>0</v>
      </c>
      <c r="AG1073">
        <v>73</v>
      </c>
      <c r="AH1073">
        <v>27</v>
      </c>
      <c r="AI1073">
        <v>76</v>
      </c>
      <c r="AJ1073">
        <v>12</v>
      </c>
      <c r="AK1073">
        <v>29</v>
      </c>
    </row>
    <row r="1074" spans="1:37">
      <c r="A1074" t="s">
        <v>1450</v>
      </c>
      <c r="B1074" t="s">
        <v>1751</v>
      </c>
      <c r="C1074">
        <v>15.1</v>
      </c>
      <c r="D1074" t="s">
        <v>82</v>
      </c>
      <c r="E1074">
        <v>11</v>
      </c>
      <c r="F1074">
        <v>0</v>
      </c>
      <c r="G1074">
        <v>0</v>
      </c>
      <c r="I1074">
        <v>1.20003</v>
      </c>
      <c r="J1074">
        <v>0.9763500000000001</v>
      </c>
      <c r="K1074">
        <v>0.98825</v>
      </c>
      <c r="L1074">
        <v>1.03652</v>
      </c>
      <c r="M1074">
        <v>0.88</v>
      </c>
      <c r="N1074">
        <v>0.9798</v>
      </c>
      <c r="O1074">
        <v>1</v>
      </c>
      <c r="P1074">
        <v>1.00073</v>
      </c>
      <c r="Q1074">
        <v>1</v>
      </c>
      <c r="R1074">
        <v>1</v>
      </c>
      <c r="S1074">
        <v>0.96792</v>
      </c>
      <c r="T1074">
        <v>1.07504</v>
      </c>
      <c r="U1074">
        <v>1</v>
      </c>
      <c r="V1074">
        <v>89.55</v>
      </c>
      <c r="W1074">
        <v>39.659</v>
      </c>
      <c r="X1074">
        <v>70.367</v>
      </c>
      <c r="Y1074">
        <v>15.107</v>
      </c>
      <c r="Z1074">
        <v>26.832</v>
      </c>
      <c r="AA1074">
        <v>241.515</v>
      </c>
      <c r="AB1074">
        <v>0.90778</v>
      </c>
      <c r="AC1074">
        <v>230</v>
      </c>
      <c r="AD1074">
        <v>1</v>
      </c>
      <c r="AG1074">
        <v>69</v>
      </c>
      <c r="AH1074">
        <v>39</v>
      </c>
      <c r="AI1074">
        <v>87</v>
      </c>
      <c r="AJ1074">
        <v>13</v>
      </c>
      <c r="AK1074">
        <v>22</v>
      </c>
    </row>
    <row r="1075" spans="1:37">
      <c r="A1075" t="s">
        <v>1451</v>
      </c>
      <c r="B1075" t="s">
        <v>1751</v>
      </c>
      <c r="C1075">
        <v>16.2</v>
      </c>
      <c r="D1075" t="s">
        <v>82</v>
      </c>
      <c r="E1075">
        <v>12</v>
      </c>
      <c r="F1075">
        <v>0</v>
      </c>
      <c r="G1075">
        <v>0</v>
      </c>
      <c r="I1075">
        <v>1.20022</v>
      </c>
      <c r="J1075">
        <v>0.97515</v>
      </c>
      <c r="K1075">
        <v>0.98825</v>
      </c>
      <c r="L1075">
        <v>1.03727</v>
      </c>
      <c r="M1075">
        <v>0.9007500000000001</v>
      </c>
      <c r="N1075">
        <v>0.99134</v>
      </c>
      <c r="O1075">
        <v>1</v>
      </c>
      <c r="P1075">
        <v>1.0005</v>
      </c>
      <c r="Q1075">
        <v>1</v>
      </c>
      <c r="R1075">
        <v>1</v>
      </c>
      <c r="S1075">
        <v>1</v>
      </c>
      <c r="T1075">
        <v>1.071</v>
      </c>
      <c r="U1075">
        <v>1</v>
      </c>
      <c r="V1075">
        <v>89.508</v>
      </c>
      <c r="W1075">
        <v>41.289</v>
      </c>
      <c r="X1075">
        <v>80.956</v>
      </c>
      <c r="Y1075">
        <v>17.509</v>
      </c>
      <c r="Z1075">
        <v>30.007</v>
      </c>
      <c r="AA1075">
        <v>259.27</v>
      </c>
      <c r="AB1075">
        <v>1.01522</v>
      </c>
      <c r="AC1075">
        <v>264</v>
      </c>
      <c r="AD1075">
        <v>0</v>
      </c>
      <c r="AG1075">
        <v>88</v>
      </c>
      <c r="AH1075">
        <v>42</v>
      </c>
      <c r="AI1075">
        <v>98</v>
      </c>
      <c r="AJ1075">
        <v>9</v>
      </c>
      <c r="AK1075">
        <v>27</v>
      </c>
    </row>
    <row r="1076" spans="1:37">
      <c r="A1076" t="s">
        <v>1452</v>
      </c>
      <c r="B1076" t="s">
        <v>1751</v>
      </c>
      <c r="C1076">
        <v>16.4</v>
      </c>
      <c r="D1076" t="s">
        <v>82</v>
      </c>
      <c r="E1076">
        <v>13</v>
      </c>
      <c r="F1076">
        <v>0</v>
      </c>
      <c r="G1076">
        <v>0</v>
      </c>
      <c r="I1076">
        <v>1.2004</v>
      </c>
      <c r="J1076">
        <v>0.9654199999999999</v>
      </c>
      <c r="K1076">
        <v>0.98825</v>
      </c>
      <c r="L1076">
        <v>1.03793</v>
      </c>
      <c r="M1076">
        <v>0.9362</v>
      </c>
      <c r="N1076">
        <v>0.99426</v>
      </c>
      <c r="O1076">
        <v>1</v>
      </c>
      <c r="P1076">
        <v>1.00035</v>
      </c>
      <c r="Q1076">
        <v>1</v>
      </c>
      <c r="R1076">
        <v>1</v>
      </c>
      <c r="S1076">
        <v>1</v>
      </c>
      <c r="T1076">
        <v>1.06782</v>
      </c>
      <c r="U1076">
        <v>1</v>
      </c>
      <c r="V1076">
        <v>86.90600000000001</v>
      </c>
      <c r="W1076">
        <v>38.859</v>
      </c>
      <c r="X1076">
        <v>90.089</v>
      </c>
      <c r="Y1076">
        <v>20.309</v>
      </c>
      <c r="Z1076">
        <v>31.441</v>
      </c>
      <c r="AA1076">
        <v>267.605</v>
      </c>
      <c r="AB1076">
        <v>1.02371</v>
      </c>
      <c r="AC1076">
        <v>279</v>
      </c>
      <c r="AD1076">
        <v>0</v>
      </c>
      <c r="AG1076">
        <v>86</v>
      </c>
      <c r="AH1076">
        <v>37</v>
      </c>
      <c r="AI1076">
        <v>97</v>
      </c>
      <c r="AJ1076">
        <v>18</v>
      </c>
      <c r="AK1076">
        <v>41</v>
      </c>
    </row>
    <row r="1077" spans="1:37">
      <c r="A1077" t="s">
        <v>1453</v>
      </c>
      <c r="B1077" t="s">
        <v>1752</v>
      </c>
      <c r="C1077">
        <v>19.3</v>
      </c>
      <c r="D1077" t="s">
        <v>82</v>
      </c>
      <c r="E1077">
        <v>14</v>
      </c>
      <c r="F1077">
        <v>0</v>
      </c>
      <c r="G1077">
        <v>0</v>
      </c>
      <c r="I1077">
        <v>1.20059</v>
      </c>
      <c r="J1077">
        <v>0.96671</v>
      </c>
      <c r="K1077">
        <v>0.98825</v>
      </c>
      <c r="L1077">
        <v>1.03852</v>
      </c>
      <c r="M1077">
        <v>1.17642</v>
      </c>
      <c r="N1077">
        <v>1.04511</v>
      </c>
      <c r="O1077">
        <v>1</v>
      </c>
      <c r="P1077">
        <v>1.00027</v>
      </c>
      <c r="Q1077">
        <v>1</v>
      </c>
      <c r="R1077">
        <v>1</v>
      </c>
      <c r="S1077">
        <v>1</v>
      </c>
      <c r="T1077">
        <v>1.04939</v>
      </c>
      <c r="U1077">
        <v>1.23715</v>
      </c>
      <c r="V1077">
        <v>81.749</v>
      </c>
      <c r="W1077">
        <v>39.346</v>
      </c>
      <c r="X1077">
        <v>219.844</v>
      </c>
      <c r="Y1077">
        <v>36.463</v>
      </c>
      <c r="Z1077">
        <v>39.098</v>
      </c>
      <c r="AA1077">
        <v>416.5</v>
      </c>
      <c r="AB1077">
        <v>0.92753</v>
      </c>
      <c r="AC1077">
        <v>426</v>
      </c>
      <c r="AD1077">
        <v>0</v>
      </c>
      <c r="AE1077" t="s">
        <v>315</v>
      </c>
      <c r="AG1077">
        <v>76</v>
      </c>
      <c r="AH1077">
        <v>35</v>
      </c>
      <c r="AI1077">
        <v>226</v>
      </c>
      <c r="AJ1077">
        <v>42</v>
      </c>
      <c r="AK1077">
        <v>47</v>
      </c>
    </row>
    <row r="1078" spans="1:37">
      <c r="A1078" t="s">
        <v>1454</v>
      </c>
      <c r="B1078" t="s">
        <v>1753</v>
      </c>
      <c r="C1078">
        <v>18.8</v>
      </c>
      <c r="D1078" t="s">
        <v>82</v>
      </c>
      <c r="E1078">
        <v>15</v>
      </c>
      <c r="F1078">
        <v>0</v>
      </c>
      <c r="G1078">
        <v>0</v>
      </c>
      <c r="I1078">
        <v>1.20077</v>
      </c>
      <c r="J1078">
        <v>0.97282</v>
      </c>
      <c r="K1078">
        <v>0.98825</v>
      </c>
      <c r="L1078">
        <v>1.03901</v>
      </c>
      <c r="M1078">
        <v>0.9134</v>
      </c>
      <c r="N1078">
        <v>1.03919</v>
      </c>
      <c r="O1078">
        <v>1</v>
      </c>
      <c r="P1078">
        <v>0.99675</v>
      </c>
      <c r="Q1078">
        <v>1</v>
      </c>
      <c r="R1078">
        <v>1</v>
      </c>
      <c r="S1078">
        <v>1</v>
      </c>
      <c r="T1078">
        <v>1.02962</v>
      </c>
      <c r="U1078">
        <v>1</v>
      </c>
      <c r="V1078">
        <v>19.662</v>
      </c>
      <c r="W1078">
        <v>14.417</v>
      </c>
      <c r="X1078">
        <v>135.73</v>
      </c>
      <c r="Y1078">
        <v>57.561</v>
      </c>
      <c r="Z1078">
        <v>42.299</v>
      </c>
      <c r="AA1078">
        <v>269.669</v>
      </c>
      <c r="AB1078">
        <v>1.02796</v>
      </c>
      <c r="AC1078">
        <v>298</v>
      </c>
      <c r="AD1078">
        <v>0</v>
      </c>
      <c r="AG1078">
        <v>21</v>
      </c>
      <c r="AH1078">
        <v>18</v>
      </c>
      <c r="AI1078">
        <v>154</v>
      </c>
      <c r="AJ1078">
        <v>61</v>
      </c>
      <c r="AK1078">
        <v>44</v>
      </c>
    </row>
    <row r="1079" spans="1:37">
      <c r="A1079" t="s">
        <v>1455</v>
      </c>
      <c r="B1079" t="s">
        <v>1754</v>
      </c>
      <c r="C1079">
        <v>19.4</v>
      </c>
      <c r="D1079" t="s">
        <v>82</v>
      </c>
      <c r="E1079">
        <v>16</v>
      </c>
      <c r="F1079">
        <v>0</v>
      </c>
      <c r="G1079">
        <v>0</v>
      </c>
      <c r="I1079">
        <v>1.20096</v>
      </c>
      <c r="J1079">
        <v>0.96047</v>
      </c>
      <c r="K1079">
        <v>0.98825</v>
      </c>
      <c r="L1079">
        <v>1.03941</v>
      </c>
      <c r="M1079">
        <v>0.8507400000000001</v>
      </c>
      <c r="N1079">
        <v>1.04265</v>
      </c>
      <c r="O1079">
        <v>1</v>
      </c>
      <c r="P1079">
        <v>0.99352</v>
      </c>
      <c r="Q1079">
        <v>1</v>
      </c>
      <c r="R1079">
        <v>1</v>
      </c>
      <c r="S1079">
        <v>1</v>
      </c>
      <c r="T1079">
        <v>1.03462</v>
      </c>
      <c r="U1079">
        <v>1</v>
      </c>
      <c r="V1079">
        <v>26.455</v>
      </c>
      <c r="W1079">
        <v>22.336</v>
      </c>
      <c r="X1079">
        <v>114.911</v>
      </c>
      <c r="Y1079">
        <v>48.042</v>
      </c>
      <c r="Z1079">
        <v>36.971</v>
      </c>
      <c r="AA1079">
        <v>248.715</v>
      </c>
      <c r="AB1079">
        <v>0.91431</v>
      </c>
      <c r="AC1079">
        <v>232</v>
      </c>
      <c r="AD1079">
        <v>0</v>
      </c>
      <c r="AG1079">
        <v>35</v>
      </c>
      <c r="AH1079">
        <v>19</v>
      </c>
      <c r="AI1079">
        <v>101</v>
      </c>
      <c r="AJ1079">
        <v>47</v>
      </c>
      <c r="AK1079">
        <v>30</v>
      </c>
    </row>
    <row r="1080" spans="1:37">
      <c r="A1080" t="s">
        <v>519</v>
      </c>
      <c r="B1080" t="s">
        <v>1751</v>
      </c>
      <c r="C1080">
        <v>17.5</v>
      </c>
      <c r="D1080" t="s">
        <v>82</v>
      </c>
      <c r="E1080">
        <v>17</v>
      </c>
      <c r="F1080">
        <v>0</v>
      </c>
      <c r="G1080">
        <v>0</v>
      </c>
      <c r="I1080">
        <v>1.20114</v>
      </c>
      <c r="J1080">
        <v>0.96749</v>
      </c>
      <c r="K1080">
        <v>0.98825</v>
      </c>
      <c r="L1080">
        <v>1.03971</v>
      </c>
      <c r="M1080">
        <v>0.9029700000000001</v>
      </c>
      <c r="N1080">
        <v>1.00502</v>
      </c>
      <c r="O1080">
        <v>1</v>
      </c>
      <c r="P1080">
        <v>0.9925</v>
      </c>
      <c r="Q1080">
        <v>1</v>
      </c>
      <c r="R1080">
        <v>1</v>
      </c>
      <c r="S1080">
        <v>1</v>
      </c>
      <c r="T1080">
        <v>1.07299</v>
      </c>
      <c r="U1080">
        <v>1</v>
      </c>
      <c r="V1080">
        <v>93.203</v>
      </c>
      <c r="W1080">
        <v>40.848</v>
      </c>
      <c r="X1080">
        <v>79.294</v>
      </c>
      <c r="Y1080">
        <v>17.615</v>
      </c>
      <c r="Z1080">
        <v>29.477</v>
      </c>
      <c r="AA1080">
        <v>260.438</v>
      </c>
      <c r="AB1080">
        <v>0.97429</v>
      </c>
      <c r="AC1080">
        <v>276</v>
      </c>
      <c r="AD1080">
        <v>0</v>
      </c>
      <c r="AG1080">
        <v>89</v>
      </c>
      <c r="AH1080">
        <v>48</v>
      </c>
      <c r="AI1080">
        <v>78</v>
      </c>
      <c r="AJ1080">
        <v>24</v>
      </c>
      <c r="AK1080">
        <v>37</v>
      </c>
    </row>
    <row r="1081" spans="1:37">
      <c r="A1081" t="s">
        <v>1456</v>
      </c>
      <c r="B1081" t="s">
        <v>1751</v>
      </c>
      <c r="C1081">
        <v>17.4</v>
      </c>
      <c r="D1081" t="s">
        <v>82</v>
      </c>
      <c r="E1081">
        <v>18</v>
      </c>
      <c r="F1081">
        <v>0</v>
      </c>
      <c r="G1081">
        <v>0</v>
      </c>
      <c r="I1081">
        <v>1.20133</v>
      </c>
      <c r="J1081">
        <v>0.96214</v>
      </c>
      <c r="K1081">
        <v>0.98825</v>
      </c>
      <c r="L1081">
        <v>1.0399</v>
      </c>
      <c r="M1081">
        <v>0.87603</v>
      </c>
      <c r="N1081">
        <v>1.00344</v>
      </c>
      <c r="O1081">
        <v>1</v>
      </c>
      <c r="P1081">
        <v>0.98993</v>
      </c>
      <c r="Q1081">
        <v>1</v>
      </c>
      <c r="R1081">
        <v>1</v>
      </c>
      <c r="S1081">
        <v>1</v>
      </c>
      <c r="T1081">
        <v>1.07207</v>
      </c>
      <c r="U1081">
        <v>1</v>
      </c>
      <c r="V1081">
        <v>88.20399999999999</v>
      </c>
      <c r="W1081">
        <v>40.559</v>
      </c>
      <c r="X1081">
        <v>76.488</v>
      </c>
      <c r="Y1081">
        <v>15.976</v>
      </c>
      <c r="Z1081">
        <v>29.165</v>
      </c>
      <c r="AA1081">
        <v>250.393</v>
      </c>
      <c r="AB1081">
        <v>1.07334</v>
      </c>
      <c r="AC1081">
        <v>275</v>
      </c>
      <c r="AD1081">
        <v>0</v>
      </c>
      <c r="AG1081">
        <v>104</v>
      </c>
      <c r="AH1081">
        <v>49</v>
      </c>
      <c r="AI1081">
        <v>76</v>
      </c>
      <c r="AJ1081">
        <v>21</v>
      </c>
      <c r="AK1081">
        <v>25</v>
      </c>
    </row>
    <row r="1082" spans="1:37">
      <c r="A1082" t="s">
        <v>1457</v>
      </c>
      <c r="B1082" t="s">
        <v>1751</v>
      </c>
      <c r="C1082">
        <v>16.9</v>
      </c>
      <c r="D1082" t="s">
        <v>82</v>
      </c>
      <c r="E1082">
        <v>19</v>
      </c>
      <c r="F1082">
        <v>0</v>
      </c>
      <c r="G1082">
        <v>0</v>
      </c>
      <c r="I1082">
        <v>1.20151</v>
      </c>
      <c r="J1082">
        <v>0.97944</v>
      </c>
      <c r="K1082">
        <v>0.98825</v>
      </c>
      <c r="L1082">
        <v>1.03999</v>
      </c>
      <c r="M1082">
        <v>0.90066</v>
      </c>
      <c r="N1082">
        <v>0.99901</v>
      </c>
      <c r="O1082">
        <v>1</v>
      </c>
      <c r="P1082">
        <v>0.98726</v>
      </c>
      <c r="Q1082">
        <v>1</v>
      </c>
      <c r="R1082">
        <v>1</v>
      </c>
      <c r="S1082">
        <v>1</v>
      </c>
      <c r="T1082">
        <v>1.071</v>
      </c>
      <c r="U1082">
        <v>1</v>
      </c>
      <c r="V1082">
        <v>89.709</v>
      </c>
      <c r="W1082">
        <v>41.22</v>
      </c>
      <c r="X1082">
        <v>81.45399999999999</v>
      </c>
      <c r="Y1082">
        <v>17.527</v>
      </c>
      <c r="Z1082">
        <v>30</v>
      </c>
      <c r="AA1082">
        <v>259.91</v>
      </c>
      <c r="AB1082">
        <v>0.9664199999999999</v>
      </c>
      <c r="AC1082">
        <v>276</v>
      </c>
      <c r="AD1082">
        <v>0</v>
      </c>
      <c r="AG1082">
        <v>75</v>
      </c>
      <c r="AH1082">
        <v>42</v>
      </c>
      <c r="AI1082">
        <v>104</v>
      </c>
      <c r="AJ1082">
        <v>18</v>
      </c>
      <c r="AK1082">
        <v>37</v>
      </c>
    </row>
    <row r="1083" spans="1:37">
      <c r="A1083" t="s">
        <v>1458</v>
      </c>
      <c r="B1083" t="s">
        <v>1751</v>
      </c>
      <c r="C1083">
        <v>16</v>
      </c>
      <c r="D1083" t="s">
        <v>82</v>
      </c>
      <c r="E1083">
        <v>20</v>
      </c>
      <c r="F1083">
        <v>0</v>
      </c>
      <c r="G1083">
        <v>0</v>
      </c>
      <c r="I1083">
        <v>1.2017</v>
      </c>
      <c r="J1083">
        <v>0.97445</v>
      </c>
      <c r="K1083">
        <v>0.98825</v>
      </c>
      <c r="L1083">
        <v>1.03999</v>
      </c>
      <c r="M1083">
        <v>0.93655</v>
      </c>
      <c r="N1083">
        <v>0.98958</v>
      </c>
      <c r="O1083">
        <v>1</v>
      </c>
      <c r="P1083">
        <v>0.9843</v>
      </c>
      <c r="Q1083">
        <v>1</v>
      </c>
      <c r="R1083">
        <v>1</v>
      </c>
      <c r="S1083">
        <v>1</v>
      </c>
      <c r="T1083">
        <v>1.06855</v>
      </c>
      <c r="U1083">
        <v>1</v>
      </c>
      <c r="V1083">
        <v>87.381</v>
      </c>
      <c r="W1083">
        <v>38.891</v>
      </c>
      <c r="X1083">
        <v>88.2</v>
      </c>
      <c r="Y1083">
        <v>19.943</v>
      </c>
      <c r="Z1083">
        <v>30.9</v>
      </c>
      <c r="AA1083">
        <v>265.315</v>
      </c>
      <c r="AB1083">
        <v>1.02258</v>
      </c>
      <c r="AC1083">
        <v>265</v>
      </c>
      <c r="AD1083">
        <v>0</v>
      </c>
      <c r="AG1083">
        <v>92</v>
      </c>
      <c r="AH1083">
        <v>39</v>
      </c>
      <c r="AI1083">
        <v>76</v>
      </c>
      <c r="AJ1083">
        <v>21</v>
      </c>
      <c r="AK1083">
        <v>37</v>
      </c>
    </row>
    <row r="1084" spans="1:37">
      <c r="A1084" t="s">
        <v>1459</v>
      </c>
      <c r="B1084" t="s">
        <v>1752</v>
      </c>
      <c r="C1084">
        <v>16.3</v>
      </c>
      <c r="D1084" t="s">
        <v>82</v>
      </c>
      <c r="E1084">
        <v>21</v>
      </c>
      <c r="F1084">
        <v>0</v>
      </c>
      <c r="G1084">
        <v>0</v>
      </c>
      <c r="I1084">
        <v>1.20188</v>
      </c>
      <c r="J1084">
        <v>0.97993</v>
      </c>
      <c r="K1084">
        <v>0.98825</v>
      </c>
      <c r="L1084">
        <v>1.03993</v>
      </c>
      <c r="M1084">
        <v>1.13097</v>
      </c>
      <c r="N1084">
        <v>0.99682</v>
      </c>
      <c r="O1084">
        <v>1</v>
      </c>
      <c r="P1084">
        <v>0.97973</v>
      </c>
      <c r="Q1084">
        <v>1</v>
      </c>
      <c r="R1084">
        <v>1</v>
      </c>
      <c r="S1084">
        <v>1</v>
      </c>
      <c r="T1084">
        <v>1.05744</v>
      </c>
      <c r="U1084">
        <v>1</v>
      </c>
      <c r="V1084">
        <v>82.407</v>
      </c>
      <c r="W1084">
        <v>32.875</v>
      </c>
      <c r="X1084">
        <v>135.922</v>
      </c>
      <c r="Y1084">
        <v>34.44</v>
      </c>
      <c r="Z1084">
        <v>36.882</v>
      </c>
      <c r="AA1084">
        <v>322.526</v>
      </c>
      <c r="AB1084">
        <v>0.9272899999999999</v>
      </c>
      <c r="AC1084">
        <v>294</v>
      </c>
      <c r="AD1084">
        <v>0</v>
      </c>
      <c r="AG1084">
        <v>95</v>
      </c>
      <c r="AH1084">
        <v>37</v>
      </c>
      <c r="AI1084">
        <v>97</v>
      </c>
      <c r="AJ1084">
        <v>26</v>
      </c>
      <c r="AK1084">
        <v>39</v>
      </c>
    </row>
    <row r="1085" spans="1:37">
      <c r="A1085" t="s">
        <v>1460</v>
      </c>
      <c r="B1085" t="s">
        <v>1753</v>
      </c>
      <c r="C1085">
        <v>16.6</v>
      </c>
      <c r="D1085" t="s">
        <v>82</v>
      </c>
      <c r="E1085">
        <v>22</v>
      </c>
      <c r="F1085">
        <v>0</v>
      </c>
      <c r="G1085">
        <v>0</v>
      </c>
      <c r="I1085">
        <v>1.20207</v>
      </c>
      <c r="J1085">
        <v>0.98087</v>
      </c>
      <c r="K1085">
        <v>0.98825</v>
      </c>
      <c r="L1085">
        <v>1.03981</v>
      </c>
      <c r="M1085">
        <v>0.89623</v>
      </c>
      <c r="N1085">
        <v>1.0013</v>
      </c>
      <c r="O1085">
        <v>1</v>
      </c>
      <c r="P1085">
        <v>0.97243</v>
      </c>
      <c r="Q1085">
        <v>1</v>
      </c>
      <c r="R1085">
        <v>1</v>
      </c>
      <c r="S1085">
        <v>1</v>
      </c>
      <c r="T1085">
        <v>1.03018</v>
      </c>
      <c r="U1085">
        <v>1</v>
      </c>
      <c r="V1085">
        <v>19.703</v>
      </c>
      <c r="W1085">
        <v>14.37</v>
      </c>
      <c r="X1085">
        <v>127.153</v>
      </c>
      <c r="Y1085">
        <v>54.67</v>
      </c>
      <c r="Z1085">
        <v>40.168</v>
      </c>
      <c r="AA1085">
        <v>256.064</v>
      </c>
      <c r="AB1085">
        <v>0.89697</v>
      </c>
      <c r="AC1085">
        <v>218</v>
      </c>
      <c r="AD1085">
        <v>0</v>
      </c>
      <c r="AG1085">
        <v>20</v>
      </c>
      <c r="AH1085">
        <v>9</v>
      </c>
      <c r="AI1085">
        <v>106</v>
      </c>
      <c r="AJ1085">
        <v>44</v>
      </c>
      <c r="AK1085">
        <v>39</v>
      </c>
    </row>
    <row r="1086" spans="1:37">
      <c r="A1086" t="s">
        <v>1461</v>
      </c>
      <c r="B1086" t="s">
        <v>1754</v>
      </c>
      <c r="C1086">
        <v>16.7</v>
      </c>
      <c r="D1086" t="s">
        <v>82</v>
      </c>
      <c r="E1086">
        <v>23</v>
      </c>
      <c r="F1086">
        <v>0</v>
      </c>
      <c r="G1086">
        <v>0</v>
      </c>
      <c r="I1086">
        <v>1.20225</v>
      </c>
      <c r="J1086">
        <v>0.96785</v>
      </c>
      <c r="K1086">
        <v>0.98825</v>
      </c>
      <c r="L1086">
        <v>1.03965</v>
      </c>
      <c r="M1086">
        <v>0.83693</v>
      </c>
      <c r="N1086">
        <v>1.0021</v>
      </c>
      <c r="O1086">
        <v>1</v>
      </c>
      <c r="P1086">
        <v>0.97043</v>
      </c>
      <c r="Q1086">
        <v>1</v>
      </c>
      <c r="R1086">
        <v>1</v>
      </c>
      <c r="S1086">
        <v>1</v>
      </c>
      <c r="T1086">
        <v>1.0355</v>
      </c>
      <c r="U1086">
        <v>1</v>
      </c>
      <c r="V1086">
        <v>26.481</v>
      </c>
      <c r="W1086">
        <v>22.239</v>
      </c>
      <c r="X1086">
        <v>106.73</v>
      </c>
      <c r="Y1086">
        <v>45.331</v>
      </c>
      <c r="Z1086">
        <v>34.8</v>
      </c>
      <c r="AA1086">
        <v>235.581</v>
      </c>
      <c r="AB1086">
        <v>1.06288</v>
      </c>
      <c r="AC1086">
        <v>253</v>
      </c>
      <c r="AD1086">
        <v>0</v>
      </c>
      <c r="AG1086">
        <v>29</v>
      </c>
      <c r="AH1086">
        <v>28</v>
      </c>
      <c r="AI1086">
        <v>107</v>
      </c>
      <c r="AJ1086">
        <v>48</v>
      </c>
      <c r="AK1086">
        <v>41</v>
      </c>
    </row>
    <row r="1087" spans="1:37">
      <c r="A1087" t="s">
        <v>520</v>
      </c>
      <c r="B1087" t="s">
        <v>1751</v>
      </c>
      <c r="C1087">
        <v>16.5</v>
      </c>
      <c r="D1087" t="s">
        <v>82</v>
      </c>
      <c r="E1087">
        <v>24</v>
      </c>
      <c r="F1087">
        <v>0</v>
      </c>
      <c r="G1087">
        <v>0</v>
      </c>
      <c r="I1087">
        <v>1.20244</v>
      </c>
      <c r="J1087">
        <v>0.9819</v>
      </c>
      <c r="K1087">
        <v>0.98825</v>
      </c>
      <c r="L1087">
        <v>1.03943</v>
      </c>
      <c r="M1087">
        <v>0.90524</v>
      </c>
      <c r="N1087">
        <v>0.99477</v>
      </c>
      <c r="O1087">
        <v>1</v>
      </c>
      <c r="P1087">
        <v>0.97492</v>
      </c>
      <c r="Q1087">
        <v>1</v>
      </c>
      <c r="R1087">
        <v>1</v>
      </c>
      <c r="S1087">
        <v>1</v>
      </c>
      <c r="T1087">
        <v>1.07415</v>
      </c>
      <c r="U1087">
        <v>1</v>
      </c>
      <c r="V1087">
        <v>93.917</v>
      </c>
      <c r="W1087">
        <v>40.941</v>
      </c>
      <c r="X1087">
        <v>76.518</v>
      </c>
      <c r="Y1087">
        <v>17.117</v>
      </c>
      <c r="Z1087">
        <v>28.679</v>
      </c>
      <c r="AA1087">
        <v>257.173</v>
      </c>
      <c r="AB1087">
        <v>1.0031</v>
      </c>
      <c r="AC1087">
        <v>251</v>
      </c>
      <c r="AD1087">
        <v>0</v>
      </c>
      <c r="AG1087">
        <v>114</v>
      </c>
      <c r="AH1087">
        <v>38</v>
      </c>
      <c r="AI1087">
        <v>66</v>
      </c>
      <c r="AJ1087">
        <v>9</v>
      </c>
      <c r="AK1087">
        <v>24</v>
      </c>
    </row>
    <row r="1088" spans="1:37">
      <c r="A1088" t="s">
        <v>1462</v>
      </c>
      <c r="B1088" t="s">
        <v>1751</v>
      </c>
      <c r="C1088">
        <v>12.8</v>
      </c>
      <c r="D1088" t="s">
        <v>82</v>
      </c>
      <c r="E1088">
        <v>25</v>
      </c>
      <c r="F1088">
        <v>0</v>
      </c>
      <c r="G1088">
        <v>0</v>
      </c>
      <c r="I1088">
        <v>1.20262</v>
      </c>
      <c r="J1088">
        <v>0.99948</v>
      </c>
      <c r="K1088">
        <v>0.98825</v>
      </c>
      <c r="L1088">
        <v>1.03917</v>
      </c>
      <c r="M1088">
        <v>0.89368</v>
      </c>
      <c r="N1088">
        <v>0.94193</v>
      </c>
      <c r="O1088">
        <v>1</v>
      </c>
      <c r="P1088">
        <v>0.97237</v>
      </c>
      <c r="Q1088">
        <v>1</v>
      </c>
      <c r="R1088">
        <v>1</v>
      </c>
      <c r="S1088">
        <v>1</v>
      </c>
      <c r="T1088">
        <v>1.0727</v>
      </c>
      <c r="U1088">
        <v>0.90693</v>
      </c>
      <c r="V1088">
        <v>81.84099999999999</v>
      </c>
      <c r="W1088">
        <v>33.272</v>
      </c>
      <c r="X1088">
        <v>51.583</v>
      </c>
      <c r="Y1088">
        <v>10.413</v>
      </c>
      <c r="Z1088">
        <v>43.743</v>
      </c>
      <c r="AA1088">
        <v>220.852</v>
      </c>
      <c r="AB1088">
        <v>1.00148</v>
      </c>
      <c r="AC1088">
        <v>200</v>
      </c>
      <c r="AD1088">
        <v>1</v>
      </c>
      <c r="AE1088" t="s">
        <v>314</v>
      </c>
      <c r="AG1088">
        <v>86</v>
      </c>
      <c r="AH1088">
        <v>27</v>
      </c>
      <c r="AI1088">
        <v>54</v>
      </c>
      <c r="AJ1088">
        <v>7</v>
      </c>
      <c r="AK1088">
        <v>26</v>
      </c>
    </row>
    <row r="1089" spans="1:37">
      <c r="A1089" t="s">
        <v>1463</v>
      </c>
      <c r="B1089" t="s">
        <v>1751</v>
      </c>
      <c r="C1089">
        <v>15.1</v>
      </c>
      <c r="D1089" t="s">
        <v>82</v>
      </c>
      <c r="E1089">
        <v>26</v>
      </c>
      <c r="F1089">
        <v>0</v>
      </c>
      <c r="G1089">
        <v>0</v>
      </c>
      <c r="I1089">
        <v>1.20281</v>
      </c>
      <c r="J1089">
        <v>0.9922</v>
      </c>
      <c r="K1089">
        <v>0.98825</v>
      </c>
      <c r="L1089">
        <v>1.03886</v>
      </c>
      <c r="M1089">
        <v>0.90318</v>
      </c>
      <c r="N1089">
        <v>0.9794</v>
      </c>
      <c r="O1089">
        <v>1</v>
      </c>
      <c r="P1089">
        <v>0.9696399999999999</v>
      </c>
      <c r="Q1089">
        <v>1</v>
      </c>
      <c r="R1089">
        <v>1</v>
      </c>
      <c r="S1089">
        <v>1</v>
      </c>
      <c r="T1089">
        <v>1.07267</v>
      </c>
      <c r="U1089">
        <v>1</v>
      </c>
      <c r="V1089">
        <v>90.15600000000001</v>
      </c>
      <c r="W1089">
        <v>41.202</v>
      </c>
      <c r="X1089">
        <v>76.643</v>
      </c>
      <c r="Y1089">
        <v>16.718</v>
      </c>
      <c r="Z1089">
        <v>28.722</v>
      </c>
      <c r="AA1089">
        <v>253.442</v>
      </c>
      <c r="AB1089">
        <v>1.02648</v>
      </c>
      <c r="AC1089">
        <v>250</v>
      </c>
      <c r="AD1089">
        <v>0</v>
      </c>
      <c r="AG1089">
        <v>95</v>
      </c>
      <c r="AH1089">
        <v>45</v>
      </c>
      <c r="AI1089">
        <v>66</v>
      </c>
      <c r="AJ1089">
        <v>12</v>
      </c>
      <c r="AK1089">
        <v>32</v>
      </c>
    </row>
    <row r="1090" spans="1:37">
      <c r="A1090" t="s">
        <v>1464</v>
      </c>
      <c r="B1090" t="s">
        <v>1751</v>
      </c>
      <c r="C1090">
        <v>17.4</v>
      </c>
      <c r="D1090" t="s">
        <v>82</v>
      </c>
      <c r="E1090">
        <v>27</v>
      </c>
      <c r="F1090">
        <v>0</v>
      </c>
      <c r="G1090">
        <v>0</v>
      </c>
      <c r="I1090">
        <v>1.20299</v>
      </c>
      <c r="J1090">
        <v>0.99596</v>
      </c>
      <c r="K1090">
        <v>0.98825</v>
      </c>
      <c r="L1090">
        <v>1.03852</v>
      </c>
      <c r="M1090">
        <v>0.93645</v>
      </c>
      <c r="N1090">
        <v>1.00568</v>
      </c>
      <c r="O1090">
        <v>1</v>
      </c>
      <c r="P1090">
        <v>0.96835</v>
      </c>
      <c r="Q1090">
        <v>1</v>
      </c>
      <c r="R1090">
        <v>1</v>
      </c>
      <c r="S1090">
        <v>1</v>
      </c>
      <c r="T1090">
        <v>1.06821</v>
      </c>
      <c r="U1090">
        <v>1</v>
      </c>
      <c r="V1090">
        <v>88.672</v>
      </c>
      <c r="W1090">
        <v>39.283</v>
      </c>
      <c r="X1090">
        <v>91.157</v>
      </c>
      <c r="Y1090">
        <v>20.406</v>
      </c>
      <c r="Z1090">
        <v>31.547</v>
      </c>
      <c r="AA1090">
        <v>271.065</v>
      </c>
      <c r="AB1090">
        <v>0.97967</v>
      </c>
      <c r="AC1090">
        <v>265</v>
      </c>
      <c r="AD1090">
        <v>0</v>
      </c>
      <c r="AG1090">
        <v>92</v>
      </c>
      <c r="AH1090">
        <v>47</v>
      </c>
      <c r="AI1090">
        <v>85</v>
      </c>
      <c r="AJ1090">
        <v>15</v>
      </c>
      <c r="AK1090">
        <v>26</v>
      </c>
    </row>
    <row r="1091" spans="1:37">
      <c r="A1091" t="s">
        <v>1465</v>
      </c>
      <c r="B1091" t="s">
        <v>1752</v>
      </c>
      <c r="C1091">
        <v>17</v>
      </c>
      <c r="D1091" t="s">
        <v>82</v>
      </c>
      <c r="E1091">
        <v>0</v>
      </c>
      <c r="F1091">
        <v>0</v>
      </c>
      <c r="G1091">
        <v>0</v>
      </c>
      <c r="I1091">
        <v>1.20318</v>
      </c>
      <c r="J1091">
        <v>0.98341</v>
      </c>
      <c r="K1091">
        <v>0.98825</v>
      </c>
      <c r="L1091">
        <v>1.03813</v>
      </c>
      <c r="M1091">
        <v>1.14072</v>
      </c>
      <c r="N1091">
        <v>1.00704</v>
      </c>
      <c r="O1091">
        <v>1</v>
      </c>
      <c r="P1091">
        <v>1.06976</v>
      </c>
      <c r="Q1091">
        <v>1</v>
      </c>
      <c r="R1091">
        <v>1</v>
      </c>
      <c r="S1091">
        <v>1</v>
      </c>
      <c r="T1091">
        <v>1.05503</v>
      </c>
      <c r="U1091">
        <v>1</v>
      </c>
      <c r="V1091">
        <v>85.55</v>
      </c>
      <c r="W1091">
        <v>34.912</v>
      </c>
      <c r="X1091">
        <v>155.284</v>
      </c>
      <c r="Y1091">
        <v>39.148</v>
      </c>
      <c r="Z1091">
        <v>41.873</v>
      </c>
      <c r="AA1091">
        <v>356.766</v>
      </c>
      <c r="AB1091">
        <v>0.96532</v>
      </c>
      <c r="AC1091">
        <v>334</v>
      </c>
      <c r="AD1091">
        <v>0</v>
      </c>
      <c r="AG1091">
        <v>77</v>
      </c>
      <c r="AH1091">
        <v>33</v>
      </c>
      <c r="AI1091">
        <v>138</v>
      </c>
      <c r="AJ1091">
        <v>42</v>
      </c>
      <c r="AK1091">
        <v>44</v>
      </c>
    </row>
    <row r="1092" spans="1:37">
      <c r="A1092" t="s">
        <v>1466</v>
      </c>
      <c r="B1092" t="s">
        <v>1753</v>
      </c>
      <c r="C1092">
        <v>17.7</v>
      </c>
      <c r="D1092" t="s">
        <v>82</v>
      </c>
      <c r="E1092">
        <v>1</v>
      </c>
      <c r="F1092">
        <v>0</v>
      </c>
      <c r="G1092">
        <v>0</v>
      </c>
      <c r="I1092">
        <v>1.20336</v>
      </c>
      <c r="J1092">
        <v>0.98966</v>
      </c>
      <c r="K1092">
        <v>0.98825</v>
      </c>
      <c r="L1092">
        <v>1.03771</v>
      </c>
      <c r="M1092">
        <v>0.91925</v>
      </c>
      <c r="N1092">
        <v>1.02149</v>
      </c>
      <c r="O1092">
        <v>1</v>
      </c>
      <c r="P1092">
        <v>1.05556</v>
      </c>
      <c r="Q1092">
        <v>1</v>
      </c>
      <c r="R1092">
        <v>1</v>
      </c>
      <c r="S1092">
        <v>1</v>
      </c>
      <c r="T1092">
        <v>1.02938</v>
      </c>
      <c r="U1092">
        <v>1</v>
      </c>
      <c r="V1092">
        <v>20.404</v>
      </c>
      <c r="W1092">
        <v>15.149</v>
      </c>
      <c r="X1092">
        <v>143.828</v>
      </c>
      <c r="Y1092">
        <v>61.377</v>
      </c>
      <c r="Z1092">
        <v>45.045</v>
      </c>
      <c r="AA1092">
        <v>285.804</v>
      </c>
      <c r="AB1092">
        <v>1.04004</v>
      </c>
      <c r="AC1092">
        <v>308</v>
      </c>
      <c r="AD1092">
        <v>0</v>
      </c>
      <c r="AG1092">
        <v>24</v>
      </c>
      <c r="AH1092">
        <v>19</v>
      </c>
      <c r="AI1092">
        <v>139</v>
      </c>
      <c r="AJ1092">
        <v>77</v>
      </c>
      <c r="AK1092">
        <v>49</v>
      </c>
    </row>
    <row r="1093" spans="1:37">
      <c r="A1093" t="s">
        <v>1467</v>
      </c>
      <c r="B1093" t="s">
        <v>1754</v>
      </c>
      <c r="C1093">
        <v>18.5</v>
      </c>
      <c r="D1093" t="s">
        <v>82</v>
      </c>
      <c r="E1093">
        <v>2</v>
      </c>
      <c r="F1093">
        <v>0</v>
      </c>
      <c r="G1093">
        <v>0</v>
      </c>
      <c r="I1093">
        <v>1.20355</v>
      </c>
      <c r="J1093">
        <v>0.9842</v>
      </c>
      <c r="K1093">
        <v>0.98825</v>
      </c>
      <c r="L1093">
        <v>1.03727</v>
      </c>
      <c r="M1093">
        <v>0.8542999999999999</v>
      </c>
      <c r="N1093">
        <v>1.03103</v>
      </c>
      <c r="O1093">
        <v>1</v>
      </c>
      <c r="P1093">
        <v>1.03558</v>
      </c>
      <c r="Q1093">
        <v>1</v>
      </c>
      <c r="R1093">
        <v>1</v>
      </c>
      <c r="S1093">
        <v>1</v>
      </c>
      <c r="T1093">
        <v>1.03437</v>
      </c>
      <c r="U1093">
        <v>1</v>
      </c>
      <c r="V1093">
        <v>27.5</v>
      </c>
      <c r="W1093">
        <v>23.439</v>
      </c>
      <c r="X1093">
        <v>121.532</v>
      </c>
      <c r="Y1093">
        <v>51.03</v>
      </c>
      <c r="Z1093">
        <v>39.161</v>
      </c>
      <c r="AA1093">
        <v>262.661</v>
      </c>
      <c r="AB1093">
        <v>1.05938</v>
      </c>
      <c r="AC1093">
        <v>274</v>
      </c>
      <c r="AD1093">
        <v>0</v>
      </c>
      <c r="AG1093">
        <v>28</v>
      </c>
      <c r="AH1093">
        <v>27</v>
      </c>
      <c r="AI1093">
        <v>140</v>
      </c>
      <c r="AJ1093">
        <v>47</v>
      </c>
      <c r="AK1093">
        <v>32</v>
      </c>
    </row>
    <row r="1094" spans="1:37">
      <c r="A1094" t="s">
        <v>521</v>
      </c>
      <c r="B1094" t="s">
        <v>1751</v>
      </c>
      <c r="C1094">
        <v>17.9</v>
      </c>
      <c r="D1094" t="s">
        <v>82</v>
      </c>
      <c r="E1094">
        <v>3</v>
      </c>
      <c r="F1094">
        <v>0</v>
      </c>
      <c r="G1094">
        <v>0</v>
      </c>
      <c r="I1094">
        <v>1.20373</v>
      </c>
      <c r="J1094">
        <v>0.9789</v>
      </c>
      <c r="K1094">
        <v>0.98825</v>
      </c>
      <c r="L1094">
        <v>1.0368</v>
      </c>
      <c r="M1094">
        <v>0.90107</v>
      </c>
      <c r="N1094">
        <v>1.00902</v>
      </c>
      <c r="O1094">
        <v>1</v>
      </c>
      <c r="P1094">
        <v>1.01826</v>
      </c>
      <c r="Q1094">
        <v>1</v>
      </c>
      <c r="R1094">
        <v>1</v>
      </c>
      <c r="S1094">
        <v>1</v>
      </c>
      <c r="T1094">
        <v>1.07197</v>
      </c>
      <c r="U1094">
        <v>1</v>
      </c>
      <c r="V1094">
        <v>95.32599999999999</v>
      </c>
      <c r="W1094">
        <v>42.097</v>
      </c>
      <c r="X1094">
        <v>84.023</v>
      </c>
      <c r="Y1094">
        <v>18.619</v>
      </c>
      <c r="Z1094">
        <v>31.155</v>
      </c>
      <c r="AA1094">
        <v>271.22</v>
      </c>
      <c r="AB1094">
        <v>1.08004</v>
      </c>
      <c r="AC1094">
        <v>305</v>
      </c>
      <c r="AD1094">
        <v>0</v>
      </c>
      <c r="AG1094">
        <v>113</v>
      </c>
      <c r="AH1094">
        <v>48</v>
      </c>
      <c r="AI1094">
        <v>93</v>
      </c>
      <c r="AJ1094">
        <v>20</v>
      </c>
      <c r="AK1094">
        <v>31</v>
      </c>
    </row>
    <row r="1095" spans="1:37">
      <c r="A1095" t="s">
        <v>1468</v>
      </c>
      <c r="B1095" t="s">
        <v>1751</v>
      </c>
      <c r="C1095">
        <v>16.1</v>
      </c>
      <c r="D1095" t="s">
        <v>82</v>
      </c>
      <c r="E1095">
        <v>4</v>
      </c>
      <c r="F1095">
        <v>0</v>
      </c>
      <c r="G1095">
        <v>0</v>
      </c>
      <c r="I1095">
        <v>1.20391</v>
      </c>
      <c r="J1095">
        <v>0.97968</v>
      </c>
      <c r="K1095">
        <v>0.98825</v>
      </c>
      <c r="L1095">
        <v>1.03631</v>
      </c>
      <c r="M1095">
        <v>0.87638</v>
      </c>
      <c r="N1095">
        <v>0.98975</v>
      </c>
      <c r="O1095">
        <v>1</v>
      </c>
      <c r="P1095">
        <v>1.01217</v>
      </c>
      <c r="Q1095">
        <v>1</v>
      </c>
      <c r="R1095">
        <v>1</v>
      </c>
      <c r="S1095">
        <v>1</v>
      </c>
      <c r="T1095">
        <v>1.07213</v>
      </c>
      <c r="U1095">
        <v>1</v>
      </c>
      <c r="V1095">
        <v>90.58799999999999</v>
      </c>
      <c r="W1095">
        <v>41.932</v>
      </c>
      <c r="X1095">
        <v>77.84699999999999</v>
      </c>
      <c r="Y1095">
        <v>16.411</v>
      </c>
      <c r="Z1095">
        <v>30.02</v>
      </c>
      <c r="AA1095">
        <v>256.798</v>
      </c>
      <c r="AB1095">
        <v>0.95858</v>
      </c>
      <c r="AC1095">
        <v>238</v>
      </c>
      <c r="AD1095">
        <v>0</v>
      </c>
      <c r="AG1095">
        <v>92</v>
      </c>
      <c r="AH1095">
        <v>40</v>
      </c>
      <c r="AI1095">
        <v>65</v>
      </c>
      <c r="AJ1095">
        <v>13</v>
      </c>
      <c r="AK1095">
        <v>28</v>
      </c>
    </row>
    <row r="1096" spans="1:37">
      <c r="A1096" t="s">
        <v>1469</v>
      </c>
      <c r="B1096" t="s">
        <v>1751</v>
      </c>
      <c r="C1096">
        <v>13.9</v>
      </c>
      <c r="D1096" t="s">
        <v>82</v>
      </c>
      <c r="E1096">
        <v>5</v>
      </c>
      <c r="F1096">
        <v>0</v>
      </c>
      <c r="G1096">
        <v>0</v>
      </c>
      <c r="I1096">
        <v>1.2041</v>
      </c>
      <c r="J1096">
        <v>0.97258</v>
      </c>
      <c r="K1096">
        <v>0.98825</v>
      </c>
      <c r="L1096">
        <v>1.0358</v>
      </c>
      <c r="M1096">
        <v>0.90266</v>
      </c>
      <c r="N1096">
        <v>0.96593</v>
      </c>
      <c r="O1096">
        <v>1</v>
      </c>
      <c r="P1096">
        <v>1.00816</v>
      </c>
      <c r="Q1096">
        <v>1</v>
      </c>
      <c r="R1096">
        <v>1</v>
      </c>
      <c r="S1096">
        <v>1</v>
      </c>
      <c r="T1096">
        <v>1.07218</v>
      </c>
      <c r="U1096">
        <v>1</v>
      </c>
      <c r="V1096">
        <v>89.741</v>
      </c>
      <c r="W1096">
        <v>41.491</v>
      </c>
      <c r="X1096">
        <v>77.002</v>
      </c>
      <c r="Y1096">
        <v>16.957</v>
      </c>
      <c r="Z1096">
        <v>29.193</v>
      </c>
      <c r="AA1096">
        <v>254.384</v>
      </c>
      <c r="AB1096">
        <v>0.9757400000000001</v>
      </c>
      <c r="AC1096">
        <v>231</v>
      </c>
      <c r="AD1096">
        <v>0</v>
      </c>
      <c r="AG1096">
        <v>82</v>
      </c>
      <c r="AH1096">
        <v>38</v>
      </c>
      <c r="AI1096">
        <v>64</v>
      </c>
      <c r="AJ1096">
        <v>16</v>
      </c>
      <c r="AK1096">
        <v>31</v>
      </c>
    </row>
    <row r="1097" spans="1:37">
      <c r="A1097" t="s">
        <v>1470</v>
      </c>
      <c r="B1097" t="s">
        <v>1751</v>
      </c>
      <c r="C1097">
        <v>14</v>
      </c>
      <c r="D1097" t="s">
        <v>82</v>
      </c>
      <c r="E1097">
        <v>6</v>
      </c>
      <c r="F1097">
        <v>0</v>
      </c>
      <c r="G1097">
        <v>0</v>
      </c>
      <c r="I1097">
        <v>1.20428</v>
      </c>
      <c r="J1097">
        <v>0.96749</v>
      </c>
      <c r="K1097">
        <v>0.98825</v>
      </c>
      <c r="L1097">
        <v>1.03529</v>
      </c>
      <c r="M1097">
        <v>0.93675</v>
      </c>
      <c r="N1097">
        <v>0.96587</v>
      </c>
      <c r="O1097">
        <v>1</v>
      </c>
      <c r="P1097">
        <v>1.00564</v>
      </c>
      <c r="Q1097">
        <v>1</v>
      </c>
      <c r="R1097">
        <v>1</v>
      </c>
      <c r="S1097">
        <v>1</v>
      </c>
      <c r="T1097">
        <v>1.06914</v>
      </c>
      <c r="U1097">
        <v>1</v>
      </c>
      <c r="V1097">
        <v>87.352</v>
      </c>
      <c r="W1097">
        <v>39.118</v>
      </c>
      <c r="X1097">
        <v>85.46299999999999</v>
      </c>
      <c r="Y1097">
        <v>19.63</v>
      </c>
      <c r="Z1097">
        <v>30.538</v>
      </c>
      <c r="AA1097">
        <v>262.101</v>
      </c>
      <c r="AB1097">
        <v>1.00054</v>
      </c>
      <c r="AC1097">
        <v>283</v>
      </c>
      <c r="AD1097">
        <v>0</v>
      </c>
      <c r="AG1097">
        <v>98</v>
      </c>
      <c r="AH1097">
        <v>45</v>
      </c>
      <c r="AI1097">
        <v>87</v>
      </c>
      <c r="AJ1097">
        <v>20</v>
      </c>
      <c r="AK1097">
        <v>33</v>
      </c>
    </row>
  </sheetData>
  <autoFilter ref="A1:AK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Validation</vt:lpstr>
      <vt:lpstr>Data_Dictionary</vt:lpstr>
      <vt:lpstr>Assumptions</vt:lpstr>
      <vt:lpstr>Seasonal_Analysis</vt:lpstr>
      <vt:lpstr>Monthly_Summary</vt:lpstr>
      <vt:lpstr>Weekly_Summary</vt:lpstr>
      <vt:lpstr>Daily_Summary</vt:lpstr>
      <vt:lpstr>Product_Performance</vt:lpstr>
      <vt:lpstr>Hourly_Profile</vt:lpstr>
      <vt:lpstr>Iced_vs_Hot_Mix</vt:lpstr>
      <vt:lpstr>Customer_Segments</vt:lpstr>
      <vt:lpstr>Customer_Frequency</vt:lpstr>
      <vt:lpstr>Forecast_Benchmark</vt:lpstr>
      <vt:lpstr>Signal_to_Noise</vt:lpstr>
      <vt:lpstr>Promotion_Calendar</vt:lpstr>
      <vt:lpstr>Price_Cost_Changes</vt:lpstr>
      <vt:lpstr>Product_Master</vt:lpstr>
      <vt:lpstr>Ground_Truth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2026-10-01T09:16:18Z</dcterms:created>
  <dcterms:modified xsi:type="dcterms:W3CDTF">2026-10-01T09:16:18Z</dcterms:modified>
</cp:coreProperties>
</file>